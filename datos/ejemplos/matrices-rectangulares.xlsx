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sic data" sheetId="1" state="visible" r:id="rId3"/>
    <sheet name="Model derivation" sheetId="2" state="visible" r:id="rId4"/>
    <sheet name="Indicator calculations" sheetId="3" state="visible" r:id="rId5"/>
  </sheets>
  <definedNames>
    <definedName function="false" hidden="false" name="B" vbProcedure="false">'Model derivation'!$C$4:$G$11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<sst xmlns="http://schemas.openxmlformats.org/spreadsheetml/2006/main" count="162" uniqueCount="57">
  <si>
    <t xml:space="preserve">checking commodity totals</t>
  </si>
  <si>
    <t xml:space="preserve">USE (U)</t>
  </si>
  <si>
    <t xml:space="preserve">farms</t>
  </si>
  <si>
    <t xml:space="preserve">mines</t>
  </si>
  <si>
    <t xml:space="preserve">food manuf.</t>
  </si>
  <si>
    <t xml:space="preserve">other manuf.</t>
  </si>
  <si>
    <t xml:space="preserve">services</t>
  </si>
  <si>
    <t xml:space="preserve">Final Demand</t>
  </si>
  <si>
    <t xml:space="preserve">make = use+fd</t>
  </si>
  <si>
    <t xml:space="preserve">cattle</t>
  </si>
  <si>
    <t xml:space="preserve">iron ore</t>
  </si>
  <si>
    <t xml:space="preserve">milk</t>
  </si>
  <si>
    <t xml:space="preserve">cheese</t>
  </si>
  <si>
    <t xml:space="preserve">fuel</t>
  </si>
  <si>
    <t xml:space="preserve">steel</t>
  </si>
  <si>
    <t xml:space="preserve">parts</t>
  </si>
  <si>
    <t xml:space="preserve">advertising</t>
  </si>
  <si>
    <t xml:space="preserve">Primary inputs</t>
  </si>
  <si>
    <t xml:space="preserve">SUPPLY (V)</t>
  </si>
  <si>
    <t xml:space="preserve">g</t>
  </si>
  <si>
    <t xml:space="preserve">q</t>
  </si>
  <si>
    <t xml:space="preserve">g'</t>
  </si>
  <si>
    <t xml:space="preserve">B (U/g)</t>
  </si>
  <si>
    <t xml:space="preserve">Σ</t>
  </si>
  <si>
    <t xml:space="preserve">D (V/q)</t>
  </si>
  <si>
    <t xml:space="preserve">DB</t>
  </si>
  <si>
    <t xml:space="preserve">I</t>
  </si>
  <si>
    <t xml:space="preserve">(I-DB)</t>
  </si>
  <si>
    <t xml:space="preserve">De</t>
  </si>
  <si>
    <t xml:space="preserve">output to final demand</t>
  </si>
  <si>
    <t xml:space="preserve">(I-DB)ˉ¹</t>
  </si>
  <si>
    <t xml:space="preserve">g calc</t>
  </si>
  <si>
    <t xml:space="preserve">g=(I-DB)ˉ¹De</t>
  </si>
  <si>
    <t xml:space="preserve">real g</t>
  </si>
  <si>
    <t xml:space="preserve">meaning?</t>
  </si>
  <si>
    <t xml:space="preserve">dollars of output from industry at row to deliver (to final demand) a dollar of output from industry at column</t>
  </si>
  <si>
    <t xml:space="preserve">decompostion of row one of (I-DB)ˉ¹ times column one of De (Row 1 of (I-DB)ˉ¹ times column of De)</t>
  </si>
  <si>
    <t xml:space="preserve">1.11 * 42.86 ($1.11 of production from farms is required to deliver a dollar of production from farms, so to get 42.86 of final demand we need farms to produce:)</t>
  </si>
  <si>
    <t xml:space="preserve">plus</t>
  </si>
  <si>
    <t xml:space="preserve">0.01 * 594.06 ($0.01 of production from farms is required to deliver a dollar of production from mines, so to get 594.06 of final demand we need farms to produce:)</t>
  </si>
  <si>
    <t xml:space="preserve">0.65 * 217.14 ($0.65 of production from farms is required to deliver a dollar of production from food manufacturers, so to get 217.14 of final demand we need farms to produce:)</t>
  </si>
  <si>
    <t xml:space="preserve">0.08 * 170.94 ($0.08 of production from farms is required to deliver a dollar of production from other manufacturers, so to get 170,94 of final demand we need farms to produce:)</t>
  </si>
  <si>
    <t xml:space="preserve">0.12 * 0 ($0.12 of production from farms is required to deliver a dollar of production from services, so to get 0.00 to final demand we need farms to produce:)</t>
  </si>
  <si>
    <t xml:space="preserve">SUM</t>
  </si>
  <si>
    <t xml:space="preserve">So, to deliver all of final demand, farms must produce 210 dollars of gross output (which is exactly how much they do produce)</t>
  </si>
  <si>
    <t xml:space="preserve">Intensity indicators</t>
  </si>
  <si>
    <t xml:space="preserve">emissions per unit of output (direct emissions intensity)</t>
  </si>
  <si>
    <t xml:space="preserve">a</t>
  </si>
  <si>
    <t xml:space="preserve">co2/g</t>
  </si>
  <si>
    <t xml:space="preserve">alpha inverse</t>
  </si>
  <si>
    <r>
      <rPr>
        <b val="true"/>
        <sz val="10"/>
        <rFont val="Arial"/>
        <family val="2"/>
        <charset val="1"/>
      </rPr>
      <t xml:space="preserve">So, </t>
    </r>
    <r>
      <rPr>
        <b val="true"/>
        <sz val="10"/>
        <rFont val="Symbol"/>
        <family val="1"/>
        <charset val="2"/>
      </rPr>
      <t xml:space="preserve">a</t>
    </r>
    <r>
      <rPr>
        <b val="true"/>
        <sz val="10"/>
        <rFont val="Arial"/>
        <family val="2"/>
        <charset val="1"/>
      </rPr>
      <t xml:space="preserve">*(I-DB)ˉ¹ for row of </t>
    </r>
    <r>
      <rPr>
        <b val="true"/>
        <sz val="10"/>
        <rFont val="Symbol"/>
        <family val="1"/>
        <charset val="2"/>
      </rPr>
      <t xml:space="preserve">a</t>
    </r>
    <r>
      <rPr>
        <b val="true"/>
        <sz val="10"/>
        <rFont val="Arial"/>
        <family val="2"/>
        <charset val="1"/>
      </rPr>
      <t xml:space="preserve"> times column 1 of (I-DB)ˉ¹ is...</t>
    </r>
  </si>
  <si>
    <t xml:space="preserve">0.5 * 1.11 (1.11 dollars of production from farms is required to deliver a dollar of production from farms. Farms emit .05 CO2 per dollar of output,so in terms of emissions this is:)</t>
  </si>
  <si>
    <t xml:space="preserve">0.8 * 0.74 (0.74 dollars of production from mines is required to deliver a dollar of production from farms. Mines emit .8 CO2 per dollar of output, so in terms of emissions this is:) </t>
  </si>
  <si>
    <t xml:space="preserve">0.3 * 0.04 (0.04 dollars of production from food manuf. Is required to deliver a dollar of production from farms. Food manuf. Emit .3 CO2 per dollar of output, so in terms of emissions:)</t>
  </si>
  <si>
    <t xml:space="preserve">0.4 * 0.13 (0.13 dollars of production from other manuf. Is required to deliver a dollar of output from farms. Other manuf. Emit .4 CO2 per dollar of output, so in terms of emissions:)</t>
  </si>
  <si>
    <t xml:space="preserve">0.1 * 0.01 (0.01 dollars of production from services is required to deliver a dollar of output from farms. Services emit .1 CO2 per dollar of output, so in terms of emissions this is:)</t>
  </si>
  <si>
    <t xml:space="preserve">This is the total emissions required (direct plus indirect) from all industries per dollar of output from farms.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</si>
</sst>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4"/>
      <color rgb="FF000000"/>
      <name val="Arial"/>
      <family val="0"/>
    </font>
    <font>
      <b val="true"/>
      <sz val="12"/>
      <name val="Symbol"/>
      <family val="1"/>
      <charset val="2"/>
    </font>
    <font>
      <b val="true"/>
      <sz val="10"/>
      <name val="Symbol"/>
      <family val="1"/>
      <charset val="2"/>
    </font>
  </fonts>
  <fills count="9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CC99"/>
        <bgColor rgb="FFC3D69B"/>
      </patternFill>
    </fill>
    <fill>
      <patternFill patternType="solid">
        <fgColor rgb="FFFFC000"/>
        <bgColor rgb="FFFF9900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theme="6" tint="0.39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181080</xdr:colOff>
      <xdr:row>18</xdr:row>
      <xdr:rowOff>38160</xdr:rowOff>
    </xdr:from>
    <xdr:to>
      <xdr:col>10</xdr:col>
      <xdr:colOff>513720</xdr:colOff>
      <xdr:row>22</xdr:row>
      <xdr:rowOff>123120</xdr:rowOff>
    </xdr:to>
    <xdr:sp>
      <xdr:nvSpPr>
        <xdr:cNvPr id="1" name="AutoShape 2"/>
        <xdr:cNvSpPr/>
      </xdr:nvSpPr>
      <xdr:spPr>
        <a:xfrm>
          <a:off x="6989040" y="2930040"/>
          <a:ext cx="332640" cy="727560"/>
        </a:xfrm>
        <a:prstGeom prst="rightBrace">
          <a:avLst>
            <a:gd name="adj1" fmla="val 18333"/>
            <a:gd name="adj2" fmla="val 50000"/>
          </a:avLst>
        </a:prstGeom>
        <a:noFill/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10</xdr:col>
      <xdr:colOff>514080</xdr:colOff>
      <xdr:row>20</xdr:row>
      <xdr:rowOff>80280</xdr:rowOff>
    </xdr:from>
    <xdr:to>
      <xdr:col>10</xdr:col>
      <xdr:colOff>819000</xdr:colOff>
      <xdr:row>20</xdr:row>
      <xdr:rowOff>80280</xdr:rowOff>
    </xdr:to>
    <xdr:sp>
      <xdr:nvSpPr>
        <xdr:cNvPr id="2" name="Line 3"/>
        <xdr:cNvSpPr/>
      </xdr:nvSpPr>
      <xdr:spPr>
        <a:xfrm>
          <a:off x="7322040" y="3293280"/>
          <a:ext cx="304920" cy="0"/>
        </a:xfrm>
        <a:prstGeom prst="line">
          <a:avLst/>
        </a:prstGeom>
        <a:ln w="1270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314280</xdr:colOff>
      <xdr:row>24</xdr:row>
      <xdr:rowOff>0</xdr:rowOff>
    </xdr:from>
    <xdr:to>
      <xdr:col>5</xdr:col>
      <xdr:colOff>494640</xdr:colOff>
      <xdr:row>25</xdr:row>
      <xdr:rowOff>38520</xdr:rowOff>
    </xdr:to>
    <xdr:sp>
      <xdr:nvSpPr>
        <xdr:cNvPr id="3" name="Text Box 4"/>
        <xdr:cNvSpPr/>
      </xdr:nvSpPr>
      <xdr:spPr>
        <a:xfrm>
          <a:off x="3860640" y="3855600"/>
          <a:ext cx="180360" cy="1994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720" tIns="27360" rIns="0" bIns="0" anchor="t" upright="1">
          <a:noAutofit/>
        </a:bodyPr>
        <a:p>
          <a:pPr>
            <a:lnSpc>
              <a:spcPct val="100000"/>
            </a:lnSpc>
          </a:pPr>
          <a:r>
            <a:rPr lang="el-GR" sz="1400" b="0" u="none" strike="noStrike">
              <a:solidFill>
                <a:srgbClr val="000000"/>
              </a:solidFill>
              <a:effectLst/>
              <a:uFillTx/>
              <a:latin typeface="Arial"/>
            </a:rPr>
            <a:t>Σ</a:t>
          </a:r>
          <a:endParaRPr lang="en-US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267840</xdr:colOff>
      <xdr:row>23</xdr:row>
      <xdr:rowOff>47520</xdr:rowOff>
    </xdr:from>
    <xdr:to>
      <xdr:col>9</xdr:col>
      <xdr:colOff>390960</xdr:colOff>
      <xdr:row>24</xdr:row>
      <xdr:rowOff>46800</xdr:rowOff>
    </xdr:to>
    <xdr:sp>
      <xdr:nvSpPr>
        <xdr:cNvPr id="4" name="AutoShape 5"/>
        <xdr:cNvSpPr/>
      </xdr:nvSpPr>
      <xdr:spPr>
        <a:xfrm rot="5400000">
          <a:off x="4106520" y="1421280"/>
          <a:ext cx="159840" cy="4801680"/>
        </a:xfrm>
        <a:prstGeom prst="rightBrace">
          <a:avLst>
            <a:gd name="adj1" fmla="val 242157"/>
            <a:gd name="adj2" fmla="val 50000"/>
          </a:avLst>
        </a:prstGeom>
        <a:noFill/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5</xdr:col>
      <xdr:colOff>628560</xdr:colOff>
      <xdr:row>24</xdr:row>
      <xdr:rowOff>47520</xdr:rowOff>
    </xdr:from>
    <xdr:to>
      <xdr:col>5</xdr:col>
      <xdr:colOff>628560</xdr:colOff>
      <xdr:row>25</xdr:row>
      <xdr:rowOff>85680</xdr:rowOff>
    </xdr:to>
    <xdr:sp>
      <xdr:nvSpPr>
        <xdr:cNvPr id="5" name="Line 6"/>
        <xdr:cNvSpPr/>
      </xdr:nvSpPr>
      <xdr:spPr>
        <a:xfrm>
          <a:off x="4174920" y="3903120"/>
          <a:ext cx="0" cy="199080"/>
        </a:xfrm>
        <a:prstGeom prst="line">
          <a:avLst/>
        </a:prstGeom>
        <a:ln w="9525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514440</xdr:colOff>
      <xdr:row>18</xdr:row>
      <xdr:rowOff>114480</xdr:rowOff>
    </xdr:from>
    <xdr:to>
      <xdr:col>10</xdr:col>
      <xdr:colOff>694800</xdr:colOff>
      <xdr:row>19</xdr:row>
      <xdr:rowOff>153360</xdr:rowOff>
    </xdr:to>
    <xdr:sp>
      <xdr:nvSpPr>
        <xdr:cNvPr id="6" name="Text Box 7"/>
        <xdr:cNvSpPr/>
      </xdr:nvSpPr>
      <xdr:spPr>
        <a:xfrm>
          <a:off x="7322400" y="3006360"/>
          <a:ext cx="180360" cy="19944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36720" tIns="27360" rIns="0" bIns="0" anchor="t" upright="1">
          <a:noAutofit/>
        </a:bodyPr>
        <a:p>
          <a:pPr>
            <a:lnSpc>
              <a:spcPct val="100000"/>
            </a:lnSpc>
          </a:pPr>
          <a:r>
            <a:rPr lang="el-GR" sz="1400" b="0" u="none" strike="noStrike">
              <a:solidFill>
                <a:srgbClr val="000000"/>
              </a:solidFill>
              <a:effectLst/>
              <a:uFillTx/>
              <a:latin typeface="Arial"/>
            </a:rPr>
            <a:t>Σ</a:t>
          </a:r>
          <a:endParaRPr lang="en-US" sz="14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-30536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-305360"/>
              </a:schemeClr>
            </a:gs>
            <a:gs pos="40000">
              <a:schemeClr val="phClr">
                <a:tint val="45000"/>
                <a:shade val="99000"/>
                <a:satMod val="-30536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2" customHeight="false" zeroHeight="false" outlineLevelRow="0" outlineLevelCol="0"/>
  <cols>
    <col collapsed="false" customWidth="true" hidden="false" outlineLevel="0" max="2" min="2" style="1" width="12.86"/>
    <col collapsed="false" customWidth="true" hidden="false" outlineLevel="0" max="5" min="5" style="1" width="11.43"/>
    <col collapsed="false" customWidth="true" hidden="false" outlineLevel="0" max="6" min="6" style="1" width="11.57"/>
    <col collapsed="false" customWidth="true" hidden="false" outlineLevel="0" max="11" min="11" style="1" width="13.86"/>
  </cols>
  <sheetData>
    <row r="1" customFormat="false" ht="12.65" hidden="false" customHeight="false" outlineLevel="0" collapsed="false"/>
    <row r="2" customFormat="false" ht="12.65" hidden="false" customHeight="false" outlineLevel="0" collapsed="false"/>
    <row r="3" customFormat="false" ht="12.65" hidden="false" customHeight="false" outlineLevel="0" collapsed="false">
      <c r="N3" s="2" t="s">
        <v>0</v>
      </c>
    </row>
    <row r="4" customFormat="false" ht="12.65" hidden="false" customHeight="false" outlineLevel="0" collapsed="false">
      <c r="B4" s="2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K4" s="2" t="s">
        <v>7</v>
      </c>
      <c r="N4" s="2" t="s">
        <v>8</v>
      </c>
    </row>
    <row r="5" customFormat="false" ht="12.65" hidden="false" customHeight="false" outlineLevel="0" collapsed="false">
      <c r="B5" s="1" t="s">
        <v>9</v>
      </c>
      <c r="C5" s="3">
        <v>10</v>
      </c>
      <c r="D5" s="3">
        <v>0</v>
      </c>
      <c r="E5" s="3">
        <v>80</v>
      </c>
      <c r="F5" s="3">
        <v>10</v>
      </c>
      <c r="G5" s="3">
        <v>0</v>
      </c>
      <c r="K5" s="4">
        <v>0</v>
      </c>
      <c r="N5" s="5" t="n">
        <f aca="false">SUM(C19:C23)-SUM(C5:G5,K5)</f>
        <v>0</v>
      </c>
    </row>
    <row r="6" customFormat="false" ht="12.65" hidden="false" customHeight="false" outlineLevel="0" collapsed="false">
      <c r="B6" s="1" t="s">
        <v>10</v>
      </c>
      <c r="C6" s="3">
        <v>0</v>
      </c>
      <c r="D6" s="3">
        <v>0</v>
      </c>
      <c r="E6" s="3">
        <v>0</v>
      </c>
      <c r="F6" s="3">
        <v>100</v>
      </c>
      <c r="G6" s="3">
        <v>0</v>
      </c>
      <c r="K6" s="4">
        <v>0</v>
      </c>
      <c r="N6" s="5" t="n">
        <f aca="false">SUM(D19:D23)-SUM(C6:G6,K6)</f>
        <v>0</v>
      </c>
    </row>
    <row r="7" customFormat="false" ht="12.65" hidden="false" customHeight="false" outlineLevel="0" collapsed="false">
      <c r="B7" s="1" t="s">
        <v>11</v>
      </c>
      <c r="C7" s="3">
        <v>10</v>
      </c>
      <c r="D7" s="3">
        <v>5</v>
      </c>
      <c r="E7" s="3">
        <v>100</v>
      </c>
      <c r="F7" s="3">
        <v>0</v>
      </c>
      <c r="G7" s="3">
        <v>5</v>
      </c>
      <c r="K7" s="4">
        <v>60</v>
      </c>
      <c r="N7" s="5" t="n">
        <f aca="false">SUM(E19:E23)-SUM(C7:G7,K7)</f>
        <v>0</v>
      </c>
    </row>
    <row r="8" customFormat="false" ht="12.65" hidden="false" customHeight="false" outlineLevel="0" collapsed="false">
      <c r="B8" s="1" t="s">
        <v>12</v>
      </c>
      <c r="C8" s="3">
        <v>0</v>
      </c>
      <c r="D8" s="3">
        <v>5</v>
      </c>
      <c r="E8" s="3">
        <v>0</v>
      </c>
      <c r="F8" s="3">
        <v>0</v>
      </c>
      <c r="G8" s="3">
        <v>5</v>
      </c>
      <c r="K8" s="4">
        <v>200</v>
      </c>
      <c r="N8" s="5" t="n">
        <f aca="false">SUM(F19:F23)-SUM(C8:G8,K8)</f>
        <v>0</v>
      </c>
    </row>
    <row r="9" customFormat="false" ht="12.65" hidden="false" customHeight="false" outlineLevel="0" collapsed="false">
      <c r="B9" s="1" t="s">
        <v>13</v>
      </c>
      <c r="C9" s="3">
        <v>100</v>
      </c>
      <c r="D9" s="3">
        <v>200</v>
      </c>
      <c r="E9" s="3">
        <v>10</v>
      </c>
      <c r="F9" s="3">
        <v>50</v>
      </c>
      <c r="G9" s="3">
        <v>50</v>
      </c>
      <c r="K9" s="4">
        <v>600</v>
      </c>
      <c r="N9" s="5" t="n">
        <f aca="false">SUM(G19:G23)-SUM(C9:G9,K9)</f>
        <v>0</v>
      </c>
    </row>
    <row r="10" customFormat="false" ht="12.65" hidden="false" customHeight="false" outlineLevel="0" collapsed="false">
      <c r="B10" s="1" t="s">
        <v>14</v>
      </c>
      <c r="C10" s="3">
        <v>0</v>
      </c>
      <c r="D10" s="3">
        <v>5</v>
      </c>
      <c r="E10" s="3">
        <v>0</v>
      </c>
      <c r="F10" s="3">
        <v>145</v>
      </c>
      <c r="G10" s="3">
        <v>0</v>
      </c>
      <c r="K10" s="4">
        <v>0</v>
      </c>
      <c r="N10" s="5" t="n">
        <f aca="false">SUM(H19:H23)-SUM(C10:G10,K10)</f>
        <v>0</v>
      </c>
    </row>
    <row r="11" customFormat="false" ht="12.65" hidden="false" customHeight="false" outlineLevel="0" collapsed="false">
      <c r="B11" s="1" t="s">
        <v>15</v>
      </c>
      <c r="C11" s="3">
        <v>10</v>
      </c>
      <c r="D11" s="3">
        <v>5</v>
      </c>
      <c r="E11" s="3">
        <v>5</v>
      </c>
      <c r="F11" s="3">
        <v>5</v>
      </c>
      <c r="G11" s="3">
        <v>10</v>
      </c>
      <c r="K11" s="4">
        <v>165</v>
      </c>
      <c r="N11" s="5" t="n">
        <f aca="false">SUM(I19:I23)-SUM(C11:G11,K11)</f>
        <v>0</v>
      </c>
    </row>
    <row r="12" customFormat="false" ht="12.65" hidden="false" customHeight="false" outlineLevel="0" collapsed="false">
      <c r="B12" s="1" t="s">
        <v>16</v>
      </c>
      <c r="C12" s="3">
        <v>5</v>
      </c>
      <c r="D12" s="3">
        <v>15</v>
      </c>
      <c r="E12" s="3">
        <v>20</v>
      </c>
      <c r="F12" s="3">
        <v>40</v>
      </c>
      <c r="G12" s="3">
        <v>20</v>
      </c>
      <c r="K12" s="4">
        <v>0</v>
      </c>
      <c r="N12" s="5" t="n">
        <f aca="false">SUM(J19:J23)-SUM(C12:G12,K12)</f>
        <v>0</v>
      </c>
    </row>
    <row r="13" customFormat="false" ht="12.65" hidden="false" customHeight="false" outlineLevel="0" collapsed="false"/>
    <row r="14" customFormat="false" ht="12.65" hidden="false" customHeight="false" outlineLevel="0" collapsed="false">
      <c r="B14" s="6" t="s">
        <v>17</v>
      </c>
      <c r="C14" s="3">
        <v>75</v>
      </c>
      <c r="D14" s="3">
        <v>865</v>
      </c>
      <c r="E14" s="3">
        <v>65</v>
      </c>
      <c r="F14" s="3">
        <v>10</v>
      </c>
      <c r="G14" s="3">
        <v>10</v>
      </c>
    </row>
    <row r="15" customFormat="false" ht="12.65" hidden="false" customHeight="false" outlineLevel="0" collapsed="false"/>
    <row r="16" customFormat="false" ht="12.65" hidden="false" customHeight="false" outlineLevel="0" collapsed="false"/>
    <row r="17" customFormat="false" ht="12.65" hidden="false" customHeight="false" outlineLevel="0" collapsed="false"/>
    <row r="18" customFormat="false" ht="12.65" hidden="false" customHeight="false" outlineLevel="0" collapsed="false">
      <c r="B18" s="2" t="s">
        <v>18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L18" s="2" t="s">
        <v>19</v>
      </c>
    </row>
    <row r="19" customFormat="false" ht="12.65" hidden="false" customHeight="false" outlineLevel="0" collapsed="false">
      <c r="B19" s="1" t="s">
        <v>2</v>
      </c>
      <c r="C19" s="7">
        <v>100</v>
      </c>
      <c r="D19" s="7">
        <v>0</v>
      </c>
      <c r="E19" s="7">
        <v>100</v>
      </c>
      <c r="F19" s="7">
        <v>10</v>
      </c>
      <c r="G19" s="7">
        <v>0</v>
      </c>
      <c r="H19" s="7">
        <v>0</v>
      </c>
      <c r="I19" s="7">
        <v>0</v>
      </c>
      <c r="J19" s="7">
        <v>0</v>
      </c>
      <c r="L19" s="7" t="n">
        <f aca="false">SUM(C19:J19)</f>
        <v>210</v>
      </c>
    </row>
    <row r="20" customFormat="false" ht="12.65" hidden="false" customHeight="false" outlineLevel="0" collapsed="false">
      <c r="B20" s="1" t="s">
        <v>3</v>
      </c>
      <c r="C20" s="7">
        <v>0</v>
      </c>
      <c r="D20" s="7">
        <v>100</v>
      </c>
      <c r="E20" s="7">
        <v>0</v>
      </c>
      <c r="F20" s="7">
        <v>0</v>
      </c>
      <c r="G20" s="7">
        <v>1000</v>
      </c>
      <c r="H20" s="7">
        <v>0</v>
      </c>
      <c r="I20" s="7">
        <v>0</v>
      </c>
      <c r="J20" s="7">
        <v>0</v>
      </c>
      <c r="L20" s="7" t="n">
        <f aca="false">SUM(C20:J20)</f>
        <v>1100</v>
      </c>
    </row>
    <row r="21" customFormat="false" ht="12.65" hidden="false" customHeight="false" outlineLevel="0" collapsed="false">
      <c r="B21" s="1" t="s">
        <v>4</v>
      </c>
      <c r="C21" s="7">
        <v>0</v>
      </c>
      <c r="D21" s="7">
        <v>0</v>
      </c>
      <c r="E21" s="7">
        <v>80</v>
      </c>
      <c r="F21" s="7">
        <v>200</v>
      </c>
      <c r="G21" s="7">
        <v>0</v>
      </c>
      <c r="H21" s="7">
        <v>0</v>
      </c>
      <c r="I21" s="7">
        <v>0</v>
      </c>
      <c r="J21" s="7">
        <v>0</v>
      </c>
      <c r="L21" s="7" t="n">
        <f aca="false">SUM(C21:J21)</f>
        <v>280</v>
      </c>
    </row>
    <row r="22" customFormat="false" ht="12.65" hidden="false" customHeight="false" outlineLevel="0" collapsed="false">
      <c r="B22" s="1" t="s">
        <v>5</v>
      </c>
      <c r="C22" s="7">
        <v>0</v>
      </c>
      <c r="D22" s="7">
        <v>0</v>
      </c>
      <c r="E22" s="7">
        <v>0</v>
      </c>
      <c r="F22" s="7">
        <v>0</v>
      </c>
      <c r="G22" s="7">
        <v>10</v>
      </c>
      <c r="H22" s="7">
        <v>150</v>
      </c>
      <c r="I22" s="7">
        <v>200</v>
      </c>
      <c r="J22" s="7">
        <v>0</v>
      </c>
      <c r="L22" s="7" t="n">
        <f aca="false">SUM(C22:J22)</f>
        <v>360</v>
      </c>
    </row>
    <row r="23" customFormat="false" ht="12.65" hidden="false" customHeight="false" outlineLevel="0" collapsed="false">
      <c r="B23" s="1" t="s">
        <v>6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100</v>
      </c>
      <c r="L23" s="7" t="n">
        <f aca="false">SUM(C23:J23)</f>
        <v>100</v>
      </c>
    </row>
    <row r="24" customFormat="false" ht="12.65" hidden="false" customHeight="false" outlineLevel="0" collapsed="false"/>
    <row r="25" customFormat="false" ht="12.65" hidden="false" customHeight="false" outlineLevel="0" collapsed="false"/>
    <row r="26" customFormat="false" ht="12.65" hidden="false" customHeight="false" outlineLevel="0" collapsed="false"/>
    <row r="27" customFormat="false" ht="12.65" hidden="false" customHeight="false" outlineLevel="0" collapsed="false">
      <c r="B27" s="2" t="s">
        <v>20</v>
      </c>
      <c r="C27" s="7" t="n">
        <f aca="false">SUM(C19:C23)</f>
        <v>100</v>
      </c>
      <c r="D27" s="7" t="n">
        <f aca="false">SUM(D19:D23)</f>
        <v>100</v>
      </c>
      <c r="E27" s="7" t="n">
        <f aca="false">SUM(E19:E23)</f>
        <v>180</v>
      </c>
      <c r="F27" s="7" t="n">
        <f aca="false">SUM(F19:F23)</f>
        <v>210</v>
      </c>
      <c r="G27" s="7" t="n">
        <f aca="false">SUM(G19:G23)</f>
        <v>1010</v>
      </c>
      <c r="H27" s="7" t="n">
        <f aca="false">SUM(H19:H23)</f>
        <v>150</v>
      </c>
      <c r="I27" s="7" t="n">
        <f aca="false">SUM(I19:I23)</f>
        <v>200</v>
      </c>
      <c r="J27" s="7" t="n">
        <f aca="false">SUM(J19:J23)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40" activeCellId="0" sqref="Q40"/>
    </sheetView>
  </sheetViews>
  <sheetFormatPr defaultColWidth="8.6796875" defaultRowHeight="12" customHeight="false" zeroHeight="false" outlineLevelRow="0" outlineLevelCol="0"/>
  <cols>
    <col collapsed="false" customWidth="true" hidden="false" outlineLevel="0" max="2" min="2" style="1" width="11.85"/>
    <col collapsed="false" customWidth="true" hidden="false" outlineLevel="0" max="6" min="5" style="1" width="10.85"/>
    <col collapsed="false" customWidth="true" hidden="false" outlineLevel="0" max="10" min="10" style="1" width="12.42"/>
  </cols>
  <sheetData>
    <row r="1" customFormat="false" ht="12.65" hidden="false" customHeight="false" outlineLevel="0" collapsed="false">
      <c r="B1" s="1" t="s">
        <v>21</v>
      </c>
      <c r="C1" s="8">
        <v>210</v>
      </c>
      <c r="D1" s="8">
        <v>1100</v>
      </c>
      <c r="E1" s="8">
        <v>280</v>
      </c>
      <c r="F1" s="8">
        <v>360</v>
      </c>
      <c r="G1" s="8">
        <v>100</v>
      </c>
    </row>
    <row r="2" customFormat="false" ht="12.65" hidden="false" customHeight="false" outlineLevel="0" collapsed="false"/>
    <row r="3" customFormat="false" ht="12.65" hidden="false" customHeight="false" outlineLevel="0" collapsed="false">
      <c r="B3" s="2" t="s">
        <v>22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customFormat="false" ht="12.65" hidden="false" customHeight="false" outlineLevel="0" collapsed="false">
      <c r="B4" s="1" t="s">
        <v>9</v>
      </c>
      <c r="C4" s="9" t="n">
        <f aca="false">'basic data'!C5/'Model derivation'!C$1</f>
        <v>0.0476190476190476</v>
      </c>
      <c r="D4" s="9" t="n">
        <f aca="false">'basic data'!D5/'Model derivation'!D$1</f>
        <v>0</v>
      </c>
      <c r="E4" s="9" t="n">
        <f aca="false">'basic data'!E5/'Model derivation'!E$1</f>
        <v>0.285714285714286</v>
      </c>
      <c r="F4" s="9" t="n">
        <f aca="false">'basic data'!F5/'Model derivation'!F$1</f>
        <v>0.0277777777777778</v>
      </c>
      <c r="G4" s="9" t="n">
        <f aca="false">'basic data'!G5/'Model derivation'!G$1</f>
        <v>0</v>
      </c>
    </row>
    <row r="5" customFormat="false" ht="12.65" hidden="false" customHeight="false" outlineLevel="0" collapsed="false">
      <c r="B5" s="1" t="s">
        <v>10</v>
      </c>
      <c r="C5" s="9" t="n">
        <f aca="false">'basic data'!C6/'Model derivation'!C$1</f>
        <v>0</v>
      </c>
      <c r="D5" s="9" t="n">
        <f aca="false">'basic data'!D6/'Model derivation'!D$1</f>
        <v>0</v>
      </c>
      <c r="E5" s="9" t="n">
        <f aca="false">'basic data'!E6/'Model derivation'!E$1</f>
        <v>0</v>
      </c>
      <c r="F5" s="9" t="n">
        <f aca="false">'basic data'!F6/'Model derivation'!F$1</f>
        <v>0.277777777777778</v>
      </c>
      <c r="G5" s="9" t="n">
        <f aca="false">'basic data'!G6/'Model derivation'!G$1</f>
        <v>0</v>
      </c>
    </row>
    <row r="6" customFormat="false" ht="12.65" hidden="false" customHeight="false" outlineLevel="0" collapsed="false">
      <c r="B6" s="1" t="s">
        <v>11</v>
      </c>
      <c r="C6" s="9" t="n">
        <f aca="false">'basic data'!C7/'Model derivation'!C$1</f>
        <v>0.0476190476190476</v>
      </c>
      <c r="D6" s="9" t="n">
        <f aca="false">'basic data'!D7/'Model derivation'!D$1</f>
        <v>0.00454545454545455</v>
      </c>
      <c r="E6" s="9" t="n">
        <f aca="false">'basic data'!E7/'Model derivation'!E$1</f>
        <v>0.357142857142857</v>
      </c>
      <c r="F6" s="9" t="n">
        <f aca="false">'basic data'!F7/'Model derivation'!F$1</f>
        <v>0</v>
      </c>
      <c r="G6" s="9" t="n">
        <f aca="false">'basic data'!G7/'Model derivation'!G$1</f>
        <v>0.05</v>
      </c>
    </row>
    <row r="7" customFormat="false" ht="12.65" hidden="false" customHeight="false" outlineLevel="0" collapsed="false">
      <c r="B7" s="1" t="s">
        <v>12</v>
      </c>
      <c r="C7" s="9" t="n">
        <f aca="false">'basic data'!C8/'Model derivation'!C$1</f>
        <v>0</v>
      </c>
      <c r="D7" s="9" t="n">
        <f aca="false">'basic data'!D8/'Model derivation'!D$1</f>
        <v>0.00454545454545455</v>
      </c>
      <c r="E7" s="9" t="n">
        <f aca="false">'basic data'!E8/'Model derivation'!E$1</f>
        <v>0</v>
      </c>
      <c r="F7" s="9" t="n">
        <f aca="false">'basic data'!F8/'Model derivation'!F$1</f>
        <v>0</v>
      </c>
      <c r="G7" s="9" t="n">
        <f aca="false">'basic data'!G8/'Model derivation'!G$1</f>
        <v>0.05</v>
      </c>
    </row>
    <row r="8" customFormat="false" ht="12.65" hidden="false" customHeight="false" outlineLevel="0" collapsed="false">
      <c r="B8" s="1" t="s">
        <v>13</v>
      </c>
      <c r="C8" s="9" t="n">
        <f aca="false">'basic data'!C9/'Model derivation'!C$1</f>
        <v>0.476190476190476</v>
      </c>
      <c r="D8" s="9" t="n">
        <f aca="false">'basic data'!D9/'Model derivation'!D$1</f>
        <v>0.181818181818182</v>
      </c>
      <c r="E8" s="9" t="n">
        <f aca="false">'basic data'!E9/'Model derivation'!E$1</f>
        <v>0.0357142857142857</v>
      </c>
      <c r="F8" s="9" t="n">
        <f aca="false">'basic data'!F9/'Model derivation'!F$1</f>
        <v>0.138888888888889</v>
      </c>
      <c r="G8" s="9" t="n">
        <f aca="false">'basic data'!G9/'Model derivation'!G$1</f>
        <v>0.5</v>
      </c>
    </row>
    <row r="9" customFormat="false" ht="12.65" hidden="false" customHeight="false" outlineLevel="0" collapsed="false">
      <c r="B9" s="1" t="s">
        <v>14</v>
      </c>
      <c r="C9" s="9" t="n">
        <f aca="false">'basic data'!C10/'Model derivation'!C$1</f>
        <v>0</v>
      </c>
      <c r="D9" s="9" t="n">
        <f aca="false">'basic data'!D10/'Model derivation'!D$1</f>
        <v>0.00454545454545455</v>
      </c>
      <c r="E9" s="9" t="n">
        <f aca="false">'basic data'!E10/'Model derivation'!E$1</f>
        <v>0</v>
      </c>
      <c r="F9" s="9" t="n">
        <f aca="false">'basic data'!F10/'Model derivation'!F$1</f>
        <v>0.402777777777778</v>
      </c>
      <c r="G9" s="9" t="n">
        <f aca="false">'basic data'!G10/'Model derivation'!G$1</f>
        <v>0</v>
      </c>
    </row>
    <row r="10" customFormat="false" ht="12.65" hidden="false" customHeight="false" outlineLevel="0" collapsed="false">
      <c r="B10" s="1" t="s">
        <v>15</v>
      </c>
      <c r="C10" s="9" t="n">
        <f aca="false">'basic data'!C11/'Model derivation'!C$1</f>
        <v>0.0476190476190476</v>
      </c>
      <c r="D10" s="9" t="n">
        <f aca="false">'basic data'!D11/'Model derivation'!D$1</f>
        <v>0.00454545454545455</v>
      </c>
      <c r="E10" s="9" t="n">
        <f aca="false">'basic data'!E11/'Model derivation'!E$1</f>
        <v>0.0178571428571429</v>
      </c>
      <c r="F10" s="9" t="n">
        <f aca="false">'basic data'!F11/'Model derivation'!F$1</f>
        <v>0.0138888888888889</v>
      </c>
      <c r="G10" s="9" t="n">
        <f aca="false">'basic data'!G11/'Model derivation'!G$1</f>
        <v>0.1</v>
      </c>
    </row>
    <row r="11" customFormat="false" ht="12.65" hidden="false" customHeight="false" outlineLevel="0" collapsed="false">
      <c r="B11" s="1" t="s">
        <v>16</v>
      </c>
      <c r="C11" s="9" t="n">
        <f aca="false">'basic data'!C12/'Model derivation'!C$1</f>
        <v>0.0238095238095238</v>
      </c>
      <c r="D11" s="9" t="n">
        <f aca="false">'basic data'!D12/'Model derivation'!D$1</f>
        <v>0.0136363636363636</v>
      </c>
      <c r="E11" s="9" t="n">
        <f aca="false">'basic data'!E12/'Model derivation'!E$1</f>
        <v>0.0714285714285714</v>
      </c>
      <c r="F11" s="9" t="n">
        <f aca="false">'basic data'!F12/'Model derivation'!F$1</f>
        <v>0.111111111111111</v>
      </c>
      <c r="G11" s="9" t="n">
        <f aca="false">'basic data'!G12/'Model derivation'!G$1</f>
        <v>0.2</v>
      </c>
    </row>
    <row r="12" customFormat="false" ht="12.65" hidden="false" customHeight="false" outlineLevel="0" collapsed="false"/>
    <row r="13" customFormat="false" ht="12.65" hidden="false" customHeight="false" outlineLevel="0" collapsed="false">
      <c r="B13" s="6" t="s">
        <v>23</v>
      </c>
      <c r="C13" s="10" t="n">
        <f aca="false">SUM(C4:C11)</f>
        <v>0.642857142857143</v>
      </c>
      <c r="D13" s="10" t="n">
        <f aca="false">SUM(D4:D11)</f>
        <v>0.213636363636364</v>
      </c>
      <c r="E13" s="10" t="n">
        <f aca="false">SUM(E4:E11)</f>
        <v>0.767857142857143</v>
      </c>
      <c r="F13" s="9" t="n">
        <f aca="false">SUM(F4:F11)</f>
        <v>0.972222222222222</v>
      </c>
      <c r="G13" s="10" t="n">
        <f aca="false">SUM(G4:G11)</f>
        <v>0.9</v>
      </c>
    </row>
    <row r="14" customFormat="false" ht="12.65" hidden="false" customHeight="false" outlineLevel="0" collapsed="false"/>
    <row r="15" customFormat="false" ht="12.65" hidden="false" customHeight="false" outlineLevel="0" collapsed="false">
      <c r="B15" s="2" t="s">
        <v>24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</row>
    <row r="16" customFormat="false" ht="12.65" hidden="false" customHeight="false" outlineLevel="0" collapsed="false">
      <c r="B16" s="1" t="s">
        <v>2</v>
      </c>
      <c r="C16" s="11" t="n">
        <f aca="false">'basic data'!C19/'basic data'!C$27</f>
        <v>1</v>
      </c>
      <c r="D16" s="11" t="n">
        <f aca="false">'basic data'!D19/'basic data'!D$27</f>
        <v>0</v>
      </c>
      <c r="E16" s="11" t="n">
        <f aca="false">'basic data'!E19/'basic data'!E$27</f>
        <v>0.555555555555556</v>
      </c>
      <c r="F16" s="11" t="n">
        <f aca="false">'basic data'!F19/'basic data'!F$27</f>
        <v>0.0476190476190476</v>
      </c>
      <c r="G16" s="11" t="n">
        <f aca="false">'basic data'!G19/'basic data'!G$27</f>
        <v>0</v>
      </c>
      <c r="H16" s="11" t="n">
        <f aca="false">'basic data'!H19/'basic data'!H$27</f>
        <v>0</v>
      </c>
      <c r="I16" s="11" t="n">
        <f aca="false">'basic data'!I19/'basic data'!I$27</f>
        <v>0</v>
      </c>
      <c r="J16" s="11" t="n">
        <f aca="false">'basic data'!J19/'basic data'!J$27</f>
        <v>0</v>
      </c>
    </row>
    <row r="17" customFormat="false" ht="12.65" hidden="false" customHeight="false" outlineLevel="0" collapsed="false">
      <c r="B17" s="1" t="s">
        <v>3</v>
      </c>
      <c r="C17" s="11" t="n">
        <f aca="false">'basic data'!C20/'basic data'!C$27</f>
        <v>0</v>
      </c>
      <c r="D17" s="11" t="n">
        <f aca="false">'basic data'!D20/'basic data'!D$27</f>
        <v>1</v>
      </c>
      <c r="E17" s="11" t="n">
        <f aca="false">'basic data'!E20/'basic data'!E$27</f>
        <v>0</v>
      </c>
      <c r="F17" s="11" t="n">
        <f aca="false">'basic data'!F20/'basic data'!F$27</f>
        <v>0</v>
      </c>
      <c r="G17" s="11" t="n">
        <f aca="false">'basic data'!G20/'basic data'!G$27</f>
        <v>0.99009900990099</v>
      </c>
      <c r="H17" s="11" t="n">
        <f aca="false">'basic data'!H20/'basic data'!H$27</f>
        <v>0</v>
      </c>
      <c r="I17" s="11" t="n">
        <f aca="false">'basic data'!I20/'basic data'!I$27</f>
        <v>0</v>
      </c>
      <c r="J17" s="11" t="n">
        <f aca="false">'basic data'!J20/'basic data'!J$27</f>
        <v>0</v>
      </c>
    </row>
    <row r="18" customFormat="false" ht="12.65" hidden="false" customHeight="false" outlineLevel="0" collapsed="false">
      <c r="B18" s="1" t="s">
        <v>4</v>
      </c>
      <c r="C18" s="11" t="n">
        <f aca="false">'basic data'!C21/'basic data'!C$27</f>
        <v>0</v>
      </c>
      <c r="D18" s="11" t="n">
        <f aca="false">'basic data'!D21/'basic data'!D$27</f>
        <v>0</v>
      </c>
      <c r="E18" s="11" t="n">
        <f aca="false">'basic data'!E21/'basic data'!E$27</f>
        <v>0.444444444444444</v>
      </c>
      <c r="F18" s="11" t="n">
        <f aca="false">'basic data'!F21/'basic data'!F$27</f>
        <v>0.952380952380952</v>
      </c>
      <c r="G18" s="11" t="n">
        <f aca="false">'basic data'!G21/'basic data'!G$27</f>
        <v>0</v>
      </c>
      <c r="H18" s="11" t="n">
        <f aca="false">'basic data'!H21/'basic data'!H$27</f>
        <v>0</v>
      </c>
      <c r="I18" s="11" t="n">
        <f aca="false">'basic data'!I21/'basic data'!I$27</f>
        <v>0</v>
      </c>
      <c r="J18" s="11" t="n">
        <f aca="false">'basic data'!J21/'basic data'!J$27</f>
        <v>0</v>
      </c>
    </row>
    <row r="19" customFormat="false" ht="12.65" hidden="false" customHeight="false" outlineLevel="0" collapsed="false">
      <c r="B19" s="1" t="s">
        <v>5</v>
      </c>
      <c r="C19" s="11" t="n">
        <f aca="false">'basic data'!C22/'basic data'!C$27</f>
        <v>0</v>
      </c>
      <c r="D19" s="11" t="n">
        <f aca="false">'basic data'!D22/'basic data'!D$27</f>
        <v>0</v>
      </c>
      <c r="E19" s="11" t="n">
        <f aca="false">'basic data'!E22/'basic data'!E$27</f>
        <v>0</v>
      </c>
      <c r="F19" s="11" t="n">
        <f aca="false">'basic data'!F22/'basic data'!F$27</f>
        <v>0</v>
      </c>
      <c r="G19" s="11" t="n">
        <f aca="false">'basic data'!G22/'basic data'!G$27</f>
        <v>0.0099009900990099</v>
      </c>
      <c r="H19" s="11" t="n">
        <f aca="false">'basic data'!H22/'basic data'!H$27</f>
        <v>1</v>
      </c>
      <c r="I19" s="11" t="n">
        <f aca="false">'basic data'!I22/'basic data'!I$27</f>
        <v>1</v>
      </c>
      <c r="J19" s="11" t="n">
        <f aca="false">'basic data'!J22/'basic data'!J$27</f>
        <v>0</v>
      </c>
    </row>
    <row r="20" customFormat="false" ht="12.65" hidden="false" customHeight="false" outlineLevel="0" collapsed="false">
      <c r="B20" s="1" t="s">
        <v>6</v>
      </c>
      <c r="C20" s="11" t="n">
        <f aca="false">'basic data'!C23/'basic data'!C$27</f>
        <v>0</v>
      </c>
      <c r="D20" s="11" t="n">
        <f aca="false">'basic data'!D23/'basic data'!D$27</f>
        <v>0</v>
      </c>
      <c r="E20" s="11" t="n">
        <f aca="false">'basic data'!E23/'basic data'!E$27</f>
        <v>0</v>
      </c>
      <c r="F20" s="11" t="n">
        <f aca="false">'basic data'!F23/'basic data'!F$27</f>
        <v>0</v>
      </c>
      <c r="G20" s="11" t="n">
        <f aca="false">'basic data'!G23/'basic data'!G$27</f>
        <v>0</v>
      </c>
      <c r="H20" s="11" t="n">
        <f aca="false">'basic data'!H23/'basic data'!H$27</f>
        <v>0</v>
      </c>
      <c r="I20" s="11" t="n">
        <f aca="false">'basic data'!I23/'basic data'!I$27</f>
        <v>0</v>
      </c>
      <c r="J20" s="11" t="n">
        <f aca="false">'basic data'!J23/'basic data'!J$27</f>
        <v>1</v>
      </c>
    </row>
    <row r="21" customFormat="false" ht="12.65" hidden="false" customHeight="false" outlineLevel="0" collapsed="false"/>
    <row r="22" customFormat="false" ht="12.65" hidden="false" customHeight="false" outlineLevel="0" collapsed="false">
      <c r="B22" s="6" t="s">
        <v>23</v>
      </c>
      <c r="C22" s="7" t="n">
        <f aca="false">SUM(C16:C20)</f>
        <v>1</v>
      </c>
      <c r="D22" s="7" t="n">
        <f aca="false">SUM(D16:D20)</f>
        <v>1</v>
      </c>
      <c r="E22" s="7" t="n">
        <f aca="false">SUM(E16:E20)</f>
        <v>1</v>
      </c>
      <c r="F22" s="7" t="n">
        <f aca="false">SUM(F16:F20)</f>
        <v>1</v>
      </c>
      <c r="G22" s="7" t="n">
        <f aca="false">SUM(G16:G20)</f>
        <v>1</v>
      </c>
      <c r="H22" s="7" t="n">
        <f aca="false">SUM(H16:H20)</f>
        <v>1</v>
      </c>
      <c r="I22" s="7" t="n">
        <f aca="false">SUM(I16:I20)</f>
        <v>1</v>
      </c>
      <c r="J22" s="7" t="n">
        <f aca="false">SUM(J16:J20)</f>
        <v>1</v>
      </c>
    </row>
    <row r="23" customFormat="false" ht="12.65" hidden="false" customHeight="false" outlineLevel="0" collapsed="false"/>
    <row r="24" customFormat="false" ht="12.65" hidden="false" customHeight="false" outlineLevel="0" collapsed="false">
      <c r="B24" s="2" t="s">
        <v>25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J24" s="2" t="s">
        <v>26</v>
      </c>
      <c r="K24" s="1" t="s">
        <v>2</v>
      </c>
      <c r="L24" s="1" t="s">
        <v>3</v>
      </c>
      <c r="M24" s="1" t="s">
        <v>4</v>
      </c>
      <c r="N24" s="1" t="s">
        <v>5</v>
      </c>
      <c r="O24" s="1" t="s">
        <v>6</v>
      </c>
    </row>
    <row r="25" customFormat="false" ht="12.65" hidden="false" customHeight="false" outlineLevel="0" collapsed="false">
      <c r="B25" s="1" t="s">
        <v>2</v>
      </c>
      <c r="C25" s="9" t="n">
        <f aca="false" t="array" ref="C25:G29">MMULT($C$16:$J$20,$C$4:$G$11)</f>
        <v>0.0740740740740741</v>
      </c>
      <c r="D25" s="9" t="n">
        <v>0.00274170274170275</v>
      </c>
      <c r="E25" s="9" t="n">
        <v>0.484126984126984</v>
      </c>
      <c r="F25" s="9" t="n">
        <v>0.0277777777777778</v>
      </c>
      <c r="G25" s="9" t="n">
        <v>0.0301587301587302</v>
      </c>
      <c r="J25" s="1" t="s">
        <v>2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</row>
    <row r="26" customFormat="false" ht="12.65" hidden="false" customHeight="false" outlineLevel="0" collapsed="false">
      <c r="B26" s="1" t="s">
        <v>3</v>
      </c>
      <c r="C26" s="9" t="n">
        <v>0.471475719000471</v>
      </c>
      <c r="D26" s="9" t="n">
        <v>0.18001800180018</v>
      </c>
      <c r="E26" s="9" t="n">
        <v>0.0353606789250353</v>
      </c>
      <c r="F26" s="9" t="n">
        <v>0.415291529152916</v>
      </c>
      <c r="G26" s="9" t="n">
        <v>0.495049504950495</v>
      </c>
      <c r="J26" s="1" t="s">
        <v>3</v>
      </c>
      <c r="K26" s="3">
        <v>0</v>
      </c>
      <c r="L26" s="3">
        <v>1</v>
      </c>
      <c r="M26" s="3">
        <v>0</v>
      </c>
      <c r="N26" s="3">
        <v>0</v>
      </c>
      <c r="O26" s="3">
        <v>0</v>
      </c>
    </row>
    <row r="27" customFormat="false" ht="12.65" hidden="false" customHeight="false" outlineLevel="0" collapsed="false">
      <c r="B27" s="1" t="s">
        <v>4</v>
      </c>
      <c r="C27" s="9" t="n">
        <v>0.0211640211640211</v>
      </c>
      <c r="D27" s="9" t="n">
        <v>0.00634920634920635</v>
      </c>
      <c r="E27" s="9" t="n">
        <v>0.158730158730159</v>
      </c>
      <c r="F27" s="9" t="n">
        <v>0</v>
      </c>
      <c r="G27" s="9" t="n">
        <v>0.0698412698412698</v>
      </c>
      <c r="J27" s="1" t="s">
        <v>4</v>
      </c>
      <c r="K27" s="3">
        <v>0</v>
      </c>
      <c r="L27" s="3">
        <v>0</v>
      </c>
      <c r="M27" s="3">
        <v>1</v>
      </c>
      <c r="N27" s="3">
        <v>0</v>
      </c>
      <c r="O27" s="3">
        <v>0</v>
      </c>
    </row>
    <row r="28" customFormat="false" ht="12.65" hidden="false" customHeight="false" outlineLevel="0" collapsed="false">
      <c r="B28" s="1" t="s">
        <v>5</v>
      </c>
      <c r="C28" s="9" t="n">
        <v>0.0523338048090523</v>
      </c>
      <c r="D28" s="9" t="n">
        <v>0.0108910891089109</v>
      </c>
      <c r="E28" s="9" t="n">
        <v>0.0182107496463933</v>
      </c>
      <c r="F28" s="9" t="n">
        <v>0.418041804180418</v>
      </c>
      <c r="G28" s="9" t="n">
        <v>0.104950495049505</v>
      </c>
      <c r="J28" s="1" t="s">
        <v>5</v>
      </c>
      <c r="K28" s="3">
        <v>0</v>
      </c>
      <c r="L28" s="3">
        <v>0</v>
      </c>
      <c r="M28" s="3">
        <v>0</v>
      </c>
      <c r="N28" s="3">
        <v>1</v>
      </c>
      <c r="O28" s="3">
        <v>0</v>
      </c>
    </row>
    <row r="29" customFormat="false" ht="12.65" hidden="false" customHeight="false" outlineLevel="0" collapsed="false">
      <c r="B29" s="1" t="s">
        <v>6</v>
      </c>
      <c r="C29" s="9" t="n">
        <v>0.0238095238095238</v>
      </c>
      <c r="D29" s="9" t="n">
        <v>0.0136363636363636</v>
      </c>
      <c r="E29" s="9" t="n">
        <v>0.0714285714285714</v>
      </c>
      <c r="F29" s="9" t="n">
        <v>0.111111111111111</v>
      </c>
      <c r="G29" s="9" t="n">
        <v>0.2</v>
      </c>
      <c r="J29" s="1" t="s">
        <v>6</v>
      </c>
      <c r="K29" s="3">
        <v>0</v>
      </c>
      <c r="L29" s="3">
        <v>0</v>
      </c>
      <c r="M29" s="3">
        <v>0</v>
      </c>
      <c r="N29" s="3">
        <v>0</v>
      </c>
      <c r="O29" s="3">
        <v>1</v>
      </c>
    </row>
    <row r="30" customFormat="false" ht="12.65" hidden="false" customHeight="false" outlineLevel="0" collapsed="false"/>
    <row r="31" customFormat="false" ht="12.65" hidden="false" customHeight="false" outlineLevel="0" collapsed="false">
      <c r="B31" s="2" t="s">
        <v>27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I31" s="2" t="s">
        <v>28</v>
      </c>
      <c r="K31" s="1" t="s">
        <v>29</v>
      </c>
    </row>
    <row r="32" customFormat="false" ht="12.65" hidden="false" customHeight="false" outlineLevel="0" collapsed="false">
      <c r="B32" s="1" t="s">
        <v>2</v>
      </c>
      <c r="C32" s="9" t="n">
        <f aca="false">K25-C25</f>
        <v>0.925925925925926</v>
      </c>
      <c r="D32" s="9" t="n">
        <f aca="false">L25-D25</f>
        <v>-0.00274170274170275</v>
      </c>
      <c r="E32" s="9" t="n">
        <f aca="false">M25-E25</f>
        <v>-0.484126984126984</v>
      </c>
      <c r="F32" s="9" t="n">
        <f aca="false">N25-F25</f>
        <v>-0.0277777777777778</v>
      </c>
      <c r="G32" s="9" t="n">
        <f aca="false">O25-G25</f>
        <v>-0.0301587301587302</v>
      </c>
      <c r="J32" s="12" t="n">
        <f aca="false" t="array" ref="J32:J36">MMULT($C$16:$J$20,'basic data'!$K$5:$K$12)</f>
        <v>42.8571428571429</v>
      </c>
    </row>
    <row r="33" customFormat="false" ht="12.65" hidden="false" customHeight="false" outlineLevel="0" collapsed="false">
      <c r="B33" s="1" t="s">
        <v>3</v>
      </c>
      <c r="C33" s="9" t="n">
        <f aca="false">K26-C26</f>
        <v>-0.471475719000471</v>
      </c>
      <c r="D33" s="9" t="n">
        <f aca="false">L26-D26</f>
        <v>0.81998199819982</v>
      </c>
      <c r="E33" s="9" t="n">
        <f aca="false">M26-E26</f>
        <v>-0.0353606789250353</v>
      </c>
      <c r="F33" s="9" t="n">
        <f aca="false">N26-F26</f>
        <v>-0.415291529152916</v>
      </c>
      <c r="G33" s="9" t="n">
        <f aca="false">O26-G26</f>
        <v>-0.495049504950495</v>
      </c>
      <c r="J33" s="12" t="n">
        <v>594.059405940594</v>
      </c>
    </row>
    <row r="34" customFormat="false" ht="12.65" hidden="false" customHeight="false" outlineLevel="0" collapsed="false">
      <c r="B34" s="1" t="s">
        <v>4</v>
      </c>
      <c r="C34" s="9" t="n">
        <f aca="false">K27-C27</f>
        <v>-0.0211640211640211</v>
      </c>
      <c r="D34" s="9" t="n">
        <f aca="false">L27-D27</f>
        <v>-0.00634920634920635</v>
      </c>
      <c r="E34" s="9" t="n">
        <f aca="false">M27-E27</f>
        <v>0.841269841269842</v>
      </c>
      <c r="F34" s="9" t="n">
        <f aca="false">N27-F27</f>
        <v>0</v>
      </c>
      <c r="G34" s="9" t="n">
        <f aca="false">O27-G27</f>
        <v>-0.0698412698412698</v>
      </c>
      <c r="J34" s="12" t="n">
        <v>217.142857142857</v>
      </c>
    </row>
    <row r="35" customFormat="false" ht="12.65" hidden="false" customHeight="false" outlineLevel="0" collapsed="false">
      <c r="B35" s="1" t="s">
        <v>5</v>
      </c>
      <c r="C35" s="9" t="n">
        <f aca="false">K28-C28</f>
        <v>-0.0523338048090523</v>
      </c>
      <c r="D35" s="9" t="n">
        <f aca="false">L28-D28</f>
        <v>-0.0108910891089109</v>
      </c>
      <c r="E35" s="9" t="n">
        <f aca="false">M28-E28</f>
        <v>-0.0182107496463933</v>
      </c>
      <c r="F35" s="9" t="n">
        <f aca="false">N28-F28</f>
        <v>0.581958195819582</v>
      </c>
      <c r="G35" s="9" t="n">
        <f aca="false">O28-G28</f>
        <v>-0.104950495049505</v>
      </c>
      <c r="J35" s="12" t="n">
        <v>170.940594059406</v>
      </c>
    </row>
    <row r="36" customFormat="false" ht="12.65" hidden="false" customHeight="false" outlineLevel="0" collapsed="false">
      <c r="B36" s="1" t="s">
        <v>6</v>
      </c>
      <c r="C36" s="9" t="n">
        <f aca="false">K29-C29</f>
        <v>-0.0238095238095238</v>
      </c>
      <c r="D36" s="9" t="n">
        <f aca="false">L29-D29</f>
        <v>-0.0136363636363636</v>
      </c>
      <c r="E36" s="9" t="n">
        <f aca="false">M29-E29</f>
        <v>-0.0714285714285714</v>
      </c>
      <c r="F36" s="9" t="n">
        <f aca="false">N29-F29</f>
        <v>-0.111111111111111</v>
      </c>
      <c r="G36" s="9" t="n">
        <f aca="false">O29-G29</f>
        <v>0.8</v>
      </c>
      <c r="J36" s="12" t="n">
        <v>0</v>
      </c>
    </row>
    <row r="37" customFormat="false" ht="12.65" hidden="false" customHeight="false" outlineLevel="0" collapsed="false"/>
    <row r="38" customFormat="false" ht="12.65" hidden="false" customHeight="false" outlineLevel="0" collapsed="false"/>
    <row r="39" customFormat="false" ht="12.65" hidden="false" customHeight="false" outlineLevel="0" collapsed="false"/>
    <row r="40" customFormat="false" ht="12.65" hidden="false" customHeight="false" outlineLevel="0" collapsed="false">
      <c r="B40" s="2" t="s">
        <v>30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I40" s="2" t="s">
        <v>31</v>
      </c>
      <c r="J40" s="2" t="s">
        <v>32</v>
      </c>
      <c r="L40" s="2" t="s">
        <v>33</v>
      </c>
      <c r="M40" s="13" t="s">
        <v>19</v>
      </c>
    </row>
    <row r="41" customFormat="false" ht="12.65" hidden="false" customHeight="false" outlineLevel="0" collapsed="false">
      <c r="B41" s="1" t="s">
        <v>2</v>
      </c>
      <c r="C41" s="12" t="n">
        <f aca="false" t="array" ref="C41:G45">MINVERSE($C$32:$G$36)</f>
        <v>1.10859879486782</v>
      </c>
      <c r="D41" s="12" t="n">
        <v>0.011794947670708</v>
      </c>
      <c r="E41" s="12" t="n">
        <v>0.650192697553602</v>
      </c>
      <c r="F41" s="12" t="n">
        <v>0.0836373800453327</v>
      </c>
      <c r="G41" s="12" t="n">
        <v>0.116826353741348</v>
      </c>
      <c r="J41" s="14" t="n">
        <f aca="false" t="array" ref="J41:J45">MMULT($C$41:$G$45,$J$32:$J$36)</f>
        <v>210</v>
      </c>
      <c r="M41" s="14" t="n">
        <f aca="false">'basic data'!L19</f>
        <v>210</v>
      </c>
    </row>
    <row r="42" customFormat="false" ht="12.65" hidden="false" customHeight="false" outlineLevel="0" collapsed="false">
      <c r="B42" s="1" t="s">
        <v>3</v>
      </c>
      <c r="C42" s="12" t="n">
        <v>0.743683301401688</v>
      </c>
      <c r="D42" s="12" t="n">
        <v>1.25827525968246</v>
      </c>
      <c r="E42" s="12" t="n">
        <v>0.590624830877376</v>
      </c>
      <c r="F42" s="12" t="n">
        <v>1.12546491965249</v>
      </c>
      <c r="G42" s="12" t="n">
        <v>1.00588147134303</v>
      </c>
      <c r="J42" s="14" t="n">
        <v>1100</v>
      </c>
      <c r="M42" s="14" t="n">
        <f aca="false">'basic data'!L20</f>
        <v>1100</v>
      </c>
    </row>
    <row r="43" customFormat="false" ht="12.65" hidden="false" customHeight="false" outlineLevel="0" collapsed="false">
      <c r="B43" s="1" t="s">
        <v>4</v>
      </c>
      <c r="C43" s="12" t="n">
        <v>0.0390458367629517</v>
      </c>
      <c r="D43" s="12" t="n">
        <v>0.0120363627401521</v>
      </c>
      <c r="E43" s="12" t="n">
        <v>1.22256852362969</v>
      </c>
      <c r="F43" s="12" t="n">
        <v>0.0333698982051871</v>
      </c>
      <c r="G43" s="12" t="n">
        <v>0.120030117206654</v>
      </c>
      <c r="J43" s="14" t="n">
        <v>280</v>
      </c>
      <c r="M43" s="14" t="n">
        <f aca="false">'basic data'!L21</f>
        <v>280</v>
      </c>
    </row>
    <row r="44" customFormat="false" ht="12.65" hidden="false" customHeight="false" outlineLevel="0" collapsed="false">
      <c r="B44" s="1" t="s">
        <v>5</v>
      </c>
      <c r="C44" s="12" t="n">
        <v>0.126875399236642</v>
      </c>
      <c r="D44" s="12" t="n">
        <v>0.0298582894267233</v>
      </c>
      <c r="E44" s="12" t="n">
        <v>0.136181948737438</v>
      </c>
      <c r="F44" s="12" t="n">
        <v>1.79743114537036</v>
      </c>
      <c r="G44" s="12" t="n">
        <v>0.270950176352533</v>
      </c>
      <c r="J44" s="14" t="n">
        <v>360</v>
      </c>
      <c r="M44" s="14" t="n">
        <f aca="false">'basic data'!L22</f>
        <v>360</v>
      </c>
    </row>
    <row r="45" customFormat="false" ht="12.65" hidden="false" customHeight="false" outlineLevel="0" collapsed="false">
      <c r="B45" s="1" t="s">
        <v>6</v>
      </c>
      <c r="C45" s="12" t="n">
        <v>0.0667782503148494</v>
      </c>
      <c r="D45" s="12" t="n">
        <v>0.0270205737410914</v>
      </c>
      <c r="E45" s="12" t="n">
        <v>0.157490505291988</v>
      </c>
      <c r="F45" s="12" t="n">
        <v>0.274295938701548</v>
      </c>
      <c r="G45" s="12" t="n">
        <v>1.31897162540007</v>
      </c>
      <c r="J45" s="14" t="n">
        <v>99.9999999999999</v>
      </c>
      <c r="M45" s="14" t="n">
        <f aca="false">'basic data'!L23</f>
        <v>100</v>
      </c>
    </row>
    <row r="46" customFormat="false" ht="12.65" hidden="false" customHeight="false" outlineLevel="0" collapsed="false"/>
    <row r="47" customFormat="false" ht="12.65" hidden="false" customHeight="false" outlineLevel="0" collapsed="false">
      <c r="B47" s="15" t="s">
        <v>34</v>
      </c>
      <c r="C47" s="16" t="s">
        <v>35</v>
      </c>
      <c r="D47" s="16"/>
      <c r="E47" s="16"/>
      <c r="F47" s="16"/>
      <c r="G47" s="16"/>
      <c r="H47" s="16"/>
      <c r="I47" s="16"/>
      <c r="J47" s="16"/>
      <c r="K47" s="16"/>
      <c r="L47" s="16"/>
    </row>
    <row r="48" customFormat="false" ht="12.65" hidden="false" customHeight="false" outlineLevel="0" collapsed="false"/>
    <row r="49" customFormat="false" ht="12.65" hidden="false" customHeight="false" outlineLevel="0" collapsed="false"/>
    <row r="50" customFormat="false" ht="12.65" hidden="false" customHeight="false" outlineLevel="0" collapsed="false">
      <c r="B50" s="2" t="s">
        <v>36</v>
      </c>
    </row>
    <row r="51" customFormat="false" ht="12.65" hidden="false" customHeight="false" outlineLevel="0" collapsed="false"/>
    <row r="52" customFormat="false" ht="12.65" hidden="false" customHeight="false" outlineLevel="0" collapsed="false">
      <c r="B52" s="1" t="s">
        <v>37</v>
      </c>
      <c r="R52" s="14" t="n">
        <f aca="false">C41*J32</f>
        <v>47.5113769229067</v>
      </c>
    </row>
    <row r="53" customFormat="false" ht="12.65" hidden="false" customHeight="false" outlineLevel="0" collapsed="false">
      <c r="A53" s="2" t="s">
        <v>38</v>
      </c>
      <c r="B53" s="1" t="s">
        <v>39</v>
      </c>
      <c r="R53" s="14" t="n">
        <f aca="false">D41*J33</f>
        <v>7.00689960636118</v>
      </c>
    </row>
    <row r="54" customFormat="false" ht="12.65" hidden="false" customHeight="false" outlineLevel="0" collapsed="false">
      <c r="A54" s="2" t="s">
        <v>38</v>
      </c>
      <c r="B54" s="1" t="s">
        <v>40</v>
      </c>
      <c r="R54" s="14" t="n">
        <f aca="false">E41*J34</f>
        <v>141.184700040211</v>
      </c>
    </row>
    <row r="55" customFormat="false" ht="12.65" hidden="false" customHeight="false" outlineLevel="0" collapsed="false">
      <c r="A55" s="2" t="s">
        <v>38</v>
      </c>
      <c r="B55" s="1" t="s">
        <v>41</v>
      </c>
      <c r="R55" s="14" t="n">
        <f aca="false">F41*J35</f>
        <v>14.2970234305215</v>
      </c>
    </row>
    <row r="56" customFormat="false" ht="12.65" hidden="false" customHeight="false" outlineLevel="0" collapsed="false">
      <c r="A56" s="2" t="s">
        <v>38</v>
      </c>
      <c r="B56" s="1" t="s">
        <v>42</v>
      </c>
      <c r="R56" s="14" t="n">
        <f aca="false">G41*J36</f>
        <v>0</v>
      </c>
    </row>
    <row r="57" customFormat="false" ht="12.65" hidden="false" customHeight="false" outlineLevel="0" collapsed="false">
      <c r="Q57" s="2" t="s">
        <v>43</v>
      </c>
      <c r="R57" s="2" t="n">
        <f aca="false">SUM(R52:R56)</f>
        <v>210</v>
      </c>
    </row>
    <row r="58" customFormat="false" ht="12.65" hidden="false" customHeight="false" outlineLevel="0" collapsed="false">
      <c r="B58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2" customHeight="false" zeroHeight="false" outlineLevelRow="0" outlineLevelCol="0"/>
  <cols>
    <col collapsed="false" customWidth="true" hidden="false" outlineLevel="0" max="18" min="18" style="1" width="11"/>
  </cols>
  <sheetData>
    <row r="1" customFormat="false" ht="12.65" hidden="false" customHeight="false" outlineLevel="0" collapsed="false"/>
    <row r="2" customFormat="false" ht="12.65" hidden="false" customHeight="false" outlineLevel="0" collapsed="false">
      <c r="B2" s="2" t="s">
        <v>45</v>
      </c>
    </row>
    <row r="3" customFormat="false" ht="12.65" hidden="false" customHeight="false" outlineLevel="0" collapsed="false"/>
    <row r="4" customFormat="false" ht="12.65" hidden="false" customHeight="false" outlineLevel="0" collapsed="false">
      <c r="C4" s="1" t="s">
        <v>46</v>
      </c>
    </row>
    <row r="5" customFormat="false" ht="15" hidden="false" customHeight="false" outlineLevel="0" collapsed="false">
      <c r="C5" s="17" t="s">
        <v>47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J5" s="2" t="s">
        <v>30</v>
      </c>
      <c r="K5" s="1" t="s">
        <v>2</v>
      </c>
      <c r="L5" s="1" t="s">
        <v>3</v>
      </c>
      <c r="M5" s="1" t="s">
        <v>4</v>
      </c>
      <c r="N5" s="1" t="s">
        <v>5</v>
      </c>
      <c r="O5" s="1" t="s">
        <v>6</v>
      </c>
    </row>
    <row r="6" customFormat="false" ht="12" hidden="false" customHeight="false" outlineLevel="0" collapsed="false">
      <c r="C6" s="1" t="s">
        <v>48</v>
      </c>
      <c r="D6" s="4">
        <v>0.5</v>
      </c>
      <c r="E6" s="4">
        <v>0.8</v>
      </c>
      <c r="F6" s="4">
        <v>0.3</v>
      </c>
      <c r="G6" s="4">
        <v>0.4</v>
      </c>
      <c r="H6" s="4">
        <v>0.1</v>
      </c>
      <c r="J6" s="1" t="s">
        <v>2</v>
      </c>
      <c r="K6" s="12">
        <v>1.10859879486782</v>
      </c>
      <c r="L6" s="12">
        <v>0.0117949476707078</v>
      </c>
      <c r="M6" s="12">
        <v>0.650192697553601</v>
      </c>
      <c r="N6" s="12">
        <v>0.0836373800453325</v>
      </c>
      <c r="O6" s="12">
        <v>0.116826353741348</v>
      </c>
    </row>
    <row r="7" customFormat="false" ht="12" hidden="false" customHeight="false" outlineLevel="0" collapsed="false">
      <c r="J7" s="1" t="s">
        <v>3</v>
      </c>
      <c r="K7" s="12">
        <v>0.743683301401687</v>
      </c>
      <c r="L7" s="12">
        <v>1.25827525968245</v>
      </c>
      <c r="M7" s="12">
        <v>0.590624830877375</v>
      </c>
      <c r="N7" s="12">
        <v>1.12546491965248</v>
      </c>
      <c r="O7" s="12">
        <v>1.00588147134303</v>
      </c>
    </row>
    <row r="8" customFormat="false" ht="12" hidden="false" customHeight="false" outlineLevel="0" collapsed="false">
      <c r="J8" s="1" t="s">
        <v>4</v>
      </c>
      <c r="K8" s="12">
        <v>0.0390458367629517</v>
      </c>
      <c r="L8" s="12">
        <v>0.0120363627401521</v>
      </c>
      <c r="M8" s="12">
        <v>1.22256852362969</v>
      </c>
      <c r="N8" s="12">
        <v>0.0333698982051871</v>
      </c>
      <c r="O8" s="12">
        <v>0.120030117206653</v>
      </c>
    </row>
    <row r="9" customFormat="false" ht="12" hidden="false" customHeight="false" outlineLevel="0" collapsed="false">
      <c r="C9" s="6" t="s">
        <v>49</v>
      </c>
      <c r="J9" s="1" t="s">
        <v>5</v>
      </c>
      <c r="K9" s="12">
        <v>0.126875399236641</v>
      </c>
      <c r="L9" s="12">
        <v>0.0298582894267232</v>
      </c>
      <c r="M9" s="12">
        <v>0.136181948737437</v>
      </c>
      <c r="N9" s="12">
        <v>1.79743114537035</v>
      </c>
      <c r="O9" s="12">
        <v>0.270950176352532</v>
      </c>
    </row>
    <row r="10" customFormat="false" ht="12" hidden="false" customHeight="false" outlineLevel="0" collapsed="false">
      <c r="D10" s="18" t="n">
        <f aca="false" t="array" ref="D10:H10">MMULT($D$6:$H$6,$K$6:$O$10)</f>
        <v>1.21838777431029</v>
      </c>
      <c r="E10" s="18" t="n">
        <v>1.03077396354816</v>
      </c>
      <c r="F10" s="18" t="n">
        <v>1.23458860059178</v>
      </c>
      <c r="G10" s="18" t="n">
        <v>1.6986036472245</v>
      </c>
      <c r="H10" s="18" t="n">
        <v>1.13940462218811</v>
      </c>
      <c r="J10" s="1" t="s">
        <v>6</v>
      </c>
      <c r="K10" s="12">
        <v>0.0667782503148494</v>
      </c>
      <c r="L10" s="12">
        <v>0.0270205737410915</v>
      </c>
      <c r="M10" s="12">
        <v>0.157490505291988</v>
      </c>
      <c r="N10" s="12">
        <v>0.274295938701548</v>
      </c>
      <c r="O10" s="12">
        <v>1.31897162540006</v>
      </c>
    </row>
    <row r="11" customFormat="false" ht="12" hidden="false" customHeight="false" outlineLevel="0" collapsed="false">
      <c r="K11" s="19"/>
      <c r="L11" s="19"/>
      <c r="M11" s="19"/>
      <c r="N11" s="19"/>
      <c r="O11" s="19"/>
    </row>
    <row r="12" customFormat="false" ht="12.75" hidden="false" customHeight="false" outlineLevel="0" collapsed="false">
      <c r="C12" s="2" t="s">
        <v>50</v>
      </c>
    </row>
    <row r="13" customFormat="false" ht="12.65" hidden="false" customHeight="false" outlineLevel="0" collapsed="false"/>
    <row r="14" customFormat="false" ht="12.65" hidden="false" customHeight="false" outlineLevel="0" collapsed="false">
      <c r="C14" s="1" t="s">
        <v>51</v>
      </c>
      <c r="S14" s="4" t="n">
        <f aca="false">D6*'Model derivation'!C41</f>
        <v>0.554299397433911</v>
      </c>
    </row>
    <row r="15" customFormat="false" ht="12.65" hidden="false" customHeight="false" outlineLevel="0" collapsed="false">
      <c r="B15" s="2" t="s">
        <v>38</v>
      </c>
      <c r="C15" s="1" t="s">
        <v>52</v>
      </c>
      <c r="S15" s="4" t="n">
        <f aca="false">E6*'Model derivation'!C42</f>
        <v>0.59494664112135</v>
      </c>
    </row>
    <row r="16" customFormat="false" ht="12.65" hidden="false" customHeight="false" outlineLevel="0" collapsed="false">
      <c r="B16" s="2" t="s">
        <v>38</v>
      </c>
      <c r="C16" s="1" t="s">
        <v>53</v>
      </c>
      <c r="S16" s="4" t="n">
        <f aca="false">'Model derivation'!C43*F6</f>
        <v>0.0117137510288855</v>
      </c>
    </row>
    <row r="17" customFormat="false" ht="12.65" hidden="false" customHeight="false" outlineLevel="0" collapsed="false">
      <c r="B17" s="2" t="s">
        <v>38</v>
      </c>
      <c r="C17" s="1" t="s">
        <v>54</v>
      </c>
      <c r="S17" s="4" t="n">
        <f aca="false">G6*'Model derivation'!C44</f>
        <v>0.0507501596946568</v>
      </c>
    </row>
    <row r="18" customFormat="false" ht="12.65" hidden="false" customHeight="false" outlineLevel="0" collapsed="false">
      <c r="B18" s="2" t="s">
        <v>38</v>
      </c>
      <c r="C18" s="1" t="s">
        <v>55</v>
      </c>
      <c r="S18" s="4" t="n">
        <f aca="false">H6*'Model derivation'!C45</f>
        <v>0.00667782503148494</v>
      </c>
    </row>
    <row r="19" customFormat="false" ht="12.65" hidden="false" customHeight="false" outlineLevel="0" collapsed="false">
      <c r="R19" s="2" t="s">
        <v>43</v>
      </c>
      <c r="S19" s="2" t="n">
        <f aca="false">SUM(S14:S18)</f>
        <v>1.21838777431029</v>
      </c>
    </row>
    <row r="20" customFormat="false" ht="12.65" hidden="false" customHeight="false" outlineLevel="0" collapsed="false">
      <c r="C20" s="1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Collabora_Office/26.04.3.3$Linux_X86_64 LibreOffice_project/7ddebab0ef71e249941ff21d2c8e4fbefa474499</Application>
  <AppVersion>15.0000</AppVersion>
  <Company>STC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2006-04-24T13:52:46Z</dcterms:created>
  <dc:creator>stlajos</dc:creator>
  <dc:description/>
  <dc:language>en-US</dc:language>
  <cp:lastModifiedBy/>
  <dcterms:modified xsi:type="dcterms:W3CDTF">2026-10-09T19:54:20Z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ec7a94f4-8973-4b4b-ab45-bcbc7f31459a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2024-11-14T12:58:22Z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_NewReviewCycle">
    <vt:lpwstr/>
  </property>
</Properties>
</file>