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x Algebra" sheetId="1" state="visible" r:id="rId3"/>
    <sheet name="Input-Output Model" sheetId="2" state="visible" r:id="rId4"/>
    <sheet name="Tool" sheetId="3" state="visible" r:id="rId5"/>
    <sheet name="KYZ_EEIO_2017" sheetId="4" state="visible" r:id="rId6"/>
  </sheets>
  <definedNames>
    <definedName function="false" hidden="false" name="A" vbProcedure="false">'Matrix Algebra'!$D$69:$E$70</definedName>
    <definedName function="false" hidden="false" name="AINV" vbProcedure="false">'Matrix Algebra'!$D$75:$E$76</definedName>
    <definedName function="false" hidden="false" name="Anew" vbProcedure="false">KYZ_EEIO_2017!$D$148:$AK$181</definedName>
    <definedName function="false" hidden="false" name="b" vbProcedure="false">'Matrix Algebra'!$D$72:$D$73</definedName>
    <definedName function="false" hidden="false" name="Calculated_Relationship_HS12___HS07" vbProcedure="false">'[1]correlation hs2012-hs2007'!#ref!</definedName>
    <definedName function="false" hidden="false" name="CMAT" vbProcedure="false">'Matrix Algebra'!$D$78:$E$79</definedName>
    <definedName function="false" hidden="false" name="COEF" vbProcedure="false">KYZ_EEIO_2017!$D$132:$AK$137</definedName>
    <definedName function="false" hidden="false" name="D" vbProcedure="false">'Matrix Algebra'!$I$14:$K$15</definedName>
    <definedName function="false" hidden="false" name="fdem" vbProcedure="false">'Input-Output Model'!$E$4:$E$5</definedName>
    <definedName function="false" hidden="false" name="fdemnew" vbProcedure="false">'Input-Output Model'!$C$30:$C$31</definedName>
    <definedName function="false" hidden="false" name="GPRIMEHAT" vbProcedure="false">'Matrix Algebra'!$D$106:$F$108</definedName>
    <definedName function="false" hidden="false" name="GPRIMEHATINV" vbProcedure="false">'Matrix Algebra'!$D$110:$F$112</definedName>
    <definedName function="false" hidden="false" name="I" vbProcedure="false">'Matrix Algebra'!$D$50:$F$52</definedName>
    <definedName function="false" hidden="false" name="identity" vbProcedure="false">'Input-Output Model'!$C$21:$D$22</definedName>
    <definedName function="false" hidden="false" name="IP" vbProcedure="false">'Matrix Algebra'!$D$57:$E$58</definedName>
    <definedName function="false" hidden="false" name="ISUM" vbProcedure="false">'Matrix Algebra'!$D$92:$D$94</definedName>
    <definedName function="false" hidden="false" name="ISUM2" vbProcedure="false">'Matrix Algebra'!$D$99:$E$99</definedName>
    <definedName function="false" hidden="false" name="L" vbProcedure="false">'Input-Output Model'!$C$24:$D$25</definedName>
    <definedName function="false" hidden="false" name="Lnew" vbProcedure="false">KYZ_EEIO_2017!$D$265:$AK$298</definedName>
    <definedName function="false" hidden="false" name="M" vbProcedure="false">'Matrix Algebra'!$D$2:$F$3</definedName>
    <definedName function="false" hidden="false" name="Matrix1" vbProcedure="false">#ref!</definedName>
    <definedName function="false" hidden="false" name="N" vbProcedure="false">'Matrix Algebra'!$D$5:$F$6</definedName>
    <definedName function="false" hidden="false" name="O" vbProcedure="false">'Matrix Algebra'!$D$11:$E$12</definedName>
    <definedName function="false" hidden="false" name="Q" vbProcedure="false">'Matrix Algebra'!$D$32:$F$34</definedName>
    <definedName function="false" hidden="false" name="REQ" vbProcedure="false">'Input-Output Model'!$C$18:$D$19</definedName>
    <definedName function="false" hidden="false" name="S" vbProcedure="false">'Matrix Algebra'!$D$8:$F$9</definedName>
    <definedName function="false" hidden="false" name="Sectors" vbProcedure="false">#ref!</definedName>
    <definedName function="false" hidden="false" name="sector_list" vbProcedure="false">#ref!</definedName>
    <definedName function="false" hidden="false" name="SUNBURST" vbProcedure="false">'[4]35-sector'!#ref!</definedName>
    <definedName function="false" hidden="false" name="TM" vbProcedure="false">'Matrix Algebra'!$D$43:$F$45</definedName>
    <definedName function="false" hidden="false" name="xhat" vbProcedure="false">'Input-Output Model'!$C$12:$D$13</definedName>
    <definedName function="false" hidden="false" name="xhatinv" vbProcedure="false">'Input-Output Model'!$C$15:$D$16</definedName>
    <definedName function="false" hidden="false" name="xnewdiag" vbProcedure="false">'Input-Output Model'!$C$36:$D$37</definedName>
    <definedName function="false" hidden="false" name="Z" vbProcedure="false">'Input-Output Model'!$C$4:$D$5</definedName>
    <definedName function="false" hidden="false" name="ZETA" vbProcedure="false">'Matrix Algebra'!$D$23:$F$24</definedName>
    <definedName function="false" hidden="false" name="Znew" vbProcedure="false">KYZ_EEIO_2017!$D$8:$AK$41</definedName>
    <definedName function="false" hidden="false" localSheetId="0" name="gprime" vbProcedure="false">#ref!</definedName>
    <definedName function="false" hidden="false" localSheetId="1" name="gprime" vbProcedure="false">#ref!</definedName>
    <definedName function="false" hidden="false" localSheetId="2" name="gprime" vbProcedure="false">#ref!</definedName>
    <definedName function="false" hidden="true" localSheetId="2" name="solver_adj" vbProcedure="false">Tool!$E$8,Tool!$E$29,Tool!$E$30</definedName>
    <definedName function="false" hidden="true" localSheetId="2" name="solver_cvg" vbProcedure="false">0.0001</definedName>
    <definedName function="false" hidden="true" localSheetId="2" name="solver_drv" vbProcedure="false">1</definedName>
    <definedName function="false" hidden="true" localSheetId="2" name="solver_eng" vbProcedure="false">2</definedName>
    <definedName function="false" hidden="true" localSheetId="2" name="solver_est" vbProcedure="false">1</definedName>
    <definedName function="false" hidden="true" localSheetId="2" name="solver_itr" vbProcedure="false">2147483647</definedName>
    <definedName function="false" hidden="true" localSheetId="2" name="solver_lhs1" vbProcedure="false">Tool!$E$30</definedName>
    <definedName function="false" hidden="true" localSheetId="2" name="solver_lhs2" vbProcedure="false">Tool!$S$8</definedName>
    <definedName function="false" hidden="true" localSheetId="2" name="solver_lhs3" vbProcedure="false">Tool!$S$8</definedName>
    <definedName function="false" hidden="true" localSheetId="2" name="solver_mip" vbProcedure="false">2147483647</definedName>
    <definedName function="false" hidden="true" localSheetId="2" name="solver_mni" vbProcedure="false">30</definedName>
    <definedName function="false" hidden="true" localSheetId="2" name="solver_mrt" vbProcedure="false">0.075</definedName>
    <definedName function="false" hidden="true" localSheetId="2" name="solver_msl" vbProcedure="false">2</definedName>
    <definedName function="false" hidden="true" localSheetId="2" name="solver_neg" vbProcedure="false">2</definedName>
    <definedName function="false" hidden="true" localSheetId="2" name="solver_nod" vbProcedure="false">2147483647</definedName>
    <definedName function="false" hidden="true" localSheetId="2" name="solver_num" vbProcedure="false">2</definedName>
    <definedName function="false" hidden="true" localSheetId="2" name="solver_nwt" vbProcedure="false">1</definedName>
    <definedName function="false" hidden="true" localSheetId="2" name="solver_opt" vbProcedure="false">Tool!$N$42</definedName>
    <definedName function="false" hidden="true" localSheetId="2" name="solver_pre" vbProcedure="false">0.000001</definedName>
    <definedName function="false" hidden="true" localSheetId="2" name="solver_rbv" vbProcedure="false">1</definedName>
    <definedName function="false" hidden="true" localSheetId="2" name="solver_rel1" vbProcedure="false">1</definedName>
    <definedName function="false" hidden="true" localSheetId="2" name="solver_rel2" vbProcedure="false">3</definedName>
    <definedName function="false" hidden="true" localSheetId="2" name="solver_rel3" vbProcedure="false">3</definedName>
    <definedName function="false" hidden="true" localSheetId="2" name="solver_rhs1" vbProcedure="false">0.1</definedName>
    <definedName function="false" hidden="true" localSheetId="2" name="solver_rhs2" vbProcedure="false">43000</definedName>
    <definedName function="false" hidden="true" localSheetId="2" name="solver_rhs3" vbProcedure="false">43000</definedName>
    <definedName function="false" hidden="true" localSheetId="2" name="solver_rlx" vbProcedure="false">2</definedName>
    <definedName function="false" hidden="true" localSheetId="2" name="solver_rsd" vbProcedure="false">0</definedName>
    <definedName function="false" hidden="true" localSheetId="2" name="solver_scl" vbProcedure="false">1</definedName>
    <definedName function="false" hidden="true" localSheetId="2" name="solver_sho" vbProcedure="false">2</definedName>
    <definedName function="false" hidden="true" localSheetId="2" name="solver_ssz" vbProcedure="false">100</definedName>
    <definedName function="false" hidden="true" localSheetId="2" name="solver_tim" vbProcedure="false">2147483647</definedName>
    <definedName function="false" hidden="true" localSheetId="2" name="solver_tol" vbProcedure="false">0.01</definedName>
    <definedName function="false" hidden="true" localSheetId="2" name="solver_typ" vbProcedure="false">3</definedName>
    <definedName function="false" hidden="true" localSheetId="2" name="solver_val" vbProcedure="false">25000</definedName>
    <definedName function="false" hidden="true" localSheetId="2" name="solver_ver" vbProcedure="false">3</definedName>
    <definedName function="false" hidden="false" localSheetId="3" name="Calculated_Relationship_HS12___HS07" vbProcedure="false">'[1]correlation hs2012-hs2007'!#ref!</definedName>
    <definedName function="false" hidden="false" localSheetId="3" name="gprime" vbProcedure="false">#ref!</definedName>
    <definedName function="false" hidden="false" localSheetId="3" name="Matrix1" vbProcedure="false">#ref!</definedName>
    <definedName function="false" hidden="false" localSheetId="3" name="Sectors" vbProcedure="false">#ref!</definedName>
    <definedName function="false" hidden="false" localSheetId="3" name="sector_list" vbProcedure="false">#ref!</definedName>
    <definedName function="false" hidden="false" localSheetId="3" name="SUNBURST" vbProcedure="false">'[4]35-sector'!#ref!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<sst xmlns="http://schemas.openxmlformats.org/spreadsheetml/2006/main" count="1791" uniqueCount="360">
  <si>
    <t xml:space="preserve">Matrices</t>
  </si>
  <si>
    <t xml:space="preserve">M = </t>
  </si>
  <si>
    <t xml:space="preserve">N = </t>
  </si>
  <si>
    <t xml:space="preserve">Adición</t>
  </si>
  <si>
    <t xml:space="preserve">M + N =</t>
  </si>
  <si>
    <t xml:space="preserve">Adición no posible</t>
  </si>
  <si>
    <t xml:space="preserve">O =</t>
  </si>
  <si>
    <t xml:space="preserve">M + O =</t>
  </si>
  <si>
    <t xml:space="preserve">Igualdad</t>
  </si>
  <si>
    <t xml:space="preserve">M = N</t>
  </si>
  <si>
    <t xml:space="preserve">Resta</t>
  </si>
  <si>
    <t xml:space="preserve">D = M - N =</t>
  </si>
  <si>
    <t xml:space="preserve">Matriz nula</t>
  </si>
  <si>
    <t xml:space="preserve">ZETA =</t>
  </si>
  <si>
    <t xml:space="preserve">M + ZETA = </t>
  </si>
  <si>
    <t xml:space="preserve">Multiplicación por un escalar</t>
  </si>
  <si>
    <t xml:space="preserve">M * 2 =</t>
  </si>
  <si>
    <t xml:space="preserve">Multiplicación de matrices</t>
  </si>
  <si>
    <t xml:space="preserve">Q = </t>
  </si>
  <si>
    <t xml:space="preserve">M * Q =</t>
  </si>
  <si>
    <t xml:space="preserve">Multiplicación no posible</t>
  </si>
  <si>
    <t xml:space="preserve">Q * M =</t>
  </si>
  <si>
    <t xml:space="preserve">Matriz identidad incorrecta</t>
  </si>
  <si>
    <t xml:space="preserve">TM =</t>
  </si>
  <si>
    <t xml:space="preserve">M * TM =</t>
  </si>
  <si>
    <t xml:space="preserve">Matriz identidad para posmultiplicación</t>
  </si>
  <si>
    <t xml:space="preserve">I =</t>
  </si>
  <si>
    <t xml:space="preserve">M * I = </t>
  </si>
  <si>
    <t xml:space="preserve">Matriz identidad para premultiplicación</t>
  </si>
  <si>
    <t xml:space="preserve">IP = </t>
  </si>
  <si>
    <t xml:space="preserve">IP * M = </t>
  </si>
  <si>
    <t xml:space="preserve">Sistemas de ecuaciones</t>
  </si>
  <si>
    <t xml:space="preserve">2x1 + x2 = 10</t>
  </si>
  <si>
    <t xml:space="preserve">5x1 + 3x2 = 26</t>
  </si>
  <si>
    <t xml:space="preserve">A</t>
  </si>
  <si>
    <t xml:space="preserve">b</t>
  </si>
  <si>
    <t xml:space="preserve">A^-1 = </t>
  </si>
  <si>
    <t xml:space="preserve">C = </t>
  </si>
  <si>
    <t xml:space="preserve">C^-1 = </t>
  </si>
  <si>
    <t xml:space="preserve">x = A^-1 * b =</t>
  </si>
  <si>
    <t xml:space="preserve">x1</t>
  </si>
  <si>
    <t xml:space="preserve">x2</t>
  </si>
  <si>
    <t xml:space="preserve">Test</t>
  </si>
  <si>
    <t xml:space="preserve">+</t>
  </si>
  <si>
    <t xml:space="preserve">=</t>
  </si>
  <si>
    <t xml:space="preserve">Vectores sumatorios</t>
  </si>
  <si>
    <t xml:space="preserve">ISUM</t>
  </si>
  <si>
    <t xml:space="preserve">Suma de columnas</t>
  </si>
  <si>
    <t xml:space="preserve">M * ISUM =</t>
  </si>
  <si>
    <t xml:space="preserve">ISUM2</t>
  </si>
  <si>
    <t xml:space="preserve">Suma de filas</t>
  </si>
  <si>
    <t xml:space="preserve">ISUM2 * M =</t>
  </si>
  <si>
    <t xml:space="preserve">Vector horizontal</t>
  </si>
  <si>
    <t xml:space="preserve">g'=</t>
  </si>
  <si>
    <t xml:space="preserve">Matriz de vector horizontal diagonal</t>
  </si>
  <si>
    <t xml:space="preserve">g'hat =</t>
  </si>
  <si>
    <t xml:space="preserve">Diagonal invertida</t>
  </si>
  <si>
    <t xml:space="preserve">g'hat^-1=</t>
  </si>
  <si>
    <t xml:space="preserve">Matrices recíprocas</t>
  </si>
  <si>
    <t xml:space="preserve">g'hat^-1 * g'hat=</t>
  </si>
  <si>
    <t xml:space="preserve">suma filas</t>
  </si>
  <si>
    <t xml:space="preserve">suma columnas</t>
  </si>
  <si>
    <t xml:space="preserve">Agriculture</t>
  </si>
  <si>
    <t xml:space="preserve">Manufacturing</t>
  </si>
  <si>
    <t xml:space="preserve">Final demand</t>
  </si>
  <si>
    <t xml:space="preserve">Total Output (x)</t>
  </si>
  <si>
    <t xml:space="preserve">Payments</t>
  </si>
  <si>
    <t xml:space="preserve">Total outlays</t>
  </si>
  <si>
    <t xml:space="preserve">xhat</t>
  </si>
  <si>
    <t xml:space="preserve">xhat ^-1</t>
  </si>
  <si>
    <t xml:space="preserve">A = Z * xhat ^-1 =</t>
  </si>
  <si>
    <t xml:space="preserve">Identity matrix</t>
  </si>
  <si>
    <t xml:space="preserve">Leontief = L =</t>
  </si>
  <si>
    <t xml:space="preserve">Model Calibration</t>
  </si>
  <si>
    <t xml:space="preserve">New Demand</t>
  </si>
  <si>
    <t xml:space="preserve">L * Fnew = Xnew</t>
  </si>
  <si>
    <t xml:space="preserve">Xnew diag</t>
  </si>
  <si>
    <t xml:space="preserve">A * xnew diag =</t>
  </si>
  <si>
    <t xml:space="preserve">New table</t>
  </si>
  <si>
    <t xml:space="preserve">The World Bank</t>
  </si>
  <si>
    <t xml:space="preserve">Kyrgyz Republic</t>
  </si>
  <si>
    <t xml:space="preserve">Rapid Environmentally Extended Input-Output Analysis Tool</t>
  </si>
  <si>
    <t xml:space="preserve">(current prices, $ million)</t>
  </si>
  <si>
    <t xml:space="preserve">Initial setup</t>
  </si>
  <si>
    <t xml:space="preserve">Output</t>
  </si>
  <si>
    <t xml:space="preserve">Employment</t>
  </si>
  <si>
    <t xml:space="preserve">Modeled regional employment</t>
  </si>
  <si>
    <t xml:space="preserve">Modeled Environmental Factors</t>
  </si>
  <si>
    <t xml:space="preserve">Total Initial Final Demand</t>
  </si>
  <si>
    <t xml:space="preserve">Changes in final demand per sector</t>
  </si>
  <si>
    <t xml:space="preserve">New final demand</t>
  </si>
  <si>
    <t xml:space="preserve">Initial Output</t>
  </si>
  <si>
    <t xml:space="preserve">New Output</t>
  </si>
  <si>
    <t xml:space="preserve">Changes in Output</t>
  </si>
  <si>
    <t xml:space="preserve">Initial Employment</t>
  </si>
  <si>
    <t xml:space="preserve">Total Modeled employment</t>
  </si>
  <si>
    <t xml:space="preserve">Changes in Employment</t>
  </si>
  <si>
    <t xml:space="preserve">Batken oblast</t>
  </si>
  <si>
    <t xml:space="preserve">Djalal-Abad</t>
  </si>
  <si>
    <t xml:space="preserve">Issyk-Kul</t>
  </si>
  <si>
    <t xml:space="preserve">Naryn oblast</t>
  </si>
  <si>
    <t xml:space="preserve">Osh oblast</t>
  </si>
  <si>
    <t xml:space="preserve">Talas oblast</t>
  </si>
  <si>
    <t xml:space="preserve">Chui oblast</t>
  </si>
  <si>
    <t xml:space="preserve">Bishkek city</t>
  </si>
  <si>
    <t xml:space="preserve">Osh city</t>
  </si>
  <si>
    <t xml:space="preserve">Energy Usage (TJ)</t>
  </si>
  <si>
    <t xml:space="preserve">Total CO2 emissions (Gg)</t>
  </si>
  <si>
    <t xml:space="preserve">WFN: Total water footprint (Mm3/yr) - Blue</t>
  </si>
  <si>
    <t xml:space="preserve">WFN: Total water footprint (Mm3/yr) - Green</t>
  </si>
  <si>
    <t xml:space="preserve">WFN: Total water footprint (Mm3/yr) - Grey</t>
  </si>
  <si>
    <t xml:space="preserve">Agriculture, hunting, forestry, and fishing</t>
  </si>
  <si>
    <t xml:space="preserve">c1</t>
  </si>
  <si>
    <t xml:space="preserve">Mining and quarrying</t>
  </si>
  <si>
    <t xml:space="preserve">c2</t>
  </si>
  <si>
    <t xml:space="preserve">Food, beverages, and tobacco</t>
  </si>
  <si>
    <t xml:space="preserve">c3</t>
  </si>
  <si>
    <t xml:space="preserve">Textiles and textile products</t>
  </si>
  <si>
    <t xml:space="preserve">c4</t>
  </si>
  <si>
    <t xml:space="preserve">Leather, leather products, and footwear</t>
  </si>
  <si>
    <t xml:space="preserve">c5</t>
  </si>
  <si>
    <t xml:space="preserve">Wood and products of wood and cork</t>
  </si>
  <si>
    <t xml:space="preserve">c6</t>
  </si>
  <si>
    <t xml:space="preserve">Pulp, paper, paper products, printing, and publishing</t>
  </si>
  <si>
    <t xml:space="preserve">c7</t>
  </si>
  <si>
    <t xml:space="preserve">Coke, refined petroleum, and nuclear fuel</t>
  </si>
  <si>
    <t xml:space="preserve">c8</t>
  </si>
  <si>
    <t xml:space="preserve">Chemicals and chemical products</t>
  </si>
  <si>
    <t xml:space="preserve">c9</t>
  </si>
  <si>
    <t xml:space="preserve">Rubber and plastics</t>
  </si>
  <si>
    <t xml:space="preserve">c10</t>
  </si>
  <si>
    <t xml:space="preserve">Other nonmetallic minerals</t>
  </si>
  <si>
    <t xml:space="preserve">c11</t>
  </si>
  <si>
    <t xml:space="preserve">Basic metals and fabricated metal</t>
  </si>
  <si>
    <t xml:space="preserve">c12</t>
  </si>
  <si>
    <t xml:space="preserve">Machinery, nec</t>
  </si>
  <si>
    <t xml:space="preserve">c13</t>
  </si>
  <si>
    <t xml:space="preserve">Electrical and optical equipment</t>
  </si>
  <si>
    <t xml:space="preserve">c14</t>
  </si>
  <si>
    <t xml:space="preserve">Transport equipment</t>
  </si>
  <si>
    <t xml:space="preserve">c15</t>
  </si>
  <si>
    <t xml:space="preserve">Manufacturing, nec; recycling</t>
  </si>
  <si>
    <t xml:space="preserve">c16</t>
  </si>
  <si>
    <t xml:space="preserve">Electricity, gas, and water supply</t>
  </si>
  <si>
    <t xml:space="preserve">c17</t>
  </si>
  <si>
    <t xml:space="preserve">Construction</t>
  </si>
  <si>
    <t xml:space="preserve">c18</t>
  </si>
  <si>
    <t xml:space="preserve">Sale, maintenance, and repair of motor vehicles and motorcycles; retail sale of fuel</t>
  </si>
  <si>
    <t xml:space="preserve">c19</t>
  </si>
  <si>
    <t xml:space="preserve">Wholesale trade and commission trade, except of motor vehicles and motorcycles</t>
  </si>
  <si>
    <t xml:space="preserve">c20</t>
  </si>
  <si>
    <t xml:space="preserve">Retail trade, except of motor vehicles and motorcycles; repair of household goods</t>
  </si>
  <si>
    <t xml:space="preserve">c21</t>
  </si>
  <si>
    <t xml:space="preserve">Hotels and restaurants</t>
  </si>
  <si>
    <t xml:space="preserve">c22</t>
  </si>
  <si>
    <t xml:space="preserve">Inland transport</t>
  </si>
  <si>
    <t xml:space="preserve">c23</t>
  </si>
  <si>
    <t xml:space="preserve">Water transport</t>
  </si>
  <si>
    <t xml:space="preserve">c24</t>
  </si>
  <si>
    <t xml:space="preserve">Air transport</t>
  </si>
  <si>
    <t xml:space="preserve">c25</t>
  </si>
  <si>
    <t xml:space="preserve">Other supporting and auxiliary transport activities; activities of travel agencies</t>
  </si>
  <si>
    <t xml:space="preserve">c26</t>
  </si>
  <si>
    <t xml:space="preserve">Post and telecommunications</t>
  </si>
  <si>
    <t xml:space="preserve">c27</t>
  </si>
  <si>
    <t xml:space="preserve">Financial intermediation</t>
  </si>
  <si>
    <t xml:space="preserve">c28</t>
  </si>
  <si>
    <t xml:space="preserve">Real estate activities</t>
  </si>
  <si>
    <t xml:space="preserve">c29</t>
  </si>
  <si>
    <t xml:space="preserve">Renting of M&amp;Eq and other business activities</t>
  </si>
  <si>
    <t xml:space="preserve">c30</t>
  </si>
  <si>
    <t xml:space="preserve">Public administration and defense; compulsory social security</t>
  </si>
  <si>
    <t xml:space="preserve">c31</t>
  </si>
  <si>
    <t xml:space="preserve">Education</t>
  </si>
  <si>
    <t xml:space="preserve">c32</t>
  </si>
  <si>
    <t xml:space="preserve">Health and social work</t>
  </si>
  <si>
    <t xml:space="preserve">c33</t>
  </si>
  <si>
    <t xml:space="preserve">Other community, social, and personal services</t>
  </si>
  <si>
    <t xml:space="preserve">c34</t>
  </si>
  <si>
    <t xml:space="preserve">Total</t>
  </si>
  <si>
    <t xml:space="preserve">Input-Output Table for 2017</t>
  </si>
  <si>
    <t xml:space="preserve">Kyrgyz Republic Input-Output Table, 2017</t>
  </si>
  <si>
    <t xml:space="preserve">in current prices</t>
  </si>
  <si>
    <t xml:space="preserve">Regional disaggregation of value added</t>
  </si>
  <si>
    <t xml:space="preserve">Employment/Output Coefficients</t>
  </si>
  <si>
    <t xml:space="preserve">Environmental Factors</t>
  </si>
  <si>
    <t xml:space="preserve">Environmental Factors by unit of output</t>
  </si>
  <si>
    <t xml:space="preserve">(industry-by-industry)</t>
  </si>
  <si>
    <t xml:space="preserve">AtB</t>
  </si>
  <si>
    <t xml:space="preserve">C</t>
  </si>
  <si>
    <t xml:space="preserve">15t16</t>
  </si>
  <si>
    <t xml:space="preserve">17t18</t>
  </si>
  <si>
    <t xml:space="preserve">21t22</t>
  </si>
  <si>
    <t xml:space="preserve">27t28</t>
  </si>
  <si>
    <t xml:space="preserve">30t33</t>
  </si>
  <si>
    <t xml:space="preserve">34t35</t>
  </si>
  <si>
    <t xml:space="preserve">36t37</t>
  </si>
  <si>
    <t xml:space="preserve">E</t>
  </si>
  <si>
    <t xml:space="preserve">F</t>
  </si>
  <si>
    <t xml:space="preserve">H</t>
  </si>
  <si>
    <t xml:space="preserve">J</t>
  </si>
  <si>
    <t xml:space="preserve">71t74</t>
  </si>
  <si>
    <t xml:space="preserve">L</t>
  </si>
  <si>
    <t xml:space="preserve">M</t>
  </si>
  <si>
    <t xml:space="preserve">N</t>
  </si>
  <si>
    <t xml:space="preserve">O</t>
  </si>
  <si>
    <t xml:space="preserve">(millions of US$)</t>
  </si>
  <si>
    <t xml:space="preserve">Industry</t>
  </si>
  <si>
    <t xml:space="preserve">Agriculture, Hunting, Forestry, and Fishing</t>
  </si>
  <si>
    <t xml:space="preserve">Mining and Quarrying</t>
  </si>
  <si>
    <t xml:space="preserve">Food, Beverages, and Tobacco</t>
  </si>
  <si>
    <t xml:space="preserve">Textiles and Textile Products</t>
  </si>
  <si>
    <t xml:space="preserve">Leather, Leather Products, and Footwear</t>
  </si>
  <si>
    <t xml:space="preserve">Wood and Products of Wood and Cork</t>
  </si>
  <si>
    <t xml:space="preserve">Pulp, Paper, Paper Products, Printing, and Publishing</t>
  </si>
  <si>
    <t xml:space="preserve">Coke, Refined Petroleum, and Nuclear Fuel</t>
  </si>
  <si>
    <t xml:space="preserve">Chemicals and Chemical Products</t>
  </si>
  <si>
    <t xml:space="preserve">Rubber and Plastics</t>
  </si>
  <si>
    <t xml:space="preserve">Other Nonmetallic Minerals</t>
  </si>
  <si>
    <t xml:space="preserve">Basic Metals and Fabricated Metal</t>
  </si>
  <si>
    <t xml:space="preserve">Electrical and Optical Equipment</t>
  </si>
  <si>
    <t xml:space="preserve">Transport Equipment</t>
  </si>
  <si>
    <t xml:space="preserve">Manufacturing, nec; Recycling</t>
  </si>
  <si>
    <t xml:space="preserve">Electricity, Gas, and Water Supply</t>
  </si>
  <si>
    <t xml:space="preserve">Sale, Maintenance, and Repair of Motor Vehicles and Motorcycles; Retail Sale of Fuel</t>
  </si>
  <si>
    <t xml:space="preserve">Wholesale Trade and Commission Trade, Except of Motor Vehicles and Motorcycles</t>
  </si>
  <si>
    <t xml:space="preserve">Retail Trade, Except of Motor Vehicles and Motorcycles; Repair of Household Goods</t>
  </si>
  <si>
    <t xml:space="preserve">Hotels and Restaurants</t>
  </si>
  <si>
    <t xml:space="preserve">Inland Transport</t>
  </si>
  <si>
    <t xml:space="preserve">Water Transport</t>
  </si>
  <si>
    <t xml:space="preserve">Air Transport</t>
  </si>
  <si>
    <t xml:space="preserve">Other Supporting and Auxiliary Transport Activities; Activities of Travel Agencies</t>
  </si>
  <si>
    <t xml:space="preserve">Post and Telecommunications</t>
  </si>
  <si>
    <t xml:space="preserve">Financial Intermediation</t>
  </si>
  <si>
    <t xml:space="preserve">Real Estate Activities</t>
  </si>
  <si>
    <t xml:space="preserve">Renting of M&amp;Eq and Other Business Activities</t>
  </si>
  <si>
    <t xml:space="preserve">Public Administration and Defense; Compulsory Social Security</t>
  </si>
  <si>
    <t xml:space="preserve">Health and Social Work</t>
  </si>
  <si>
    <t xml:space="preserve">Other Community, Social, and Personal Services</t>
  </si>
  <si>
    <t xml:space="preserve">Final Consumption Expenditure by Households</t>
  </si>
  <si>
    <t xml:space="preserve">Final Consumption Expenditure by NPISHs</t>
  </si>
  <si>
    <t xml:space="preserve">Final Consumption Expenditure by Government</t>
  </si>
  <si>
    <t xml:space="preserve">Gross Fixed Capital Formation</t>
  </si>
  <si>
    <t xml:space="preserve">Changes in Inventories and Valuables</t>
  </si>
  <si>
    <t xml:space="preserve">Exports</t>
  </si>
  <si>
    <t xml:space="preserve">Total Output</t>
  </si>
  <si>
    <t xml:space="preserve">Total Final Demand</t>
  </si>
  <si>
    <t xml:space="preserve">Modeled Output (test)</t>
  </si>
  <si>
    <t xml:space="preserve">Calibration</t>
  </si>
  <si>
    <t xml:space="preserve">Value Added</t>
  </si>
  <si>
    <t xml:space="preserve">Value Added Coefficient</t>
  </si>
  <si>
    <t xml:space="preserve">Total CO2 emissions (Gg) from EDGAR</t>
  </si>
  <si>
    <t xml:space="preserve">c36</t>
  </si>
  <si>
    <t xml:space="preserve">c37</t>
  </si>
  <si>
    <t xml:space="preserve">c38</t>
  </si>
  <si>
    <t xml:space="preserve">c39</t>
  </si>
  <si>
    <t xml:space="preserve">c40</t>
  </si>
  <si>
    <t xml:space="preserve">c41</t>
  </si>
  <si>
    <t xml:space="preserve">Domestic</t>
  </si>
  <si>
    <t xml:space="preserve">Textile products</t>
  </si>
  <si>
    <t xml:space="preserve">Leather products &amp; footwear</t>
  </si>
  <si>
    <t xml:space="preserve">Wood products</t>
  </si>
  <si>
    <t xml:space="preserve">Paper products</t>
  </si>
  <si>
    <t xml:space="preserve">Chemical products</t>
  </si>
  <si>
    <t xml:space="preserve">Sale of motor vehicles and fuel</t>
  </si>
  <si>
    <t xml:space="preserve">Wholesale trade</t>
  </si>
  <si>
    <t xml:space="preserve">Retail trade</t>
  </si>
  <si>
    <t xml:space="preserve">Travel agencies</t>
  </si>
  <si>
    <t xml:space="preserve">Other business activities</t>
  </si>
  <si>
    <t xml:space="preserve">Public administration and defense</t>
  </si>
  <si>
    <t xml:space="preserve">Other services</t>
  </si>
  <si>
    <t xml:space="preserve">Imports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</si>
  <si>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</si>
  <si>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</si>
  <si>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</si>
  <si>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</si>
  <si>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</si>
  <si>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</si>
  <si>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</si>
  <si>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</si>
  <si>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</si>
  <si>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</si>
  <si>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</si>
  <si>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</si>
  <si>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</si>
  <si>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</si>
  <si>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</si>
  <si>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</si>
  <si>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</si>
  <si>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</si>
  <si>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</si>
  <si>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</si>
  <si>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</si>
  <si>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</si>
  <si>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</si>
  <si>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</si>
  <si>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m25</t>
  </si>
  <si>
    <t xml:space="preserve">m26</t>
  </si>
  <si>
    <t xml:space="preserve">m27</t>
  </si>
  <si>
    <t xml:space="preserve">m28</t>
  </si>
  <si>
    <t xml:space="preserve">m29</t>
  </si>
  <si>
    <t xml:space="preserve">m30</t>
  </si>
  <si>
    <t xml:space="preserve">m31</t>
  </si>
  <si>
    <t xml:space="preserve">m32</t>
  </si>
  <si>
    <t xml:space="preserve">m33</t>
  </si>
  <si>
    <t xml:space="preserve">m34</t>
  </si>
  <si>
    <t xml:space="preserve">Total intermediate consumption</t>
  </si>
  <si>
    <t xml:space="preserve">r60</t>
  </si>
  <si>
    <t xml:space="preserve">Taxes less subsidies on products</t>
  </si>
  <si>
    <t xml:space="preserve">r99</t>
  </si>
  <si>
    <t xml:space="preserve">Cif/ fob adjustments on exports</t>
  </si>
  <si>
    <t xml:space="preserve">r61</t>
  </si>
  <si>
    <t xml:space="preserve">Direct purchases abroad by residents</t>
  </si>
  <si>
    <t xml:space="preserve">r62</t>
  </si>
  <si>
    <t xml:space="preserve">Purchases on the domestic territory by nonresidents </t>
  </si>
  <si>
    <t xml:space="preserve">r63</t>
  </si>
  <si>
    <t xml:space="preserve">Value added at basic prices</t>
  </si>
  <si>
    <t xml:space="preserve">r64</t>
  </si>
  <si>
    <t xml:space="preserve">International transport margins</t>
  </si>
  <si>
    <t xml:space="preserve">Output at basic prices</t>
  </si>
  <si>
    <t xml:space="preserve">r69</t>
  </si>
  <si>
    <t xml:space="preserve">$ = United States dollar; cif = cost, insurance, and freight; fob = free on board; M&amp;Eq = machinery and equipment; nec = not elsewhere classified; NPISHs = nonprofit institutions serving households.</t>
  </si>
  <si>
    <t xml:space="preserve">Source: Asian Development Bank Multiregional Input–Output Database</t>
  </si>
  <si>
    <t xml:space="preserve">Social vectors</t>
  </si>
  <si>
    <t xml:space="preserve">GDP Computation</t>
  </si>
  <si>
    <t xml:space="preserve">Production approach</t>
  </si>
  <si>
    <t xml:space="preserve">Expenditure approach</t>
  </si>
  <si>
    <t xml:space="preserve">Total output at basic prices</t>
  </si>
  <si>
    <t xml:space="preserve">Household final consumption expenditure</t>
  </si>
  <si>
    <t xml:space="preserve">- Intermediate consumption</t>
  </si>
  <si>
    <t xml:space="preserve">+ NPISH final consumption expenditure</t>
  </si>
  <si>
    <t xml:space="preserve">= Value added at basic prices</t>
  </si>
  <si>
    <t xml:space="preserve">+ Government consumption expenditure</t>
  </si>
  <si>
    <t xml:space="preserve">+ Taxes less subsidies on products</t>
  </si>
  <si>
    <t xml:space="preserve">+ Gross fixed capital formation</t>
  </si>
  <si>
    <t xml:space="preserve">+ Changes in inventories</t>
  </si>
  <si>
    <t xml:space="preserve">+ Acquisitions less disposals of valuables</t>
  </si>
  <si>
    <t xml:space="preserve">+ Exports of goods and services</t>
  </si>
  <si>
    <t xml:space="preserve">- Imports of goods and services</t>
  </si>
  <si>
    <t xml:space="preserve">- Direct purchases abroad by residents</t>
  </si>
  <si>
    <t xml:space="preserve">= Gross domestic product</t>
  </si>
  <si>
    <t xml:space="preserve">Total employment</t>
  </si>
  <si>
    <t xml:space="preserve">Environmental Vectors</t>
  </si>
  <si>
    <t xml:space="preserve">Vector output coefficients</t>
  </si>
  <si>
    <t xml:space="preserve">Input-Output Calculations</t>
  </si>
  <si>
    <t xml:space="preserve">Technical coefficients matrix (A matrix)</t>
  </si>
  <si>
    <t xml:space="preserve">Identity matrix (I Matrix)</t>
  </si>
  <si>
    <t xml:space="preserve">(I - A Matrix)</t>
  </si>
  <si>
    <t xml:space="preserve">Leontief Inverse ( I - A ) ^ ( -1 )</t>
  </si>
  <si>
    <t xml:space="preserve">Multipliers</t>
  </si>
  <si>
    <t xml:space="preserve">Input-output multipliers</t>
  </si>
  <si>
    <t xml:space="preserve">MultEnergy</t>
  </si>
  <si>
    <t xml:space="preserve">MultCO2</t>
  </si>
  <si>
    <t xml:space="preserve">MultWFBL</t>
  </si>
  <si>
    <t xml:space="preserve">MultWFGR</t>
  </si>
  <si>
    <t xml:space="preserve">MultWFGY</t>
  </si>
  <si>
    <t xml:space="preserve">MultEmp</t>
  </si>
  <si>
    <t xml:space="preserve">FOR REFERENCE</t>
  </si>
  <si>
    <t xml:space="preserve">x hat</t>
  </si>
  <si>
    <t xml:space="preserve">Z xhat ^ -1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</si>
</sst>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_(* #,##0.00_);_(* \(#,##0.00\);_(* \-??_);_(@_)"/>
    <numFmt numFmtId="166" formatCode="0.0_)"/>
    <numFmt numFmtId="167" formatCode="0.00"/>
    <numFmt numFmtId="168" formatCode="0.0"/>
    <numFmt numFmtId="169" formatCode="0"/>
    <numFmt numFmtId="170" formatCode="0%"/>
    <numFmt numFmtId="171" formatCode="0.00%"/>
    <numFmt numFmtId="172" formatCode="#,##0"/>
    <numFmt numFmtId="173" formatCode="0.000000"/>
    <numFmt numFmtId="174" formatCode="0.0000"/>
    <numFmt numFmtId="175" formatCode="0.00000"/>
  </numFmts>
  <fonts count="1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ptos Narrow"/>
      <family val="2"/>
      <charset val="1"/>
    </font>
    <font>
      <sz val="12"/>
      <name val="Courier New"/>
      <family val="3"/>
      <charset val="1"/>
    </font>
    <font>
      <u val="single"/>
      <sz val="11"/>
      <color theme="1"/>
      <name val="Aptos Narrow"/>
      <family val="2"/>
      <charset val="1"/>
    </font>
    <font>
      <b val="true"/>
      <sz val="11"/>
      <color theme="1"/>
      <name val="Aptos Narrow"/>
      <family val="2"/>
      <charset val="1"/>
    </font>
    <font>
      <b val="true"/>
      <sz val="14"/>
      <color theme="1"/>
      <name val="Aptos Narrow"/>
      <family val="2"/>
      <charset val="1"/>
    </font>
    <font>
      <b val="true"/>
      <sz val="10"/>
      <color theme="1"/>
      <name val="Arial"/>
      <family val="2"/>
      <charset val="1"/>
    </font>
    <font>
      <sz val="10"/>
      <color theme="1"/>
      <name val="Arial"/>
      <family val="2"/>
      <charset val="1"/>
    </font>
    <font>
      <sz val="1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0"/>
      <name val="Arial"/>
      <family val="2"/>
      <charset val="1"/>
    </font>
    <font>
      <sz val="10"/>
      <color theme="1" tint="0.2499"/>
      <name val="Arial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theme="3" tint="0.7499"/>
        <bgColor rgb="FFB4E5A2"/>
      </patternFill>
    </fill>
    <fill>
      <patternFill patternType="solid">
        <fgColor theme="5" tint="0.5999"/>
        <bgColor rgb="FFF2CFEE"/>
      </patternFill>
    </fill>
    <fill>
      <patternFill patternType="solid">
        <fgColor theme="5" tint="0.7999"/>
        <bgColor rgb="FFF2CFEE"/>
      </patternFill>
    </fill>
    <fill>
      <patternFill patternType="solid">
        <fgColor theme="9" tint="0.5999"/>
        <bgColor rgb="FF8ED973"/>
      </patternFill>
    </fill>
    <fill>
      <patternFill patternType="solid">
        <fgColor theme="8" tint="0.7999"/>
        <bgColor rgb="FFFBE3D6"/>
      </patternFill>
    </fill>
    <fill>
      <patternFill patternType="solid">
        <fgColor theme="6" tint="0.3999"/>
        <bgColor rgb="FF8ED973"/>
      </patternFill>
    </fill>
    <fill>
      <patternFill patternType="solid">
        <fgColor rgb="FFFFFF00"/>
        <bgColor rgb="FFFFFF00"/>
      </patternFill>
    </fill>
    <fill>
      <patternFill patternType="solid">
        <fgColor rgb="FF00A5C9"/>
        <bgColor rgb="FF2D7FCF"/>
      </patternFill>
    </fill>
    <fill>
      <patternFill patternType="solid">
        <fgColor theme="9" tint="0.3999"/>
        <bgColor rgb="FF8DC63F"/>
      </patternFill>
    </fill>
    <fill>
      <patternFill patternType="solid">
        <fgColor theme="9" tint="-0.25"/>
        <bgColor rgb="FF008000"/>
      </patternFill>
    </fill>
    <fill>
      <patternFill patternType="solid">
        <fgColor theme="8" tint="0.3999"/>
        <bgColor rgb="FFCC99FF"/>
      </patternFill>
    </fill>
    <fill>
      <patternFill patternType="solid">
        <fgColor theme="3" tint="0.3999"/>
        <bgColor rgb="FF0B76A0"/>
      </patternFill>
    </fill>
    <fill>
      <patternFill patternType="solid">
        <fgColor theme="3" tint="0.5999"/>
        <bgColor rgb="FF46B1E1"/>
      </patternFill>
    </fill>
    <fill>
      <patternFill patternType="solid">
        <fgColor theme="7" tint="0.3999"/>
        <bgColor rgb="FF46B1E1"/>
      </patternFill>
    </fill>
    <fill>
      <patternFill patternType="solid">
        <fgColor theme="0"/>
        <bgColor rgb="FFFBE3D6"/>
      </patternFill>
    </fill>
    <fill>
      <patternFill patternType="solid">
        <fgColor rgb="FFC8DA2B"/>
        <bgColor rgb="FF8DC63F"/>
      </patternFill>
    </fill>
    <fill>
      <patternFill patternType="solid">
        <fgColor rgb="FF8DC63F"/>
        <bgColor rgb="FF8ED973"/>
      </patternFill>
    </fill>
    <fill>
      <patternFill patternType="solid">
        <fgColor theme="4" tint="0.3999"/>
        <bgColor rgb="FF71AAE0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 style="thin">
        <color rgb="FF00A5C9"/>
      </top>
      <bottom style="thin">
        <color rgb="FF00A5C9"/>
      </bottom>
      <diagonal/>
    </border>
    <border diagonalUp="false" diagonalDown="false">
      <left/>
      <right/>
      <top/>
      <bottom style="thin">
        <color rgb="FF00A5C9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theme="7" tint="-0.25"/>
      </left>
      <right/>
      <top style="thin">
        <color theme="7" tint="-0.25"/>
      </top>
      <bottom style="thin">
        <color theme="7" tint="-0.25"/>
      </bottom>
      <diagonal/>
    </border>
    <border diagonalUp="false" diagonalDown="false">
      <left style="thin">
        <color theme="7" tint="-0.25"/>
      </left>
      <right/>
      <top/>
      <bottom/>
      <diagonal/>
    </border>
    <border diagonalUp="false" diagonalDown="false">
      <left style="thin">
        <color theme="7" tint="-0.25"/>
      </left>
      <right style="thin">
        <color theme="7" tint="-0.25"/>
      </right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>
        <color theme="7" tint="-0.25"/>
      </left>
      <right style="thin">
        <color theme="7" tint="-0.25"/>
      </right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0" fontId="0" fillId="0" borderId="0" applyFont="true" applyBorder="true" applyAlignment="true" applyProtection="false">
      <alignment horizontal="general" vertical="bottom" textRotation="0" wrapText="false" indent="0" shrinkToFit="false"/>
    </xf>
    <xf numFmtId="165" fontId="0" fillId="0" borderId="0" applyFont="true" applyBorder="true" applyAlignment="true" applyProtection="false">
      <alignment horizontal="general" vertical="bottom" textRotation="0" wrapText="false" indent="0" shrinkToFit="false"/>
    </xf>
    <xf numFmtId="165" fontId="0" fillId="0" borderId="0" applyFont="true" applyBorder="tru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9" fillId="5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9" fontId="9" fillId="5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9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1" fillId="7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9" fontId="10" fillId="7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10" fillId="5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0" fillId="8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0" fillId="5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0" fillId="5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1" fillId="7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2" fontId="10" fillId="5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9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1" fillId="9" borderId="0" xfId="2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11" fillId="9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1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1" fillId="9" borderId="0" xfId="22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9" fontId="10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9" fontId="11" fillId="1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9" fontId="11" fillId="5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9" fontId="11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0" fillId="11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9" fontId="10" fillId="5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9" fontId="10" fillId="1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9" fontId="10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9" fontId="13" fillId="1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9" fontId="13" fillId="5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9" fontId="11" fillId="11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9" fontId="1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10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3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9" fontId="11" fillId="1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9" fontId="10" fillId="1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10" fillId="10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0" fillId="5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3" fillId="11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0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3" fillId="11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1" fillId="1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9" fontId="10" fillId="1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10" fillId="13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0" fillId="14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0" fillId="14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3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9" fontId="10" fillId="0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1" fillId="15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9" fontId="10" fillId="15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10" fillId="15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0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9" fontId="11" fillId="0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10" fillId="0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3" fillId="0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5" fillId="16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9" fontId="11" fillId="0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1" fillId="0" borderId="0" xfId="2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1" fillId="0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1" fillId="17" borderId="4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11" fillId="18" borderId="5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9" fontId="11" fillId="17" borderId="6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1" fillId="18" borderId="0" xfId="23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9" fontId="11" fillId="17" borderId="6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11" fillId="17" borderId="7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9" fontId="11" fillId="17" borderId="8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0" fillId="19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0" fillId="19" borderId="9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4" fontId="10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0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0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 3 2" xfId="20"/>
    <cellStyle name="Comma 3" xfId="21"/>
    <cellStyle name="Normal 3 2" xfId="22"/>
    <cellStyle name="Normal 6 3" xfId="23"/>
  </cellStyles>
  <dxfs count="1">
    <dxf>
      <fill>
        <patternFill>
          <bgColor theme="3" tint="0.3999"/>
        </patternFill>
      </fill>
    </dxf>
  </dxfs>
  <colors>
    <indexedColors>
      <rgbColor rgb="FF000000"/>
      <rgbColor rgb="FFFFFFFF"/>
      <rgbColor rgb="FFFF0000"/>
      <rgbColor rgb="FF47D45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76A0"/>
      <rgbColor rgb="FF8ED973"/>
      <rgbColor rgb="FF808080"/>
      <rgbColor rgb="FF71AAE0"/>
      <rgbColor rgb="FF7030A0"/>
      <rgbColor rgb="FFFBE3D6"/>
      <rgbColor rgb="FFCCFFFF"/>
      <rgbColor rgb="FF660066"/>
      <rgbColor rgb="FFD86ECC"/>
      <rgbColor rgb="FF0066CC"/>
      <rgbColor rgb="FFF2CFEE"/>
      <rgbColor rgb="FF000080"/>
      <rgbColor rgb="FFFF00FF"/>
      <rgbColor rgb="FFFFFF00"/>
      <rgbColor rgb="FF00FFFF"/>
      <rgbColor rgb="FF800080"/>
      <rgbColor rgb="FF800000"/>
      <rgbColor rgb="FF00B050"/>
      <rgbColor rgb="FF0000FF"/>
      <rgbColor rgb="FF00A5C9"/>
      <rgbColor rgb="FFCCFFFF"/>
      <rgbColor rgb="FFB4E5A2"/>
      <rgbColor rgb="FFFFFF99"/>
      <rgbColor rgb="FFA6CAEC"/>
      <rgbColor rgb="FFFF99CC"/>
      <rgbColor rgb="FFCC99FF"/>
      <rgbColor rgb="FFF6C6AD"/>
      <rgbColor rgb="FF2D7FCF"/>
      <rgbColor rgb="FF46B1E1"/>
      <rgbColor rgb="FF8DC63F"/>
      <rgbColor rgb="FFC8DA2B"/>
      <rgbColor rgb="FFFF9900"/>
      <rgbColor rgb="FFFF6600"/>
      <rgbColor rgb="FF666699"/>
      <rgbColor rgb="FF61CBF4"/>
      <rgbColor rgb="FF003366"/>
      <rgbColor rgb="FF3A7D22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125"/>
  <sheetViews>
    <sheetView showFormulas="false" showGridLines="true" showRowColHeaders="true" showZeros="true" rightToLeft="false" tabSelected="true" showOutlineSymbols="true" defaultGridColor="true" view="normal" topLeftCell="C116" colorId="64" zoomScale="220" zoomScaleNormal="220" zoomScalePageLayoutView="100" workbookViewId="0">
      <selection pane="topLeft" activeCell="H115" activeCellId="0" sqref="H114:J116"/>
    </sheetView>
  </sheetViews>
  <sheetFormatPr defaultColWidth="9.00390625" defaultRowHeight="15" customHeight="false" zeroHeight="false" outlineLevelRow="0" outlineLevelCol="0"/>
  <cols>
    <col collapsed="false" customWidth="true" hidden="false" outlineLevel="0" max="1" min="1" style="1" width="33.67"/>
    <col collapsed="false" customWidth="true" hidden="false" outlineLevel="0" max="2" min="2" style="1" width="13"/>
    <col collapsed="false" customWidth="true" hidden="false" outlineLevel="0" max="3" min="3" style="1" width="13.5"/>
  </cols>
  <sheetData>
    <row r="2" customFormat="false" ht="15" hidden="false" customHeight="false" outlineLevel="0" collapsed="false">
      <c r="A2" s="1" t="s">
        <v>0</v>
      </c>
      <c r="C2" s="1" t="s">
        <v>1</v>
      </c>
      <c r="D2" s="2" t="n">
        <v>2</v>
      </c>
      <c r="E2" s="2" t="n">
        <v>1</v>
      </c>
      <c r="F2" s="2" t="n">
        <v>3</v>
      </c>
    </row>
    <row r="3" customFormat="false" ht="15" hidden="false" customHeight="false" outlineLevel="0" collapsed="false">
      <c r="D3" s="2" t="n">
        <v>4</v>
      </c>
      <c r="E3" s="2" t="n">
        <v>6</v>
      </c>
      <c r="F3" s="2" t="n">
        <v>12</v>
      </c>
    </row>
    <row r="5" customFormat="false" ht="15" hidden="false" customHeight="false" outlineLevel="0" collapsed="false">
      <c r="C5" s="1" t="s">
        <v>2</v>
      </c>
      <c r="D5" s="2" t="n">
        <v>1</v>
      </c>
      <c r="E5" s="2" t="n">
        <v>2</v>
      </c>
      <c r="F5" s="2" t="n">
        <v>3</v>
      </c>
    </row>
    <row r="6" customFormat="false" ht="15" hidden="false" customHeight="false" outlineLevel="0" collapsed="false">
      <c r="D6" s="2" t="n">
        <v>3</v>
      </c>
      <c r="E6" s="2" t="n">
        <v>2</v>
      </c>
      <c r="F6" s="2" t="n">
        <v>1</v>
      </c>
    </row>
    <row r="8" customFormat="false" ht="15" hidden="false" customHeight="false" outlineLevel="0" collapsed="false">
      <c r="A8" s="1" t="s">
        <v>3</v>
      </c>
      <c r="C8" s="1" t="s">
        <v>4</v>
      </c>
      <c r="D8" s="2" t="n">
        <f aca="false" t="array" ref="D8:F9">M+N</f>
        <v>3</v>
      </c>
      <c r="E8" s="2" t="n">
        <v>3</v>
      </c>
      <c r="F8" s="2" t="n">
        <v>6</v>
      </c>
    </row>
    <row r="9" customFormat="false" ht="15" hidden="false" customHeight="false" outlineLevel="0" collapsed="false">
      <c r="D9" s="2" t="n">
        <v>7</v>
      </c>
      <c r="E9" s="2" t="n">
        <v>8</v>
      </c>
      <c r="F9" s="2" t="n">
        <v>13</v>
      </c>
    </row>
    <row r="11" customFormat="false" ht="15" hidden="false" customHeight="false" outlineLevel="0" collapsed="false">
      <c r="A11" s="1" t="s">
        <v>5</v>
      </c>
      <c r="C11" s="1" t="s">
        <v>6</v>
      </c>
      <c r="D11" s="2" t="n">
        <v>2</v>
      </c>
      <c r="E11" s="2" t="n">
        <v>2</v>
      </c>
    </row>
    <row r="12" customFormat="false" ht="15" hidden="false" customHeight="false" outlineLevel="0" collapsed="false">
      <c r="D12" s="2" t="n">
        <v>3</v>
      </c>
      <c r="E12" s="2" t="n">
        <v>4</v>
      </c>
    </row>
    <row r="14" customFormat="false" ht="15" hidden="false" customHeight="false" outlineLevel="0" collapsed="false">
      <c r="C14" s="1" t="s">
        <v>7</v>
      </c>
      <c r="D14" s="3" t="n">
        <f aca="false" t="array" ref="D14:F15">M+O</f>
        <v>4</v>
      </c>
      <c r="E14" s="3" t="n">
        <v>3</v>
      </c>
      <c r="F14" s="3" t="e">
        <v>#N/A</v>
      </c>
      <c r="H14" s="1"/>
      <c r="I14" s="1"/>
      <c r="J14" s="1"/>
      <c r="K14" s="1"/>
    </row>
    <row r="15" customFormat="false" ht="15" hidden="false" customHeight="false" outlineLevel="0" collapsed="false">
      <c r="D15" s="3" t="n">
        <v>7</v>
      </c>
      <c r="E15" s="3" t="n">
        <v>10</v>
      </c>
      <c r="F15" s="3" t="e">
        <v>#N/A</v>
      </c>
      <c r="H15" s="1"/>
      <c r="I15" s="1"/>
      <c r="J15" s="1"/>
      <c r="K15" s="1"/>
    </row>
    <row r="17" customFormat="false" ht="15" hidden="false" customHeight="false" outlineLevel="0" collapsed="false">
      <c r="A17" s="1" t="s">
        <v>8</v>
      </c>
      <c r="C17" s="1" t="s">
        <v>9</v>
      </c>
      <c r="D17" s="2" t="n">
        <f aca="false" t="array" ref="D17:F18">M=N</f>
        <v>0</v>
      </c>
      <c r="E17" s="2" t="n">
        <v>0</v>
      </c>
      <c r="F17" s="2" t="n">
        <v>1</v>
      </c>
      <c r="H17" s="1" t="n">
        <f aca="false" t="array" ref="H17:J18">M=N</f>
        <v>0</v>
      </c>
      <c r="I17" s="1" t="n">
        <v>0</v>
      </c>
      <c r="J17" s="1" t="n">
        <v>1</v>
      </c>
    </row>
    <row r="18" customFormat="false" ht="15" hidden="false" customHeight="false" outlineLevel="0" collapsed="false">
      <c r="D18" s="2" t="n">
        <v>0</v>
      </c>
      <c r="E18" s="2" t="n">
        <v>0</v>
      </c>
      <c r="F18" s="2" t="n">
        <v>0</v>
      </c>
      <c r="H18" s="1" t="n">
        <v>0</v>
      </c>
      <c r="I18" s="1" t="n">
        <v>0</v>
      </c>
      <c r="J18" s="1" t="n">
        <v>0</v>
      </c>
    </row>
    <row r="20" customFormat="false" ht="15" hidden="false" customHeight="false" outlineLevel="0" collapsed="false">
      <c r="A20" s="1" t="s">
        <v>10</v>
      </c>
      <c r="C20" s="1" t="s">
        <v>11</v>
      </c>
      <c r="D20" s="2" t="n">
        <f aca="false" t="array" ref="D20:F21">M-N</f>
        <v>1</v>
      </c>
      <c r="E20" s="2" t="n">
        <v>-1</v>
      </c>
      <c r="F20" s="2" t="n">
        <v>0</v>
      </c>
    </row>
    <row r="21" customFormat="false" ht="15" hidden="false" customHeight="false" outlineLevel="0" collapsed="false">
      <c r="D21" s="2" t="n">
        <v>1</v>
      </c>
      <c r="E21" s="2" t="n">
        <v>4</v>
      </c>
      <c r="F21" s="2" t="n">
        <v>11</v>
      </c>
    </row>
    <row r="23" customFormat="false" ht="15" hidden="false" customHeight="false" outlineLevel="0" collapsed="false">
      <c r="A23" s="1" t="s">
        <v>12</v>
      </c>
      <c r="C23" s="1" t="s">
        <v>13</v>
      </c>
      <c r="D23" s="2" t="n">
        <v>0</v>
      </c>
      <c r="E23" s="2" t="n">
        <v>0</v>
      </c>
      <c r="F23" s="2" t="n">
        <v>0</v>
      </c>
    </row>
    <row r="24" customFormat="false" ht="15" hidden="false" customHeight="false" outlineLevel="0" collapsed="false">
      <c r="D24" s="2" t="n">
        <v>0</v>
      </c>
      <c r="E24" s="2" t="n">
        <v>0</v>
      </c>
      <c r="F24" s="2" t="n">
        <v>0</v>
      </c>
    </row>
    <row r="26" customFormat="false" ht="15" hidden="false" customHeight="false" outlineLevel="0" collapsed="false">
      <c r="C26" s="1" t="s">
        <v>14</v>
      </c>
      <c r="D26" s="2" t="n">
        <f aca="false" t="array" ref="D26:F27">M + ZETA</f>
        <v>2</v>
      </c>
      <c r="E26" s="2" t="n">
        <v>1</v>
      </c>
      <c r="F26" s="2" t="n">
        <v>3</v>
      </c>
    </row>
    <row r="27" customFormat="false" ht="15" hidden="false" customHeight="false" outlineLevel="0" collapsed="false">
      <c r="D27" s="2" t="n">
        <v>4</v>
      </c>
      <c r="E27" s="2" t="n">
        <v>6</v>
      </c>
      <c r="F27" s="2" t="n">
        <v>12</v>
      </c>
    </row>
    <row r="29" customFormat="false" ht="15" hidden="false" customHeight="false" outlineLevel="0" collapsed="false">
      <c r="A29" s="1" t="s">
        <v>15</v>
      </c>
      <c r="C29" s="1" t="s">
        <v>16</v>
      </c>
      <c r="D29" s="2" t="n">
        <f aca="false" t="array" ref="D29:F30">M*2</f>
        <v>4</v>
      </c>
      <c r="E29" s="2" t="n">
        <v>2</v>
      </c>
      <c r="F29" s="2" t="n">
        <v>6</v>
      </c>
      <c r="H29" s="1" t="n">
        <f aca="false" t="array" ref="H29:J30">M*2</f>
        <v>4</v>
      </c>
      <c r="I29" s="1" t="n">
        <v>2</v>
      </c>
      <c r="J29" s="1" t="n">
        <v>6</v>
      </c>
    </row>
    <row r="30" customFormat="false" ht="15" hidden="false" customHeight="false" outlineLevel="0" collapsed="false">
      <c r="D30" s="2" t="n">
        <v>8</v>
      </c>
      <c r="E30" s="2" t="n">
        <v>12</v>
      </c>
      <c r="F30" s="2" t="n">
        <v>24</v>
      </c>
      <c r="H30" s="1" t="n">
        <v>8</v>
      </c>
      <c r="I30" s="1" t="n">
        <v>12</v>
      </c>
      <c r="J30" s="1" t="n">
        <v>24</v>
      </c>
    </row>
    <row r="32" customFormat="false" ht="15" hidden="false" customHeight="false" outlineLevel="0" collapsed="false">
      <c r="A32" s="1" t="s">
        <v>17</v>
      </c>
      <c r="C32" s="1" t="s">
        <v>18</v>
      </c>
      <c r="D32" s="2" t="n">
        <v>2</v>
      </c>
      <c r="E32" s="2" t="n">
        <v>0</v>
      </c>
      <c r="F32" s="2" t="n">
        <v>4</v>
      </c>
    </row>
    <row r="33" customFormat="false" ht="15" hidden="false" customHeight="false" outlineLevel="0" collapsed="false">
      <c r="D33" s="2" t="n">
        <v>1</v>
      </c>
      <c r="E33" s="2" t="n">
        <v>1</v>
      </c>
      <c r="F33" s="2" t="n">
        <v>2</v>
      </c>
      <c r="H33" s="1" t="n">
        <f aca="false" t="array" ref="H33:J34">MMULT(M,Q)</f>
        <v>14</v>
      </c>
      <c r="I33" s="1" t="n">
        <v>13</v>
      </c>
      <c r="J33" s="1" t="n">
        <v>25</v>
      </c>
    </row>
    <row r="34" customFormat="false" ht="15" hidden="false" customHeight="false" outlineLevel="0" collapsed="false">
      <c r="D34" s="2" t="n">
        <v>3</v>
      </c>
      <c r="E34" s="2" t="n">
        <v>4</v>
      </c>
      <c r="F34" s="2" t="n">
        <v>5</v>
      </c>
      <c r="H34" s="1" t="n">
        <v>50</v>
      </c>
      <c r="I34" s="1" t="n">
        <v>54</v>
      </c>
      <c r="J34" s="1" t="n">
        <v>88</v>
      </c>
    </row>
    <row r="36" customFormat="false" ht="15" hidden="false" customHeight="false" outlineLevel="0" collapsed="false">
      <c r="C36" s="1" t="s">
        <v>19</v>
      </c>
      <c r="D36" s="2" t="n">
        <f aca="false" t="array" ref="D36:F37">MMULT(M,Q)</f>
        <v>14</v>
      </c>
      <c r="E36" s="2" t="n">
        <v>13</v>
      </c>
      <c r="F36" s="2" t="n">
        <v>25</v>
      </c>
    </row>
    <row r="37" customFormat="false" ht="15" hidden="false" customHeight="false" outlineLevel="0" collapsed="false">
      <c r="D37" s="2" t="n">
        <v>50</v>
      </c>
      <c r="E37" s="2" t="n">
        <v>54</v>
      </c>
      <c r="F37" s="2" t="n">
        <v>88</v>
      </c>
    </row>
    <row r="39" customFormat="false" ht="15" hidden="false" customHeight="false" outlineLevel="0" collapsed="false">
      <c r="A39" s="1" t="s">
        <v>20</v>
      </c>
      <c r="C39" s="1" t="s">
        <v>21</v>
      </c>
      <c r="D39" s="3" t="e">
        <f aca="false">MMULT(Q,M)</f>
        <v>#VALUE!</v>
      </c>
      <c r="E39" s="3" t="e">
        <f aca="false">#VALUE!</f>
        <v>#VALUE!</v>
      </c>
      <c r="F39" s="3" t="e">
        <f aca="false">#VALUE!</f>
        <v>#VALUE!</v>
      </c>
    </row>
    <row r="40" customFormat="false" ht="15" hidden="false" customHeight="false" outlineLevel="0" collapsed="false">
      <c r="D40" s="3" t="e">
        <f aca="false">#VALUE!</f>
        <v>#VALUE!</v>
      </c>
      <c r="E40" s="3" t="e">
        <f aca="false">#VALUE!</f>
        <v>#VALUE!</v>
      </c>
      <c r="F40" s="3" t="e">
        <f aca="false">#VALUE!</f>
        <v>#VALUE!</v>
      </c>
    </row>
    <row r="41" customFormat="false" ht="15" hidden="false" customHeight="false" outlineLevel="0" collapsed="false">
      <c r="D41" s="3" t="e">
        <f aca="false">#VALUE!</f>
        <v>#VALUE!</v>
      </c>
      <c r="E41" s="3" t="e">
        <f aca="false">#VALUE!</f>
        <v>#VALUE!</v>
      </c>
      <c r="F41" s="3" t="e">
        <f aca="false">#VALUE!</f>
        <v>#VALUE!</v>
      </c>
    </row>
    <row r="43" customFormat="false" ht="15" hidden="false" customHeight="false" outlineLevel="0" collapsed="false">
      <c r="A43" s="1" t="s">
        <v>22</v>
      </c>
      <c r="C43" s="1" t="s">
        <v>23</v>
      </c>
      <c r="D43" s="2" t="n">
        <v>1</v>
      </c>
      <c r="E43" s="2" t="n">
        <v>1</v>
      </c>
      <c r="F43" s="2" t="n">
        <v>1</v>
      </c>
    </row>
    <row r="44" customFormat="false" ht="15" hidden="false" customHeight="false" outlineLevel="0" collapsed="false">
      <c r="D44" s="2" t="n">
        <v>1</v>
      </c>
      <c r="E44" s="2" t="n">
        <v>1</v>
      </c>
      <c r="F44" s="2" t="n">
        <v>1</v>
      </c>
    </row>
    <row r="45" customFormat="false" ht="15" hidden="false" customHeight="false" outlineLevel="0" collapsed="false">
      <c r="D45" s="2" t="n">
        <v>1</v>
      </c>
      <c r="E45" s="2" t="n">
        <v>1</v>
      </c>
      <c r="F45" s="2" t="n">
        <v>1</v>
      </c>
    </row>
    <row r="47" customFormat="false" ht="15" hidden="false" customHeight="false" outlineLevel="0" collapsed="false">
      <c r="C47" s="1" t="s">
        <v>24</v>
      </c>
      <c r="D47" s="4" t="n">
        <f aca="false" t="array" ref="D47:F48">MMULT(M,TM)</f>
        <v>6</v>
      </c>
      <c r="E47" s="4" t="n">
        <v>6</v>
      </c>
      <c r="F47" s="4" t="n">
        <v>6</v>
      </c>
    </row>
    <row r="48" customFormat="false" ht="15" hidden="false" customHeight="false" outlineLevel="0" collapsed="false">
      <c r="D48" s="4" t="n">
        <v>22</v>
      </c>
      <c r="E48" s="4" t="n">
        <v>22</v>
      </c>
      <c r="F48" s="4" t="n">
        <v>22</v>
      </c>
    </row>
    <row r="50" customFormat="false" ht="15" hidden="false" customHeight="false" outlineLevel="0" collapsed="false">
      <c r="A50" s="1" t="s">
        <v>25</v>
      </c>
      <c r="C50" s="1" t="s">
        <v>26</v>
      </c>
      <c r="D50" s="2" t="n">
        <f aca="false" t="array" ref="D50:F52">_xlfn.MUNIT(3)</f>
        <v>1</v>
      </c>
      <c r="E50" s="2" t="n">
        <v>0</v>
      </c>
      <c r="F50" s="2" t="n">
        <v>0</v>
      </c>
      <c r="H50" s="2"/>
    </row>
    <row r="51" customFormat="false" ht="15" hidden="false" customHeight="false" outlineLevel="0" collapsed="false">
      <c r="D51" s="2" t="n">
        <v>0</v>
      </c>
      <c r="E51" s="2" t="n">
        <v>1</v>
      </c>
      <c r="F51" s="2" t="n">
        <v>0</v>
      </c>
      <c r="I51" s="2"/>
    </row>
    <row r="52" customFormat="false" ht="15" hidden="false" customHeight="false" outlineLevel="0" collapsed="false">
      <c r="D52" s="2" t="n">
        <v>0</v>
      </c>
      <c r="E52" s="2" t="n">
        <v>0</v>
      </c>
      <c r="F52" s="2" t="n">
        <v>1</v>
      </c>
      <c r="J52" s="2"/>
    </row>
    <row r="54" customFormat="false" ht="15" hidden="false" customHeight="false" outlineLevel="0" collapsed="false">
      <c r="C54" s="1" t="s">
        <v>27</v>
      </c>
      <c r="D54" s="2" t="n">
        <f aca="false" t="array" ref="D54:F55">MMULT(M,I)</f>
        <v>2</v>
      </c>
      <c r="E54" s="2" t="n">
        <v>1</v>
      </c>
      <c r="F54" s="2" t="n">
        <v>3</v>
      </c>
    </row>
    <row r="55" customFormat="false" ht="15" hidden="false" customHeight="false" outlineLevel="0" collapsed="false">
      <c r="D55" s="2" t="n">
        <v>4</v>
      </c>
      <c r="E55" s="2" t="n">
        <v>6</v>
      </c>
      <c r="F55" s="2" t="n">
        <v>12</v>
      </c>
    </row>
    <row r="57" customFormat="false" ht="15" hidden="false" customHeight="false" outlineLevel="0" collapsed="false">
      <c r="A57" s="1" t="s">
        <v>28</v>
      </c>
      <c r="C57" s="1" t="s">
        <v>29</v>
      </c>
      <c r="D57" s="2" t="n">
        <f aca="false" t="array" ref="D57:E58">_xlfn.MUNIT(2)</f>
        <v>1</v>
      </c>
      <c r="E57" s="2" t="n">
        <v>0</v>
      </c>
    </row>
    <row r="58" customFormat="false" ht="15" hidden="false" customHeight="false" outlineLevel="0" collapsed="false">
      <c r="D58" s="2" t="n">
        <v>0</v>
      </c>
      <c r="E58" s="2" t="n">
        <v>1</v>
      </c>
    </row>
    <row r="60" customFormat="false" ht="15" hidden="false" customHeight="false" outlineLevel="0" collapsed="false">
      <c r="C60" s="1" t="s">
        <v>30</v>
      </c>
      <c r="D60" s="2" t="n">
        <f aca="false" t="array" ref="D60:F61">MMULT(IP,M)</f>
        <v>2</v>
      </c>
      <c r="E60" s="2" t="n">
        <v>1</v>
      </c>
      <c r="F60" s="2" t="n">
        <v>3</v>
      </c>
    </row>
    <row r="61" customFormat="false" ht="15" hidden="false" customHeight="false" outlineLevel="0" collapsed="false">
      <c r="D61" s="2" t="n">
        <v>4</v>
      </c>
      <c r="E61" s="2" t="n">
        <v>6</v>
      </c>
      <c r="F61" s="2" t="n">
        <v>12</v>
      </c>
    </row>
    <row r="64" customFormat="false" ht="15" hidden="false" customHeight="false" outlineLevel="0" collapsed="false">
      <c r="A64" s="1" t="s">
        <v>31</v>
      </c>
      <c r="C64" s="1" t="s">
        <v>32</v>
      </c>
    </row>
    <row r="65" customFormat="false" ht="15" hidden="false" customHeight="false" outlineLevel="0" collapsed="false">
      <c r="C65" s="1" t="s">
        <v>33</v>
      </c>
    </row>
    <row r="69" customFormat="false" ht="15" hidden="false" customHeight="false" outlineLevel="0" collapsed="false">
      <c r="C69" s="1" t="s">
        <v>34</v>
      </c>
      <c r="D69" s="2" t="n">
        <v>2</v>
      </c>
      <c r="E69" s="2" t="n">
        <v>1</v>
      </c>
    </row>
    <row r="70" customFormat="false" ht="15" hidden="false" customHeight="false" outlineLevel="0" collapsed="false">
      <c r="D70" s="2" t="n">
        <v>5</v>
      </c>
      <c r="E70" s="2" t="n">
        <v>3</v>
      </c>
    </row>
    <row r="72" customFormat="false" ht="15" hidden="false" customHeight="false" outlineLevel="0" collapsed="false">
      <c r="C72" s="1" t="s">
        <v>35</v>
      </c>
      <c r="D72" s="2" t="n">
        <v>10</v>
      </c>
    </row>
    <row r="73" customFormat="false" ht="15" hidden="false" customHeight="false" outlineLevel="0" collapsed="false">
      <c r="D73" s="2" t="n">
        <v>26</v>
      </c>
    </row>
    <row r="75" customFormat="false" ht="15" hidden="false" customHeight="false" outlineLevel="0" collapsed="false">
      <c r="C75" s="1" t="s">
        <v>36</v>
      </c>
      <c r="D75" s="2" t="n">
        <f aca="false" t="array" ref="D75:E76">MINVERSE(A)</f>
        <v>3</v>
      </c>
      <c r="E75" s="2" t="n">
        <v>-1</v>
      </c>
    </row>
    <row r="76" customFormat="false" ht="15" hidden="false" customHeight="false" outlineLevel="0" collapsed="false">
      <c r="D76" s="2" t="n">
        <v>-5</v>
      </c>
      <c r="E76" s="2" t="n">
        <v>2</v>
      </c>
    </row>
    <row r="78" customFormat="false" ht="15" hidden="false" customHeight="false" outlineLevel="0" collapsed="false">
      <c r="C78" s="1" t="s">
        <v>37</v>
      </c>
      <c r="D78" s="2" t="n">
        <v>2</v>
      </c>
      <c r="E78" s="2" t="n">
        <v>6</v>
      </c>
    </row>
    <row r="79" customFormat="false" ht="15" hidden="false" customHeight="false" outlineLevel="0" collapsed="false">
      <c r="D79" s="2" t="n">
        <v>4</v>
      </c>
      <c r="E79" s="2" t="n">
        <v>12</v>
      </c>
    </row>
    <row r="81" customFormat="false" ht="15" hidden="false" customHeight="false" outlineLevel="0" collapsed="false">
      <c r="C81" s="1" t="s">
        <v>38</v>
      </c>
      <c r="D81" s="2" t="e">
        <f aca="false" t="array" ref="D81:E82">MINVERSE(CMAT)</f>
        <v>#VALUE!</v>
      </c>
      <c r="E81" s="2" t="e">
        <v>#VALUE!</v>
      </c>
    </row>
    <row r="82" customFormat="false" ht="15" hidden="false" customHeight="false" outlineLevel="0" collapsed="false">
      <c r="D82" s="2" t="e">
        <v>#VALUE!</v>
      </c>
      <c r="E82" s="2" t="e">
        <v>#VALUE!</v>
      </c>
    </row>
    <row r="84" customFormat="false" ht="15" hidden="false" customHeight="false" outlineLevel="0" collapsed="false">
      <c r="C84" s="1" t="s">
        <v>39</v>
      </c>
      <c r="D84" s="2" t="n">
        <f aca="false" t="array" ref="D84:D85">MMULT(AINV,b)</f>
        <v>4</v>
      </c>
      <c r="F84" s="1" t="n">
        <f aca="false" t="array" ref="F84:F85">MMULT(AINV,b)</f>
        <v>4</v>
      </c>
    </row>
    <row r="85" customFormat="false" ht="15" hidden="false" customHeight="false" outlineLevel="0" collapsed="false">
      <c r="D85" s="2" t="n">
        <v>2</v>
      </c>
      <c r="F85" s="1" t="n">
        <v>2</v>
      </c>
    </row>
    <row r="87" customFormat="false" ht="15" hidden="false" customHeight="false" outlineLevel="0" collapsed="false">
      <c r="E87" s="5" t="s">
        <v>40</v>
      </c>
      <c r="H87" s="5" t="s">
        <v>41</v>
      </c>
    </row>
    <row r="88" customFormat="false" ht="15" hidden="false" customHeight="false" outlineLevel="0" collapsed="false">
      <c r="B88" s="1" t="s">
        <v>32</v>
      </c>
      <c r="C88" s="1" t="s">
        <v>42</v>
      </c>
      <c r="D88" s="2" t="n">
        <v>2</v>
      </c>
      <c r="E88" s="2" t="n">
        <f aca="false">D84</f>
        <v>4</v>
      </c>
      <c r="F88" s="6" t="s">
        <v>43</v>
      </c>
      <c r="G88" s="2" t="n">
        <v>1</v>
      </c>
      <c r="H88" s="2" t="n">
        <f aca="false">D85</f>
        <v>2</v>
      </c>
      <c r="I88" s="6" t="s">
        <v>44</v>
      </c>
      <c r="J88" s="2" t="n">
        <f aca="false">D88*E88+G88*H88</f>
        <v>10</v>
      </c>
    </row>
    <row r="89" customFormat="false" ht="15" hidden="false" customHeight="false" outlineLevel="0" collapsed="false">
      <c r="B89" s="1" t="s">
        <v>33</v>
      </c>
      <c r="D89" s="2" t="n">
        <v>5</v>
      </c>
      <c r="E89" s="2" t="n">
        <f aca="false">D84</f>
        <v>4</v>
      </c>
      <c r="F89" s="6" t="s">
        <v>43</v>
      </c>
      <c r="G89" s="2" t="n">
        <v>3</v>
      </c>
      <c r="H89" s="2" t="n">
        <f aca="false">D85</f>
        <v>2</v>
      </c>
      <c r="I89" s="6" t="s">
        <v>44</v>
      </c>
      <c r="J89" s="2" t="n">
        <f aca="false">D89*E89+G89*H89</f>
        <v>26</v>
      </c>
    </row>
    <row r="92" customFormat="false" ht="15" hidden="false" customHeight="false" outlineLevel="0" collapsed="false">
      <c r="A92" s="1" t="s">
        <v>45</v>
      </c>
      <c r="C92" s="1" t="s">
        <v>46</v>
      </c>
      <c r="D92" s="2" t="n">
        <v>1</v>
      </c>
    </row>
    <row r="93" customFormat="false" ht="15" hidden="false" customHeight="false" outlineLevel="0" collapsed="false">
      <c r="D93" s="2" t="n">
        <v>1</v>
      </c>
    </row>
    <row r="94" customFormat="false" ht="15" hidden="false" customHeight="false" outlineLevel="0" collapsed="false">
      <c r="D94" s="2" t="n">
        <v>1</v>
      </c>
    </row>
    <row r="96" customFormat="false" ht="15" hidden="false" customHeight="false" outlineLevel="0" collapsed="false">
      <c r="A96" s="1" t="s">
        <v>47</v>
      </c>
      <c r="C96" s="1" t="s">
        <v>48</v>
      </c>
      <c r="D96" s="2" t="n">
        <f aca="false" t="array" ref="D96:D97">MMULT(M,ISUM)</f>
        <v>6</v>
      </c>
    </row>
    <row r="97" customFormat="false" ht="15" hidden="false" customHeight="false" outlineLevel="0" collapsed="false">
      <c r="D97" s="2" t="n">
        <v>22</v>
      </c>
    </row>
    <row r="99" customFormat="false" ht="15" hidden="false" customHeight="false" outlineLevel="0" collapsed="false">
      <c r="C99" s="1" t="s">
        <v>49</v>
      </c>
      <c r="D99" s="2" t="n">
        <v>1</v>
      </c>
      <c r="E99" s="2" t="n">
        <v>1</v>
      </c>
    </row>
    <row r="101" customFormat="false" ht="15" hidden="false" customHeight="false" outlineLevel="0" collapsed="false">
      <c r="A101" s="1" t="s">
        <v>50</v>
      </c>
      <c r="C101" s="1" t="s">
        <v>51</v>
      </c>
      <c r="D101" s="2" t="n">
        <f aca="false" t="array" ref="D101:F101">MMULT(ISUM2,M)</f>
        <v>6</v>
      </c>
      <c r="E101" s="2" t="n">
        <v>7</v>
      </c>
      <c r="F101" s="0" t="n">
        <v>15</v>
      </c>
    </row>
    <row r="103" customFormat="false" ht="15" hidden="false" customHeight="false" outlineLevel="0" collapsed="false">
      <c r="A103" s="7"/>
    </row>
    <row r="104" customFormat="false" ht="15" hidden="false" customHeight="false" outlineLevel="0" collapsed="false">
      <c r="A104" s="1" t="s">
        <v>52</v>
      </c>
      <c r="C104" s="1" t="s">
        <v>53</v>
      </c>
      <c r="D104" s="2" t="n">
        <v>8</v>
      </c>
      <c r="E104" s="2" t="n">
        <v>9</v>
      </c>
      <c r="F104" s="2" t="n">
        <v>17</v>
      </c>
    </row>
    <row r="106" customFormat="false" ht="15" hidden="false" customHeight="false" outlineLevel="0" collapsed="false">
      <c r="A106" s="1" t="s">
        <v>54</v>
      </c>
      <c r="C106" s="1" t="s">
        <v>55</v>
      </c>
      <c r="D106" s="2" t="n">
        <f aca="false" t="array" ref="D106:F108">IF(D104:F104=TRANSPOSE(D104:F104),D104:F104,0)</f>
        <v>8</v>
      </c>
      <c r="E106" s="2" t="n">
        <v>0</v>
      </c>
      <c r="F106" s="2" t="n">
        <v>0</v>
      </c>
      <c r="H106" s="0" t="n">
        <f aca="false" t="array" ref="H106:J108">IF(D104:F104=TRANSPOSE(D104:F104),D104:F104,0)</f>
        <v>8</v>
      </c>
      <c r="I106" s="0" t="n">
        <v>0</v>
      </c>
      <c r="J106" s="0" t="n">
        <v>0</v>
      </c>
    </row>
    <row r="107" customFormat="false" ht="15" hidden="false" customHeight="false" outlineLevel="0" collapsed="false">
      <c r="D107" s="2" t="n">
        <v>0</v>
      </c>
      <c r="E107" s="2" t="n">
        <v>9</v>
      </c>
      <c r="F107" s="2" t="n">
        <v>0</v>
      </c>
      <c r="H107" s="0" t="n">
        <v>0</v>
      </c>
      <c r="I107" s="0" t="n">
        <v>9</v>
      </c>
      <c r="J107" s="0" t="n">
        <v>0</v>
      </c>
    </row>
    <row r="108" customFormat="false" ht="15" hidden="false" customHeight="false" outlineLevel="0" collapsed="false">
      <c r="D108" s="2" t="n">
        <v>0</v>
      </c>
      <c r="E108" s="2" t="n">
        <v>0</v>
      </c>
      <c r="F108" s="2" t="n">
        <v>17</v>
      </c>
      <c r="H108" s="0" t="n">
        <v>0</v>
      </c>
      <c r="I108" s="0" t="n">
        <v>0</v>
      </c>
      <c r="J108" s="0" t="n">
        <v>17</v>
      </c>
    </row>
    <row r="110" customFormat="false" ht="15" hidden="false" customHeight="false" outlineLevel="0" collapsed="false">
      <c r="A110" s="1" t="s">
        <v>56</v>
      </c>
      <c r="C110" s="1" t="s">
        <v>57</v>
      </c>
      <c r="D110" s="2" t="n">
        <f aca="false" t="array" ref="D110:F112">MINVERSE(GPRIMEHAT)</f>
        <v>0.125</v>
      </c>
      <c r="E110" s="2" t="n">
        <v>0</v>
      </c>
      <c r="F110" s="2" t="n">
        <v>0</v>
      </c>
      <c r="H110" s="0" t="n">
        <f aca="false" t="array" ref="H110:J112">MINVERSE(D106:F108)</f>
        <v>0.125</v>
      </c>
      <c r="I110" s="0" t="n">
        <v>0</v>
      </c>
      <c r="J110" s="0" t="n">
        <v>0</v>
      </c>
    </row>
    <row r="111" customFormat="false" ht="15" hidden="false" customHeight="false" outlineLevel="0" collapsed="false">
      <c r="D111" s="2" t="n">
        <v>0</v>
      </c>
      <c r="E111" s="2" t="n">
        <v>0.111111111111111</v>
      </c>
      <c r="F111" s="2" t="n">
        <v>0</v>
      </c>
      <c r="H111" s="0" t="n">
        <v>0</v>
      </c>
      <c r="I111" s="0" t="n">
        <v>0.111111111111111</v>
      </c>
      <c r="J111" s="0" t="n">
        <v>0</v>
      </c>
    </row>
    <row r="112" customFormat="false" ht="15" hidden="false" customHeight="false" outlineLevel="0" collapsed="false">
      <c r="D112" s="2" t="n">
        <v>0</v>
      </c>
      <c r="E112" s="2" t="n">
        <v>0</v>
      </c>
      <c r="F112" s="2" t="n">
        <v>0.0588235294117647</v>
      </c>
      <c r="H112" s="0" t="n">
        <v>0</v>
      </c>
      <c r="I112" s="0" t="n">
        <v>0</v>
      </c>
      <c r="J112" s="0" t="n">
        <v>0.0588235294117647</v>
      </c>
    </row>
    <row r="114" customFormat="false" ht="15" hidden="false" customHeight="false" outlineLevel="0" collapsed="false">
      <c r="A114" s="1" t="s">
        <v>58</v>
      </c>
      <c r="C114" s="1" t="s">
        <v>59</v>
      </c>
      <c r="D114" s="2" t="n">
        <f aca="false" t="array" ref="D114:F116">MMULT(GPRIMEHAT,GPRIMEHATINV)</f>
        <v>1</v>
      </c>
      <c r="E114" s="2" t="n">
        <v>0</v>
      </c>
      <c r="F114" s="2" t="n">
        <v>0</v>
      </c>
      <c r="H114" s="0" t="n">
        <f aca="false" t="array" ref="H114:J116">MMULT(D106:F108,D110:F112)</f>
        <v>1</v>
      </c>
      <c r="I114" s="0" t="n">
        <v>0</v>
      </c>
      <c r="J114" s="0" t="n">
        <v>0</v>
      </c>
    </row>
    <row r="115" customFormat="false" ht="15" hidden="false" customHeight="false" outlineLevel="0" collapsed="false">
      <c r="D115" s="2" t="n">
        <v>0</v>
      </c>
      <c r="E115" s="2" t="n">
        <v>1</v>
      </c>
      <c r="F115" s="2" t="n">
        <v>0</v>
      </c>
      <c r="H115" s="0" t="n">
        <v>0</v>
      </c>
      <c r="I115" s="0" t="n">
        <v>1</v>
      </c>
      <c r="J115" s="0" t="n">
        <v>0</v>
      </c>
    </row>
    <row r="116" customFormat="false" ht="15" hidden="false" customHeight="false" outlineLevel="0" collapsed="false">
      <c r="D116" s="2" t="n">
        <v>0</v>
      </c>
      <c r="E116" s="2" t="n">
        <v>0</v>
      </c>
      <c r="F116" s="2" t="n">
        <v>1</v>
      </c>
      <c r="H116" s="0" t="n">
        <v>0</v>
      </c>
      <c r="I116" s="0" t="n">
        <v>0</v>
      </c>
      <c r="J116" s="0" t="n">
        <v>1</v>
      </c>
    </row>
    <row r="119" customFormat="false" ht="15" hidden="false" customHeight="false" outlineLevel="0" collapsed="false">
      <c r="C119" s="1" t="s">
        <v>1</v>
      </c>
      <c r="D119" s="2" t="n">
        <v>2</v>
      </c>
      <c r="E119" s="2" t="n">
        <v>1</v>
      </c>
      <c r="F119" s="2" t="n">
        <v>3</v>
      </c>
    </row>
    <row r="120" customFormat="false" ht="15" hidden="false" customHeight="false" outlineLevel="0" collapsed="false">
      <c r="D120" s="2" t="n">
        <v>4</v>
      </c>
      <c r="E120" s="2" t="n">
        <v>6</v>
      </c>
      <c r="F120" s="2" t="n">
        <v>12</v>
      </c>
    </row>
    <row r="122" customFormat="false" ht="15" hidden="false" customHeight="false" outlineLevel="0" collapsed="false">
      <c r="C122" s="1" t="s">
        <v>60</v>
      </c>
      <c r="D122" s="2" t="n">
        <f aca="false">SUM(D119:F119)</f>
        <v>6</v>
      </c>
    </row>
    <row r="123" customFormat="false" ht="15" hidden="false" customHeight="false" outlineLevel="0" collapsed="false">
      <c r="D123" s="2" t="n">
        <f aca="false">SUM(D120:F120)</f>
        <v>22</v>
      </c>
    </row>
    <row r="125" customFormat="false" ht="15" hidden="false" customHeight="false" outlineLevel="0" collapsed="false">
      <c r="C125" s="1" t="s">
        <v>61</v>
      </c>
      <c r="D125" s="2" t="n">
        <f aca="false">SUM(D119:D120)</f>
        <v>6</v>
      </c>
      <c r="E125" s="2" t="n">
        <f aca="false">SUM(E119:E120)</f>
        <v>7</v>
      </c>
      <c r="F125" s="2" t="n">
        <f aca="false">SUM(F119:F120)</f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G49"/>
  <sheetViews>
    <sheetView showFormulas="false" showGridLines="true" showRowColHeaders="true" showZeros="true" rightToLeft="false" tabSelected="false" showOutlineSymbols="true" defaultGridColor="true" view="normal" topLeftCell="A1" colorId="64" zoomScale="220" zoomScaleNormal="220" zoomScalePageLayoutView="100" workbookViewId="0">
      <selection pane="topLeft" activeCell="E50" activeCellId="1" sqref="H114:J116 E50"/>
    </sheetView>
  </sheetViews>
  <sheetFormatPr defaultColWidth="9.00390625" defaultRowHeight="15" customHeight="false" zeroHeight="false" outlineLevelRow="0" outlineLevelCol="0"/>
  <cols>
    <col collapsed="false" customWidth="true" hidden="false" outlineLevel="0" max="2" min="2" style="1" width="16.83"/>
    <col collapsed="false" customWidth="true" hidden="false" outlineLevel="0" max="3" min="3" style="1" width="16.67"/>
    <col collapsed="false" customWidth="true" hidden="false" outlineLevel="0" max="4" min="4" style="1" width="14"/>
    <col collapsed="false" customWidth="true" hidden="false" outlineLevel="0" max="5" min="5" style="1" width="13.34"/>
    <col collapsed="false" customWidth="true" hidden="false" outlineLevel="0" max="7" min="7" style="1" width="11.83"/>
  </cols>
  <sheetData>
    <row r="3" customFormat="false" ht="15" hidden="false" customHeight="false" outlineLevel="0" collapsed="false">
      <c r="C3" s="1" t="s">
        <v>62</v>
      </c>
      <c r="D3" s="1" t="s">
        <v>63</v>
      </c>
      <c r="E3" s="1" t="s">
        <v>64</v>
      </c>
      <c r="G3" s="1" t="s">
        <v>65</v>
      </c>
    </row>
    <row r="4" customFormat="false" ht="15" hidden="false" customHeight="false" outlineLevel="0" collapsed="false">
      <c r="B4" s="1" t="s">
        <v>62</v>
      </c>
      <c r="C4" s="8" t="n">
        <v>150</v>
      </c>
      <c r="D4" s="8" t="n">
        <v>500</v>
      </c>
      <c r="E4" s="9" t="n">
        <v>350</v>
      </c>
      <c r="G4" s="2" t="n">
        <f aca="false">SUM(C4:E4)</f>
        <v>1000</v>
      </c>
    </row>
    <row r="5" customFormat="false" ht="15" hidden="false" customHeight="false" outlineLevel="0" collapsed="false">
      <c r="B5" s="1" t="s">
        <v>63</v>
      </c>
      <c r="C5" s="8" t="n">
        <v>200</v>
      </c>
      <c r="D5" s="8" t="n">
        <v>100</v>
      </c>
      <c r="E5" s="9" t="n">
        <v>1700</v>
      </c>
      <c r="G5" s="2" t="n">
        <f aca="false">SUM(C5:E5)</f>
        <v>2000</v>
      </c>
    </row>
    <row r="7" customFormat="false" ht="15" hidden="false" customHeight="false" outlineLevel="0" collapsed="false">
      <c r="B7" s="1" t="s">
        <v>66</v>
      </c>
      <c r="C7" s="1" t="n">
        <v>650</v>
      </c>
      <c r="D7" s="1" t="n">
        <v>1400</v>
      </c>
      <c r="E7" s="1" t="n">
        <v>1100</v>
      </c>
    </row>
    <row r="8" customFormat="false" ht="15" hidden="false" customHeight="false" outlineLevel="0" collapsed="false">
      <c r="B8" s="1" t="s">
        <v>67</v>
      </c>
      <c r="C8" s="2" t="n">
        <v>1000</v>
      </c>
      <c r="D8" s="2" t="n">
        <v>2000</v>
      </c>
      <c r="E8" s="1" t="n">
        <v>3150</v>
      </c>
    </row>
    <row r="12" customFormat="false" ht="15" hidden="false" customHeight="false" outlineLevel="0" collapsed="false">
      <c r="B12" s="1" t="s">
        <v>68</v>
      </c>
      <c r="C12" s="2" t="n">
        <f aca="false" t="array" ref="C12:D13">IF(G4:G5=TRANSPOSE(G4:G5),G4:G5,0)</f>
        <v>1000</v>
      </c>
      <c r="D12" s="2" t="n">
        <v>0</v>
      </c>
    </row>
    <row r="13" customFormat="false" ht="15" hidden="false" customHeight="false" outlineLevel="0" collapsed="false">
      <c r="C13" s="2" t="n">
        <v>0</v>
      </c>
      <c r="D13" s="2" t="n">
        <v>2000</v>
      </c>
    </row>
    <row r="15" customFormat="false" ht="15" hidden="false" customHeight="false" outlineLevel="0" collapsed="false">
      <c r="B15" s="1" t="s">
        <v>69</v>
      </c>
      <c r="C15" s="2" t="n">
        <f aca="false" t="array" ref="C15:D16">MINVERSE(xhat)</f>
        <v>0.001</v>
      </c>
      <c r="D15" s="2" t="n">
        <v>0</v>
      </c>
    </row>
    <row r="16" customFormat="false" ht="15" hidden="false" customHeight="false" outlineLevel="0" collapsed="false">
      <c r="C16" s="2" t="n">
        <v>0</v>
      </c>
      <c r="D16" s="2" t="n">
        <v>0.0005</v>
      </c>
    </row>
    <row r="18" customFormat="false" ht="15" hidden="false" customHeight="false" outlineLevel="0" collapsed="false">
      <c r="B18" s="1" t="s">
        <v>70</v>
      </c>
      <c r="C18" s="2" t="n">
        <f aca="false" t="array" ref="C18:D19">MMULT(Z,xhatinv)</f>
        <v>0.15</v>
      </c>
      <c r="D18" s="2" t="n">
        <v>0.25</v>
      </c>
    </row>
    <row r="19" customFormat="false" ht="15" hidden="false" customHeight="false" outlineLevel="0" collapsed="false">
      <c r="C19" s="10" t="n">
        <v>0.2</v>
      </c>
      <c r="D19" s="2" t="n">
        <v>0.05</v>
      </c>
    </row>
    <row r="21" customFormat="false" ht="15" hidden="false" customHeight="false" outlineLevel="0" collapsed="false">
      <c r="B21" s="1" t="s">
        <v>71</v>
      </c>
      <c r="C21" s="2" t="n">
        <f aca="false" t="array" ref="C21:D22">_xlfn.MUNIT(2)</f>
        <v>1</v>
      </c>
      <c r="D21" s="2" t="n">
        <v>0</v>
      </c>
    </row>
    <row r="22" customFormat="false" ht="15" hidden="false" customHeight="false" outlineLevel="0" collapsed="false">
      <c r="C22" s="2" t="n">
        <v>0</v>
      </c>
      <c r="D22" s="2" t="n">
        <v>1</v>
      </c>
    </row>
    <row r="24" customFormat="false" ht="15" hidden="false" customHeight="false" outlineLevel="0" collapsed="false">
      <c r="B24" s="1" t="s">
        <v>72</v>
      </c>
      <c r="C24" s="2" t="n">
        <f aca="false" t="array" ref="C24:D25">MINVERSE((identity-REQ))</f>
        <v>1.25412541254125</v>
      </c>
      <c r="D24" s="2" t="n">
        <v>0.33003300330033</v>
      </c>
    </row>
    <row r="25" customFormat="false" ht="15" hidden="false" customHeight="false" outlineLevel="0" collapsed="false">
      <c r="C25" s="2" t="n">
        <v>0.264026402640264</v>
      </c>
      <c r="D25" s="2" t="n">
        <v>1.12211221122112</v>
      </c>
    </row>
    <row r="27" customFormat="false" ht="15" hidden="false" customHeight="false" outlineLevel="0" collapsed="false">
      <c r="B27" s="1" t="s">
        <v>73</v>
      </c>
      <c r="C27" s="2" t="n">
        <f aca="false" t="array" ref="C27:C28">MMULT(L,fdem)</f>
        <v>1000</v>
      </c>
    </row>
    <row r="28" customFormat="false" ht="15" hidden="false" customHeight="false" outlineLevel="0" collapsed="false">
      <c r="C28" s="2" t="n">
        <v>2000</v>
      </c>
    </row>
    <row r="30" customFormat="false" ht="15" hidden="false" customHeight="false" outlineLevel="0" collapsed="false">
      <c r="B30" s="1" t="s">
        <v>74</v>
      </c>
      <c r="C30" s="2" t="n">
        <v>600</v>
      </c>
    </row>
    <row r="31" customFormat="false" ht="15" hidden="false" customHeight="false" outlineLevel="0" collapsed="false">
      <c r="C31" s="2" t="n">
        <v>1500</v>
      </c>
    </row>
    <row r="33" customFormat="false" ht="15" hidden="false" customHeight="false" outlineLevel="0" collapsed="false">
      <c r="B33" s="1" t="s">
        <v>75</v>
      </c>
      <c r="C33" s="2" t="n">
        <f aca="false" t="array" ref="C33:C34">MMULT(L,fdemnew)</f>
        <v>1247.52475247525</v>
      </c>
    </row>
    <row r="34" customFormat="false" ht="15" hidden="false" customHeight="false" outlineLevel="0" collapsed="false">
      <c r="C34" s="2" t="n">
        <v>1841.58415841584</v>
      </c>
    </row>
    <row r="36" customFormat="false" ht="15" hidden="false" customHeight="false" outlineLevel="0" collapsed="false">
      <c r="B36" s="1" t="s">
        <v>76</v>
      </c>
      <c r="C36" s="2" t="n">
        <f aca="false" t="array" ref="C36:D37">IF(C33:C34=TRANSPOSE(C33:C34),C33:C34,0)</f>
        <v>1247.52475247525</v>
      </c>
      <c r="D36" s="2" t="n">
        <v>0</v>
      </c>
    </row>
    <row r="37" customFormat="false" ht="15" hidden="false" customHeight="false" outlineLevel="0" collapsed="false">
      <c r="C37" s="2" t="n">
        <v>0</v>
      </c>
      <c r="D37" s="2" t="n">
        <v>1841.58415841584</v>
      </c>
    </row>
    <row r="39" customFormat="false" ht="15" hidden="false" customHeight="false" outlineLevel="0" collapsed="false">
      <c r="B39" s="1" t="s">
        <v>77</v>
      </c>
      <c r="C39" s="11" t="n">
        <f aca="false" t="array" ref="C39:D40">MMULT(REQ,xnewdiag)</f>
        <v>187.128712871287</v>
      </c>
      <c r="D39" s="11" t="n">
        <v>460.39603960396</v>
      </c>
    </row>
    <row r="40" customFormat="false" ht="15" hidden="false" customHeight="false" outlineLevel="0" collapsed="false">
      <c r="C40" s="11" t="n">
        <v>249.504950495049</v>
      </c>
      <c r="D40" s="11" t="n">
        <v>92.0792079207921</v>
      </c>
    </row>
    <row r="42" customFormat="false" ht="15" hidden="false" customHeight="false" outlineLevel="0" collapsed="false">
      <c r="B42" s="12" t="s">
        <v>78</v>
      </c>
    </row>
    <row r="44" customFormat="false" ht="15" hidden="false" customHeight="false" outlineLevel="0" collapsed="false">
      <c r="C44" s="1" t="s">
        <v>62</v>
      </c>
      <c r="D44" s="1" t="s">
        <v>63</v>
      </c>
      <c r="E44" s="1" t="s">
        <v>64</v>
      </c>
      <c r="G44" s="1" t="s">
        <v>65</v>
      </c>
    </row>
    <row r="45" customFormat="false" ht="15" hidden="false" customHeight="false" outlineLevel="0" collapsed="false">
      <c r="B45" s="1" t="s">
        <v>62</v>
      </c>
      <c r="C45" s="13" t="n">
        <f aca="false" t="array" ref="C45:D46">C39:D40</f>
        <v>187.128712871287</v>
      </c>
      <c r="D45" s="13" t="n">
        <v>460.39603960396</v>
      </c>
      <c r="E45" s="14" t="n">
        <f aca="false" t="array" ref="E45:E46">C30:C31</f>
        <v>600</v>
      </c>
      <c r="G45" s="15" t="n">
        <f aca="false">SUM(C45:E45)</f>
        <v>1247.52475247525</v>
      </c>
    </row>
    <row r="46" customFormat="false" ht="15" hidden="false" customHeight="false" outlineLevel="0" collapsed="false">
      <c r="B46" s="1" t="s">
        <v>63</v>
      </c>
      <c r="C46" s="13" t="n">
        <v>249.504950495049</v>
      </c>
      <c r="D46" s="13" t="n">
        <v>92.0792079207921</v>
      </c>
      <c r="E46" s="14" t="n">
        <v>1500</v>
      </c>
      <c r="G46" s="15" t="n">
        <f aca="false">SUM(C46:E46)</f>
        <v>1841.58415841584</v>
      </c>
    </row>
    <row r="48" customFormat="false" ht="15" hidden="false" customHeight="false" outlineLevel="0" collapsed="false">
      <c r="B48" s="1" t="s">
        <v>66</v>
      </c>
      <c r="C48" s="11" t="n">
        <f aca="false">C49-SUM(C45:C46)</f>
        <v>810.891089108911</v>
      </c>
      <c r="D48" s="11" t="n">
        <f aca="false">D49-SUM(D45:D46)</f>
        <v>1289.10891089109</v>
      </c>
      <c r="E48" s="11" t="n">
        <v>1100</v>
      </c>
    </row>
    <row r="49" customFormat="false" ht="15" hidden="false" customHeight="false" outlineLevel="0" collapsed="false">
      <c r="B49" s="1" t="s">
        <v>67</v>
      </c>
      <c r="C49" s="15" t="n">
        <f aca="false">G45</f>
        <v>1247.52475247525</v>
      </c>
      <c r="D49" s="15" t="n">
        <f aca="false">G46</f>
        <v>1841.58415841584</v>
      </c>
      <c r="E49" s="1" t="n">
        <v>3200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AD42"/>
  <sheetViews>
    <sheetView showFormulas="false" showGridLines="true" showRowColHeaders="true" showZeros="true" rightToLeft="false" tabSelected="false" showOutlineSymbols="true" defaultGridColor="true" view="normal" topLeftCell="A1" colorId="64" zoomScale="220" zoomScaleNormal="220" zoomScalePageLayoutView="100" workbookViewId="0">
      <selection pane="topLeft" activeCell="M44" activeCellId="1" sqref="H114:J116 M44"/>
    </sheetView>
  </sheetViews>
  <sheetFormatPr defaultColWidth="9.00390625" defaultRowHeight="15" customHeight="false" zeroHeight="false" outlineLevelRow="0" outlineLevelCol="0"/>
  <cols>
    <col collapsed="false" customWidth="true" hidden="false" outlineLevel="0" max="1" min="1" style="1" width="69.33"/>
    <col collapsed="false" customWidth="true" hidden="false" outlineLevel="0" max="3" min="3" style="1" width="3.34"/>
    <col collapsed="false" customWidth="true" hidden="false" outlineLevel="0" max="5" min="4" style="1" width="19"/>
    <col collapsed="false" customWidth="true" hidden="false" outlineLevel="0" max="7" min="7" style="1" width="3.34"/>
    <col collapsed="false" customWidth="true" hidden="false" outlineLevel="0" max="11" min="11" style="1" width="3.34"/>
    <col collapsed="false" customWidth="true" hidden="false" outlineLevel="0" max="13" min="12" style="1" width="12.67"/>
    <col collapsed="false" customWidth="true" hidden="false" outlineLevel="0" max="14" min="14" style="1" width="12.33"/>
    <col collapsed="false" customWidth="true" hidden="false" outlineLevel="0" max="15" min="15" style="1" width="3.67"/>
    <col collapsed="false" customWidth="true" hidden="false" outlineLevel="0" max="25" min="25" style="1" width="2.33"/>
    <col collapsed="false" customWidth="true" hidden="false" outlineLevel="0" max="30" min="26" style="1" width="10.83"/>
    <col collapsed="false" customWidth="true" hidden="false" outlineLevel="0" max="31" min="31" style="1" width="3"/>
  </cols>
  <sheetData>
    <row r="1" customFormat="false" ht="17.35" hidden="false" customHeight="false" outlineLevel="0" collapsed="false">
      <c r="A1" s="16" t="s">
        <v>79</v>
      </c>
    </row>
    <row r="2" customFormat="false" ht="17.35" hidden="false" customHeight="false" outlineLevel="0" collapsed="false">
      <c r="A2" s="16" t="s">
        <v>80</v>
      </c>
    </row>
    <row r="3" customFormat="false" ht="17.35" hidden="false" customHeight="false" outlineLevel="0" collapsed="false">
      <c r="A3" s="16" t="s">
        <v>81</v>
      </c>
    </row>
    <row r="4" customFormat="false" ht="15" hidden="false" customHeight="false" outlineLevel="0" collapsed="false">
      <c r="A4" s="12" t="s">
        <v>82</v>
      </c>
    </row>
    <row r="5" customFormat="false" ht="14.25" hidden="false" customHeight="true" outlineLevel="0" collapsed="false">
      <c r="D5" s="17" t="s">
        <v>83</v>
      </c>
      <c r="E5" s="17"/>
      <c r="F5" s="17"/>
      <c r="H5" s="17" t="s">
        <v>84</v>
      </c>
      <c r="I5" s="17"/>
      <c r="J5" s="17"/>
      <c r="L5" s="17" t="s">
        <v>85</v>
      </c>
      <c r="M5" s="17"/>
      <c r="N5" s="17"/>
      <c r="P5" s="17" t="s">
        <v>86</v>
      </c>
      <c r="Q5" s="17"/>
      <c r="R5" s="17"/>
      <c r="S5" s="17"/>
      <c r="T5" s="17"/>
      <c r="U5" s="17"/>
      <c r="V5" s="17"/>
      <c r="W5" s="17"/>
      <c r="X5" s="17"/>
      <c r="Z5" s="17" t="s">
        <v>87</v>
      </c>
      <c r="AA5" s="17"/>
      <c r="AB5" s="17"/>
      <c r="AC5" s="17"/>
      <c r="AD5" s="17"/>
    </row>
    <row r="6" customFormat="false" ht="57.85" hidden="false" customHeight="false" outlineLevel="0" collapsed="false">
      <c r="D6" s="18" t="s">
        <v>88</v>
      </c>
      <c r="E6" s="18" t="s">
        <v>89</v>
      </c>
      <c r="F6" s="18" t="s">
        <v>90</v>
      </c>
      <c r="H6" s="18" t="s">
        <v>91</v>
      </c>
      <c r="I6" s="18" t="s">
        <v>92</v>
      </c>
      <c r="J6" s="18" t="s">
        <v>93</v>
      </c>
      <c r="L6" s="18" t="s">
        <v>94</v>
      </c>
      <c r="M6" s="18" t="s">
        <v>95</v>
      </c>
      <c r="N6" s="18" t="s">
        <v>96</v>
      </c>
      <c r="P6" s="18" t="s">
        <v>97</v>
      </c>
      <c r="Q6" s="18" t="s">
        <v>98</v>
      </c>
      <c r="R6" s="18" t="s">
        <v>99</v>
      </c>
      <c r="S6" s="18" t="s">
        <v>100</v>
      </c>
      <c r="T6" s="18" t="s">
        <v>101</v>
      </c>
      <c r="U6" s="18" t="s">
        <v>102</v>
      </c>
      <c r="V6" s="18" t="s">
        <v>103</v>
      </c>
      <c r="W6" s="18" t="s">
        <v>104</v>
      </c>
      <c r="X6" s="18" t="s">
        <v>105</v>
      </c>
      <c r="Z6" s="18" t="s">
        <v>106</v>
      </c>
      <c r="AA6" s="18" t="s">
        <v>107</v>
      </c>
      <c r="AB6" s="18" t="s">
        <v>108</v>
      </c>
      <c r="AC6" s="18" t="s">
        <v>109</v>
      </c>
      <c r="AD6" s="18" t="s">
        <v>110</v>
      </c>
    </row>
    <row r="7" customFormat="false" ht="15" hidden="false" customHeight="false" outlineLevel="0" collapsed="false">
      <c r="D7" s="19"/>
      <c r="E7" s="19"/>
      <c r="F7" s="19"/>
      <c r="H7" s="19"/>
      <c r="I7" s="19"/>
      <c r="J7" s="19"/>
      <c r="L7" s="19"/>
      <c r="N7" s="19"/>
    </row>
    <row r="8" customFormat="false" ht="15" hidden="false" customHeight="false" outlineLevel="0" collapsed="false">
      <c r="A8" s="20" t="s">
        <v>111</v>
      </c>
      <c r="B8" s="21" t="s">
        <v>112</v>
      </c>
      <c r="D8" s="22" t="n">
        <v>1483.35132152209</v>
      </c>
      <c r="E8" s="23" t="n">
        <v>0</v>
      </c>
      <c r="F8" s="22" t="n">
        <f aca="false">D8*(1+E8)</f>
        <v>1483.35132152209</v>
      </c>
      <c r="H8" s="22" t="n">
        <v>3054.46797406012</v>
      </c>
      <c r="I8" s="22" t="n">
        <f aca="false" t="array" ref="I8:I41">MMULT(KYZ_EEIO_2017!$D$265:$AK$298,Tool!F8:F41)</f>
        <v>3054.46797406013</v>
      </c>
      <c r="J8" s="24" t="n">
        <f aca="false">IF(H8=0,0,(I8-H8)/H8)</f>
        <v>0</v>
      </c>
      <c r="L8" s="22" t="n">
        <v>541400</v>
      </c>
      <c r="M8" s="22" t="n">
        <f aca="false">SUM(P8:X8)</f>
        <v>541400.000000001</v>
      </c>
      <c r="N8" s="25" t="n">
        <f aca="false">M8-L8</f>
        <v>0</v>
      </c>
      <c r="P8" s="22" t="n">
        <f aca="false">$I8*KYZ_EEIO_2017!CD8</f>
        <v>52400.0000000002</v>
      </c>
      <c r="Q8" s="22" t="n">
        <f aca="false">$I8*KYZ_EEIO_2017!CE8</f>
        <v>125200</v>
      </c>
      <c r="R8" s="22" t="n">
        <f aca="false">$I8*KYZ_EEIO_2017!CF8</f>
        <v>42299.9999999999</v>
      </c>
      <c r="S8" s="22" t="n">
        <f aca="false">$I8*KYZ_EEIO_2017!CG8</f>
        <v>41000.0000000002</v>
      </c>
      <c r="T8" s="22" t="n">
        <f aca="false">$I8*KYZ_EEIO_2017!CH8</f>
        <v>175600.000000001</v>
      </c>
      <c r="U8" s="22" t="n">
        <f aca="false">$I8*KYZ_EEIO_2017!CI8</f>
        <v>58400.0000000001</v>
      </c>
      <c r="V8" s="22" t="n">
        <f aca="false">$I8*KYZ_EEIO_2017!CJ8</f>
        <v>42100.0000000002</v>
      </c>
      <c r="W8" s="22" t="n">
        <f aca="false">$I8*KYZ_EEIO_2017!CK8</f>
        <v>3200</v>
      </c>
      <c r="X8" s="22" t="n">
        <f aca="false">$I8*KYZ_EEIO_2017!CL8</f>
        <v>1200</v>
      </c>
      <c r="Z8" s="22" t="n">
        <f aca="false">$I8*KYZ_EEIO_2017!CY8</f>
        <v>1912.09992504446</v>
      </c>
      <c r="AA8" s="22" t="n">
        <f aca="false">$I8*KYZ_EEIO_2017!CZ8</f>
        <v>1350.7741981623</v>
      </c>
      <c r="AB8" s="22" t="n">
        <f aca="false">$I8*KYZ_EEIO_2017!DA8</f>
        <v>7117.82150540292</v>
      </c>
      <c r="AC8" s="22" t="n">
        <f aca="false">$I8*KYZ_EEIO_2017!DB8</f>
        <v>11933.1218865023</v>
      </c>
      <c r="AD8" s="22" t="n">
        <f aca="false">$I8*KYZ_EEIO_2017!DC8</f>
        <v>432.855331999286</v>
      </c>
    </row>
    <row r="9" customFormat="false" ht="15" hidden="false" customHeight="false" outlineLevel="0" collapsed="false">
      <c r="A9" s="20" t="s">
        <v>113</v>
      </c>
      <c r="B9" s="21" t="s">
        <v>114</v>
      </c>
      <c r="D9" s="22" t="n">
        <v>53.7022312962019</v>
      </c>
      <c r="E9" s="23" t="n">
        <v>0</v>
      </c>
      <c r="F9" s="22" t="n">
        <f aca="false">D9*(1+E9)</f>
        <v>53.7022312962019</v>
      </c>
      <c r="H9" s="22" t="n">
        <v>145.422872158229</v>
      </c>
      <c r="I9" s="22" t="n">
        <v>145.422872158229</v>
      </c>
      <c r="J9" s="24" t="n">
        <f aca="false">IF(H9=0,0,(I9-H9)/H9)</f>
        <v>0</v>
      </c>
      <c r="L9" s="22" t="n">
        <v>12700</v>
      </c>
      <c r="M9" s="22" t="n">
        <f aca="false">SUM(P9:X9)</f>
        <v>12700</v>
      </c>
      <c r="N9" s="25" t="n">
        <f aca="false">M9-L9</f>
        <v>0</v>
      </c>
      <c r="P9" s="22" t="n">
        <f aca="false">$I9*KYZ_EEIO_2017!CD9</f>
        <v>4200</v>
      </c>
      <c r="Q9" s="22" t="n">
        <f aca="false">$I9*KYZ_EEIO_2017!CE9</f>
        <v>1400</v>
      </c>
      <c r="R9" s="22" t="n">
        <f aca="false">$I9*KYZ_EEIO_2017!CF9</f>
        <v>2100</v>
      </c>
      <c r="S9" s="22" t="n">
        <f aca="false">$I9*KYZ_EEIO_2017!CG9</f>
        <v>3299.99999999999</v>
      </c>
      <c r="T9" s="22" t="n">
        <f aca="false">$I9*KYZ_EEIO_2017!CH9</f>
        <v>0</v>
      </c>
      <c r="U9" s="22" t="n">
        <f aca="false">$I9*KYZ_EEIO_2017!CI9</f>
        <v>100</v>
      </c>
      <c r="V9" s="22" t="n">
        <f aca="false">$I9*KYZ_EEIO_2017!CJ9</f>
        <v>1599.99999999999</v>
      </c>
      <c r="W9" s="22" t="n">
        <f aca="false">$I9*KYZ_EEIO_2017!CK9</f>
        <v>0</v>
      </c>
      <c r="X9" s="22" t="n">
        <f aca="false">$I9*KYZ_EEIO_2017!CL9</f>
        <v>0</v>
      </c>
      <c r="Z9" s="22" t="n">
        <f aca="false">$I9*KYZ_EEIO_2017!CY9</f>
        <v>147.723954992324</v>
      </c>
      <c r="AA9" s="22" t="n">
        <f aca="false">$I9*KYZ_EEIO_2017!CZ9</f>
        <v>181.807869510855</v>
      </c>
      <c r="AB9" s="22" t="n">
        <f aca="false">$I9*KYZ_EEIO_2017!DA9</f>
        <v>0.2202619485281</v>
      </c>
      <c r="AC9" s="22" t="n">
        <f aca="false">$I9*KYZ_EEIO_2017!DB9</f>
        <v>0</v>
      </c>
      <c r="AD9" s="22" t="n">
        <f aca="false">$I9*KYZ_EEIO_2017!DC9</f>
        <v>3.05524703355593</v>
      </c>
    </row>
    <row r="10" customFormat="false" ht="15" hidden="false" customHeight="false" outlineLevel="0" collapsed="false">
      <c r="A10" s="20" t="s">
        <v>115</v>
      </c>
      <c r="B10" s="21" t="s">
        <v>116</v>
      </c>
      <c r="D10" s="22" t="n">
        <v>389.249155594466</v>
      </c>
      <c r="E10" s="23" t="n">
        <v>0</v>
      </c>
      <c r="F10" s="22" t="n">
        <f aca="false">D10*(1+E10)</f>
        <v>389.249155594466</v>
      </c>
      <c r="H10" s="22" t="n">
        <v>643.017347053155</v>
      </c>
      <c r="I10" s="22" t="n">
        <v>643.017347053155</v>
      </c>
      <c r="J10" s="24" t="n">
        <f aca="false">IF(H10=0,0,(I10-H10)/H10)</f>
        <v>0</v>
      </c>
      <c r="L10" s="22" t="n">
        <v>37064.2914625134</v>
      </c>
      <c r="M10" s="22" t="n">
        <f aca="false">SUM(P10:X10)</f>
        <v>37064.2914625135</v>
      </c>
      <c r="N10" s="25" t="n">
        <f aca="false">M10-L10</f>
        <v>0</v>
      </c>
      <c r="P10" s="22" t="n">
        <f aca="false">$I10*KYZ_EEIO_2017!CD10</f>
        <v>1314.78060931213</v>
      </c>
      <c r="Q10" s="22" t="n">
        <f aca="false">$I10*KYZ_EEIO_2017!CE10</f>
        <v>5306.0788875811</v>
      </c>
      <c r="R10" s="22" t="n">
        <f aca="false">$I10*KYZ_EEIO_2017!CF10</f>
        <v>1596.51931130759</v>
      </c>
      <c r="S10" s="22" t="n">
        <f aca="false">$I10*KYZ_EEIO_2017!CG10</f>
        <v>313.043002217174</v>
      </c>
      <c r="T10" s="22" t="n">
        <f aca="false">$I10*KYZ_EEIO_2017!CH10</f>
        <v>3928.68967782554</v>
      </c>
      <c r="U10" s="22" t="n">
        <f aca="false">$I10*KYZ_EEIO_2017!CI10</f>
        <v>626.086004434349</v>
      </c>
      <c r="V10" s="22" t="n">
        <f aca="false">$I10*KYZ_EEIO_2017!CJ10</f>
        <v>11269.5480798183</v>
      </c>
      <c r="W10" s="22" t="n">
        <f aca="false">$I10*KYZ_EEIO_2017!CK10</f>
        <v>11504.3303314812</v>
      </c>
      <c r="X10" s="22" t="n">
        <f aca="false">$I10*KYZ_EEIO_2017!CL10</f>
        <v>1205.21555853612</v>
      </c>
      <c r="Z10" s="22" t="n">
        <f aca="false">$I10*KYZ_EEIO_2017!CY10</f>
        <v>736.616036330328</v>
      </c>
      <c r="AA10" s="22" t="n">
        <f aca="false">$I10*KYZ_EEIO_2017!CZ10</f>
        <v>280.608863962537</v>
      </c>
      <c r="AB10" s="22" t="n">
        <f aca="false">$I10*KYZ_EEIO_2017!DA10</f>
        <v>1.18781403471344</v>
      </c>
      <c r="AC10" s="22" t="n">
        <f aca="false">$I10*KYZ_EEIO_2017!DB10</f>
        <v>0</v>
      </c>
      <c r="AD10" s="22" t="n">
        <f aca="false">$I10*KYZ_EEIO_2017!DC10</f>
        <v>16.4761336682327</v>
      </c>
    </row>
    <row r="11" customFormat="false" ht="15" hidden="false" customHeight="false" outlineLevel="0" collapsed="false">
      <c r="A11" s="20" t="s">
        <v>117</v>
      </c>
      <c r="B11" s="21" t="s">
        <v>118</v>
      </c>
      <c r="D11" s="22" t="n">
        <v>118.236052395669</v>
      </c>
      <c r="E11" s="23" t="n">
        <v>0</v>
      </c>
      <c r="F11" s="22" t="n">
        <f aca="false">D11*(1+E11)</f>
        <v>118.236052395669</v>
      </c>
      <c r="H11" s="22" t="n">
        <v>128.310833027281</v>
      </c>
      <c r="I11" s="22" t="n">
        <v>128.310833027281</v>
      </c>
      <c r="J11" s="24" t="n">
        <f aca="false">IF(H11=0,0,(I11-H11)/H11)</f>
        <v>0</v>
      </c>
      <c r="L11" s="22" t="n">
        <v>8792.78292038665</v>
      </c>
      <c r="M11" s="22" t="n">
        <f aca="false">SUM(P11:X11)</f>
        <v>8792.78292038664</v>
      </c>
      <c r="N11" s="25" t="n">
        <f aca="false">M11-L11</f>
        <v>0</v>
      </c>
      <c r="P11" s="22" t="n">
        <f aca="false">$I11*KYZ_EEIO_2017!CD11</f>
        <v>311.906150892094</v>
      </c>
      <c r="Q11" s="22" t="n">
        <f aca="false">$I11*KYZ_EEIO_2017!CE11</f>
        <v>1258.76410895738</v>
      </c>
      <c r="R11" s="22" t="n">
        <f aca="false">$I11*KYZ_EEIO_2017!CF11</f>
        <v>378.743183226114</v>
      </c>
      <c r="S11" s="22" t="n">
        <f aca="false">$I11*KYZ_EEIO_2017!CG11</f>
        <v>74.2633692600222</v>
      </c>
      <c r="T11" s="22" t="n">
        <f aca="false">$I11*KYZ_EEIO_2017!CH11</f>
        <v>932.00528421328</v>
      </c>
      <c r="U11" s="22" t="n">
        <f aca="false">$I11*KYZ_EEIO_2017!CI11</f>
        <v>148.526738520044</v>
      </c>
      <c r="V11" s="22" t="n">
        <f aca="false">$I11*KYZ_EEIO_2017!CJ11</f>
        <v>2673.4812933608</v>
      </c>
      <c r="W11" s="22" t="n">
        <f aca="false">$I11*KYZ_EEIO_2017!CK11</f>
        <v>2729.17882030582</v>
      </c>
      <c r="X11" s="22" t="n">
        <f aca="false">$I11*KYZ_EEIO_2017!CL11</f>
        <v>285.913971651086</v>
      </c>
      <c r="Z11" s="22" t="n">
        <f aca="false">$I11*KYZ_EEIO_2017!CY11</f>
        <v>257.577016747075</v>
      </c>
      <c r="AA11" s="22" t="n">
        <f aca="false">$I11*KYZ_EEIO_2017!CZ11</f>
        <v>63.0246127538947</v>
      </c>
      <c r="AB11" s="22" t="n">
        <f aca="false">$I11*KYZ_EEIO_2017!DA11</f>
        <v>0.484474205970994</v>
      </c>
      <c r="AC11" s="22" t="n">
        <f aca="false">$I11*KYZ_EEIO_2017!DB11</f>
        <v>0</v>
      </c>
      <c r="AD11" s="22" t="n">
        <f aca="false">$I11*KYZ_EEIO_2017!DC11</f>
        <v>6.72012751416487</v>
      </c>
    </row>
    <row r="12" customFormat="false" ht="15" hidden="false" customHeight="false" outlineLevel="0" collapsed="false">
      <c r="A12" s="20" t="s">
        <v>119</v>
      </c>
      <c r="B12" s="21" t="s">
        <v>120</v>
      </c>
      <c r="D12" s="22" t="n">
        <v>12.5047279480264</v>
      </c>
      <c r="E12" s="23" t="n">
        <v>0</v>
      </c>
      <c r="F12" s="22" t="n">
        <f aca="false">D12*(1+E12)</f>
        <v>12.5047279480264</v>
      </c>
      <c r="H12" s="22" t="n">
        <v>13.5955055154479</v>
      </c>
      <c r="I12" s="22" t="n">
        <v>13.5955055154478</v>
      </c>
      <c r="J12" s="24" t="n">
        <f aca="false">IF(H12=0,0,(I12-H12)/H12)</f>
        <v>-4.18104488988803E-015</v>
      </c>
      <c r="L12" s="22" t="n">
        <v>931.662010680235</v>
      </c>
      <c r="M12" s="22" t="n">
        <f aca="false">SUM(P12:X12)</f>
        <v>931.662010680234</v>
      </c>
      <c r="N12" s="25" t="n">
        <f aca="false">M12-L12</f>
        <v>0</v>
      </c>
      <c r="P12" s="22" t="n">
        <f aca="false">$I12*KYZ_EEIO_2017!CD12</f>
        <v>33.0488213248056</v>
      </c>
      <c r="Q12" s="22" t="n">
        <f aca="false">$I12*KYZ_EEIO_2017!CE12</f>
        <v>133.375600346537</v>
      </c>
      <c r="R12" s="22" t="n">
        <f aca="false">$I12*KYZ_EEIO_2017!CF12</f>
        <v>40.1307116086925</v>
      </c>
      <c r="S12" s="22" t="n">
        <f aca="false">$I12*KYZ_EEIO_2017!CG12</f>
        <v>7.86876698209656</v>
      </c>
      <c r="T12" s="22" t="n">
        <f aca="false">$I12*KYZ_EEIO_2017!CH12</f>
        <v>98.753025625312</v>
      </c>
      <c r="U12" s="22" t="n">
        <f aca="false">$I12*KYZ_EEIO_2017!CI12</f>
        <v>15.7375339641931</v>
      </c>
      <c r="V12" s="22" t="n">
        <f aca="false">$I12*KYZ_EEIO_2017!CJ12</f>
        <v>283.275611355477</v>
      </c>
      <c r="W12" s="22" t="n">
        <f aca="false">$I12*KYZ_EEIO_2017!CK12</f>
        <v>289.177186592049</v>
      </c>
      <c r="X12" s="22" t="n">
        <f aca="false">$I12*KYZ_EEIO_2017!CL12</f>
        <v>30.2947528810718</v>
      </c>
      <c r="Z12" s="22" t="n">
        <f aca="false">$I12*KYZ_EEIO_2017!CY12</f>
        <v>33.107264818211</v>
      </c>
      <c r="AA12" s="22" t="n">
        <f aca="false">$I12*KYZ_EEIO_2017!CZ12</f>
        <v>6.13926041371224</v>
      </c>
      <c r="AB12" s="22" t="n">
        <f aca="false">$I12*KYZ_EEIO_2017!DA12</f>
        <v>0.0654302411045679</v>
      </c>
      <c r="AC12" s="22" t="n">
        <f aca="false">$I12*KYZ_EEIO_2017!DB12</f>
        <v>0</v>
      </c>
      <c r="AD12" s="22" t="n">
        <f aca="false">$I12*KYZ_EEIO_2017!DC12</f>
        <v>0.907580957017087</v>
      </c>
    </row>
    <row r="13" customFormat="false" ht="15" hidden="false" customHeight="false" outlineLevel="0" collapsed="false">
      <c r="A13" s="20" t="s">
        <v>121</v>
      </c>
      <c r="B13" s="21" t="s">
        <v>122</v>
      </c>
      <c r="D13" s="22" t="n">
        <v>2.82065123661103</v>
      </c>
      <c r="E13" s="23" t="n">
        <v>0</v>
      </c>
      <c r="F13" s="22" t="n">
        <f aca="false">D13*(1+E13)</f>
        <v>2.82065123661103</v>
      </c>
      <c r="H13" s="22" t="n">
        <v>3.94979319001252</v>
      </c>
      <c r="I13" s="22" t="n">
        <v>3.94979319001252</v>
      </c>
      <c r="J13" s="24" t="n">
        <f aca="false">IF(H13=0,0,(I13-H13)/H13)</f>
        <v>0</v>
      </c>
      <c r="L13" s="22" t="n">
        <v>358.07881352186</v>
      </c>
      <c r="M13" s="22" t="n">
        <f aca="false">SUM(P13:X13)</f>
        <v>358.078813521861</v>
      </c>
      <c r="N13" s="25" t="n">
        <f aca="false">M13-L13</f>
        <v>0</v>
      </c>
      <c r="P13" s="22" t="n">
        <f aca="false">$I13*KYZ_EEIO_2017!CD13</f>
        <v>12.7021200742552</v>
      </c>
      <c r="Q13" s="22" t="n">
        <f aca="false">$I13*KYZ_EEIO_2017!CE13</f>
        <v>51.2621274425297</v>
      </c>
      <c r="R13" s="22" t="n">
        <f aca="false">$I13*KYZ_EEIO_2017!CF13</f>
        <v>15.4240029473099</v>
      </c>
      <c r="S13" s="22" t="n">
        <f aca="false">$I13*KYZ_EEIO_2017!CG13</f>
        <v>3.02431430339409</v>
      </c>
      <c r="T13" s="22" t="n">
        <f aca="false">$I13*KYZ_EEIO_2017!CH13</f>
        <v>37.9551445075959</v>
      </c>
      <c r="U13" s="22" t="n">
        <f aca="false">$I13*KYZ_EEIO_2017!CI13</f>
        <v>6.04862860678819</v>
      </c>
      <c r="V13" s="22" t="n">
        <f aca="false">$I13*KYZ_EEIO_2017!CJ13</f>
        <v>108.875314922187</v>
      </c>
      <c r="W13" s="22" t="n">
        <f aca="false">$I13*KYZ_EEIO_2017!CK13</f>
        <v>111.143550649733</v>
      </c>
      <c r="X13" s="22" t="n">
        <f aca="false">$I13*KYZ_EEIO_2017!CL13</f>
        <v>11.6436100680673</v>
      </c>
      <c r="Z13" s="22" t="n">
        <f aca="false">$I13*KYZ_EEIO_2017!CY13</f>
        <v>22.7137894477542</v>
      </c>
      <c r="AA13" s="22" t="n">
        <f aca="false">$I13*KYZ_EEIO_2017!CZ13</f>
        <v>1.7543551177829</v>
      </c>
      <c r="AB13" s="22" t="n">
        <f aca="false">$I13*KYZ_EEIO_2017!DA13</f>
        <v>0.0495614954920318</v>
      </c>
      <c r="AC13" s="22" t="n">
        <f aca="false">$I13*KYZ_EEIO_2017!DB13</f>
        <v>0</v>
      </c>
      <c r="AD13" s="22" t="n">
        <f aca="false">$I13*KYZ_EEIO_2017!DC13</f>
        <v>0.687466051637645</v>
      </c>
    </row>
    <row r="14" customFormat="false" ht="15" hidden="false" customHeight="false" outlineLevel="0" collapsed="false">
      <c r="A14" s="20" t="s">
        <v>123</v>
      </c>
      <c r="B14" s="21" t="s">
        <v>124</v>
      </c>
      <c r="D14" s="22" t="n">
        <v>26.3611808832201</v>
      </c>
      <c r="E14" s="23" t="n">
        <v>0</v>
      </c>
      <c r="F14" s="22" t="n">
        <f aca="false">D14*(1+E14)</f>
        <v>26.3611808832201</v>
      </c>
      <c r="H14" s="22" t="n">
        <v>39.4799360146423</v>
      </c>
      <c r="I14" s="22" t="n">
        <v>39.4799360146423</v>
      </c>
      <c r="J14" s="24" t="n">
        <f aca="false">IF(H14=0,0,(I14-H14)/H14)</f>
        <v>0</v>
      </c>
      <c r="L14" s="22" t="n">
        <v>2820.60128392427</v>
      </c>
      <c r="M14" s="22" t="n">
        <f aca="false">SUM(P14:X14)</f>
        <v>2820.60128392428</v>
      </c>
      <c r="N14" s="25" t="n">
        <f aca="false">M14-L14</f>
        <v>0</v>
      </c>
      <c r="P14" s="22" t="n">
        <f aca="false">$I14*KYZ_EEIO_2017!CD14</f>
        <v>100.055113112179</v>
      </c>
      <c r="Q14" s="22" t="n">
        <f aca="false">$I14*KYZ_EEIO_2017!CE14</f>
        <v>403.793849345577</v>
      </c>
      <c r="R14" s="22" t="n">
        <f aca="false">$I14*KYZ_EEIO_2017!CF14</f>
        <v>121.49549449336</v>
      </c>
      <c r="S14" s="22" t="n">
        <f aca="false">$I14*KYZ_EEIO_2017!CG14</f>
        <v>23.8226459790902</v>
      </c>
      <c r="T14" s="22" t="n">
        <f aca="false">$I14*KYZ_EEIO_2017!CH14</f>
        <v>298.974207037582</v>
      </c>
      <c r="U14" s="22" t="n">
        <f aca="false">$I14*KYZ_EEIO_2017!CI14</f>
        <v>47.6452919581802</v>
      </c>
      <c r="V14" s="22" t="n">
        <f aca="false">$I14*KYZ_EEIO_2017!CJ14</f>
        <v>857.615255247247</v>
      </c>
      <c r="W14" s="22" t="n">
        <f aca="false">$I14*KYZ_EEIO_2017!CK14</f>
        <v>875.482239731564</v>
      </c>
      <c r="X14" s="22" t="n">
        <f aca="false">$I14*KYZ_EEIO_2017!CL14</f>
        <v>91.7171870194971</v>
      </c>
      <c r="Z14" s="22" t="n">
        <f aca="false">$I14*KYZ_EEIO_2017!CY14</f>
        <v>78.9937434444018</v>
      </c>
      <c r="AA14" s="22" t="n">
        <f aca="false">$I14*KYZ_EEIO_2017!CZ14</f>
        <v>17.7575724653384</v>
      </c>
      <c r="AB14" s="22" t="n">
        <f aca="false">$I14*KYZ_EEIO_2017!DA14</f>
        <v>0.158933456718732</v>
      </c>
      <c r="AC14" s="22" t="n">
        <f aca="false">$I14*KYZ_EEIO_2017!DB14</f>
        <v>0</v>
      </c>
      <c r="AD14" s="22" t="n">
        <f aca="false">$I14*KYZ_EEIO_2017!DC14</f>
        <v>2.20456132081639</v>
      </c>
    </row>
    <row r="15" customFormat="false" ht="15" hidden="false" customHeight="false" outlineLevel="0" collapsed="false">
      <c r="A15" s="20" t="s">
        <v>125</v>
      </c>
      <c r="B15" s="21" t="s">
        <v>126</v>
      </c>
      <c r="D15" s="22" t="n">
        <v>49.2220665311335</v>
      </c>
      <c r="E15" s="23" t="n">
        <v>0</v>
      </c>
      <c r="F15" s="22" t="n">
        <f aca="false">D15*(1+E15)</f>
        <v>49.2220665311335</v>
      </c>
      <c r="H15" s="22" t="n">
        <v>84.7071587579276</v>
      </c>
      <c r="I15" s="22" t="n">
        <v>84.7071587579276</v>
      </c>
      <c r="J15" s="24" t="n">
        <f aca="false">IF(H15=0,0,(I15-H15)/H15)</f>
        <v>0</v>
      </c>
      <c r="L15" s="22" t="n">
        <v>6285.54488855847</v>
      </c>
      <c r="M15" s="22" t="n">
        <f aca="false">SUM(P15:X15)</f>
        <v>6285.54488855847</v>
      </c>
      <c r="N15" s="25" t="n">
        <f aca="false">M15-L15</f>
        <v>0</v>
      </c>
      <c r="P15" s="22" t="n">
        <f aca="false">$I15*KYZ_EEIO_2017!CD15</f>
        <v>222.966963952243</v>
      </c>
      <c r="Q15" s="22" t="n">
        <f aca="false">$I15*KYZ_EEIO_2017!CE15</f>
        <v>899.830961664407</v>
      </c>
      <c r="R15" s="22" t="n">
        <f aca="false">$I15*KYZ_EEIO_2017!CF15</f>
        <v>270.745599084866</v>
      </c>
      <c r="S15" s="22" t="n">
        <f aca="false">$I15*KYZ_EEIO_2017!CG15</f>
        <v>53.0873723695817</v>
      </c>
      <c r="T15" s="22" t="n">
        <f aca="false">$I15*KYZ_EEIO_2017!CH15</f>
        <v>666.24652323825</v>
      </c>
      <c r="U15" s="22" t="n">
        <f aca="false">$I15*KYZ_EEIO_2017!CI15</f>
        <v>106.174744739164</v>
      </c>
      <c r="V15" s="22" t="n">
        <f aca="false">$I15*KYZ_EEIO_2017!CJ15</f>
        <v>1911.14540530494</v>
      </c>
      <c r="W15" s="22" t="n">
        <f aca="false">$I15*KYZ_EEIO_2017!CK15</f>
        <v>1950.96093458213</v>
      </c>
      <c r="X15" s="22" t="n">
        <f aca="false">$I15*KYZ_EEIO_2017!CL15</f>
        <v>204.386383622889</v>
      </c>
      <c r="Z15" s="22" t="n">
        <f aca="false">$I15*KYZ_EEIO_2017!CY15</f>
        <v>8207.6301349423</v>
      </c>
      <c r="AA15" s="22" t="n">
        <f aca="false">$I15*KYZ_EEIO_2017!CZ15</f>
        <v>93.4030206485393</v>
      </c>
      <c r="AB15" s="22" t="n">
        <f aca="false">$I15*KYZ_EEIO_2017!DA15</f>
        <v>0.118811056631799</v>
      </c>
      <c r="AC15" s="22" t="n">
        <f aca="false">$I15*KYZ_EEIO_2017!DB15</f>
        <v>0</v>
      </c>
      <c r="AD15" s="22" t="n">
        <f aca="false">$I15*KYZ_EEIO_2017!DC15</f>
        <v>1.64802468494299</v>
      </c>
    </row>
    <row r="16" customFormat="false" ht="15" hidden="false" customHeight="false" outlineLevel="0" collapsed="false">
      <c r="A16" s="20" t="s">
        <v>127</v>
      </c>
      <c r="B16" s="21" t="s">
        <v>128</v>
      </c>
      <c r="D16" s="22" t="n">
        <v>22.5045987647857</v>
      </c>
      <c r="E16" s="23" t="n">
        <v>0</v>
      </c>
      <c r="F16" s="22" t="n">
        <f aca="false">D16*(1+E16)</f>
        <v>22.5045987647857</v>
      </c>
      <c r="H16" s="22" t="n">
        <v>39.1479757064034</v>
      </c>
      <c r="I16" s="22" t="n">
        <v>39.1479757064034</v>
      </c>
      <c r="J16" s="24" t="n">
        <f aca="false">IF(H16=0,0,(I16-H16)/H16)</f>
        <v>0</v>
      </c>
      <c r="L16" s="22" t="n">
        <v>2906.52730188121</v>
      </c>
      <c r="M16" s="22" t="n">
        <f aca="false">SUM(P16:X16)</f>
        <v>2906.52730188121</v>
      </c>
      <c r="N16" s="25" t="n">
        <f aca="false">M16-L16</f>
        <v>0</v>
      </c>
      <c r="P16" s="22" t="n">
        <f aca="false">$I16*KYZ_EEIO_2017!CD16</f>
        <v>103.10316442484</v>
      </c>
      <c r="Q16" s="22" t="n">
        <f aca="false">$I16*KYZ_EEIO_2017!CE16</f>
        <v>416.094913571675</v>
      </c>
      <c r="R16" s="22" t="n">
        <f aca="false">$I16*KYZ_EEIO_2017!CF16</f>
        <v>125.196699658735</v>
      </c>
      <c r="S16" s="22" t="n">
        <f aca="false">$I16*KYZ_EEIO_2017!CG16</f>
        <v>24.5483724821048</v>
      </c>
      <c r="T16" s="22" t="n">
        <f aca="false">$I16*KYZ_EEIO_2017!CH16</f>
        <v>308.082074650415</v>
      </c>
      <c r="U16" s="22" t="n">
        <f aca="false">$I16*KYZ_EEIO_2017!CI16</f>
        <v>49.0967449642097</v>
      </c>
      <c r="V16" s="22" t="n">
        <f aca="false">$I16*KYZ_EEIO_2017!CJ16</f>
        <v>883.741409355773</v>
      </c>
      <c r="W16" s="22" t="n">
        <f aca="false">$I16*KYZ_EEIO_2017!CK16</f>
        <v>902.152688717353</v>
      </c>
      <c r="X16" s="22" t="n">
        <f aca="false">$I16*KYZ_EEIO_2017!CL16</f>
        <v>94.5112340561036</v>
      </c>
      <c r="Z16" s="22" t="n">
        <f aca="false">$I16*KYZ_EEIO_2017!CY16</f>
        <v>128.449826904795</v>
      </c>
      <c r="AA16" s="22" t="n">
        <f aca="false">$I16*KYZ_EEIO_2017!CZ16</f>
        <v>39.6099754296401</v>
      </c>
      <c r="AB16" s="22" t="n">
        <f aca="false">$I16*KYZ_EEIO_2017!DA16</f>
        <v>0.265350461063442</v>
      </c>
      <c r="AC16" s="22" t="n">
        <f aca="false">$I16*KYZ_EEIO_2017!DB16</f>
        <v>0</v>
      </c>
      <c r="AD16" s="22" t="n">
        <f aca="false">$I16*KYZ_EEIO_2017!DC16</f>
        <v>3.68066846967604</v>
      </c>
    </row>
    <row r="17" customFormat="false" ht="15" hidden="false" customHeight="false" outlineLevel="0" collapsed="false">
      <c r="A17" s="20" t="s">
        <v>129</v>
      </c>
      <c r="B17" s="21" t="s">
        <v>130</v>
      </c>
      <c r="D17" s="22" t="n">
        <v>26.7750832392275</v>
      </c>
      <c r="E17" s="23" t="n">
        <v>0</v>
      </c>
      <c r="F17" s="22" t="n">
        <f aca="false">D17*(1+E17)</f>
        <v>26.7750832392275</v>
      </c>
      <c r="H17" s="22" t="n">
        <v>76.3398252371585</v>
      </c>
      <c r="I17" s="22" t="n">
        <v>76.3398252371584</v>
      </c>
      <c r="J17" s="24" t="n">
        <f aca="false">IF(H17=0,0,(I17-H17)/H17)</f>
        <v>0</v>
      </c>
      <c r="L17" s="22" t="n">
        <v>5805.09526678241</v>
      </c>
      <c r="M17" s="22" t="n">
        <f aca="false">SUM(P17:X17)</f>
        <v>5805.09526678241</v>
      </c>
      <c r="N17" s="25" t="n">
        <f aca="false">M17-L17</f>
        <v>0</v>
      </c>
      <c r="P17" s="22" t="n">
        <f aca="false">$I17*KYZ_EEIO_2017!CD17</f>
        <v>205.923987504106</v>
      </c>
      <c r="Q17" s="22" t="n">
        <f aca="false">$I17*KYZ_EEIO_2017!CE17</f>
        <v>831.050378141571</v>
      </c>
      <c r="R17" s="22" t="n">
        <f aca="false">$I17*KYZ_EEIO_2017!CF17</f>
        <v>250.050556254985</v>
      </c>
      <c r="S17" s="22" t="n">
        <f aca="false">$I17*KYZ_EEIO_2017!CG17</f>
        <v>49.0295208343108</v>
      </c>
      <c r="T17" s="22" t="n">
        <f aca="false">$I17*KYZ_EEIO_2017!CH17</f>
        <v>615.320486470601</v>
      </c>
      <c r="U17" s="22" t="n">
        <f aca="false">$I17*KYZ_EEIO_2017!CI17</f>
        <v>98.059041668622</v>
      </c>
      <c r="V17" s="22" t="n">
        <f aca="false">$I17*KYZ_EEIO_2017!CJ17</f>
        <v>1765.06275003519</v>
      </c>
      <c r="W17" s="22" t="n">
        <f aca="false">$I17*KYZ_EEIO_2017!CK17</f>
        <v>1801.83489066092</v>
      </c>
      <c r="X17" s="22" t="n">
        <f aca="false">$I17*KYZ_EEIO_2017!CL17</f>
        <v>188.763655212097</v>
      </c>
      <c r="Z17" s="22" t="n">
        <f aca="false">$I17*KYZ_EEIO_2017!CY17</f>
        <v>6052.63658610024</v>
      </c>
      <c r="AA17" s="22" t="n">
        <f aca="false">$I17*KYZ_EEIO_2017!CZ17</f>
        <v>89.7573015697247</v>
      </c>
      <c r="AB17" s="22" t="n">
        <f aca="false">$I17*KYZ_EEIO_2017!DA17</f>
        <v>0.476994514870645</v>
      </c>
      <c r="AC17" s="22" t="n">
        <f aca="false">$I17*KYZ_EEIO_2017!DB17</f>
        <v>0</v>
      </c>
      <c r="AD17" s="22" t="n">
        <f aca="false">$I17*KYZ_EEIO_2017!DC17</f>
        <v>6.61637693809412</v>
      </c>
    </row>
    <row r="18" customFormat="false" ht="15" hidden="false" customHeight="false" outlineLevel="0" collapsed="false">
      <c r="A18" s="20" t="s">
        <v>131</v>
      </c>
      <c r="B18" s="21" t="s">
        <v>132</v>
      </c>
      <c r="D18" s="22" t="n">
        <v>106.143142022024</v>
      </c>
      <c r="E18" s="23" t="n">
        <v>0</v>
      </c>
      <c r="F18" s="22" t="n">
        <f aca="false">D18*(1+E18)</f>
        <v>106.143142022024</v>
      </c>
      <c r="H18" s="22" t="n">
        <v>280.288642049449</v>
      </c>
      <c r="I18" s="22" t="n">
        <v>280.288642049449</v>
      </c>
      <c r="J18" s="24" t="n">
        <f aca="false">IF(H18=0,0,(I18-H18)/H18)</f>
        <v>0</v>
      </c>
      <c r="L18" s="22" t="n">
        <v>21313.9375711084</v>
      </c>
      <c r="M18" s="22" t="n">
        <f aca="false">SUM(P18:X18)</f>
        <v>21313.9375711084</v>
      </c>
      <c r="N18" s="25" t="n">
        <f aca="false">M18-L18</f>
        <v>0</v>
      </c>
      <c r="P18" s="22" t="n">
        <f aca="false">$I18*KYZ_EEIO_2017!CD18</f>
        <v>756.068731407561</v>
      </c>
      <c r="Q18" s="22" t="n">
        <f aca="false">$I18*KYZ_EEIO_2017!CE18</f>
        <v>3051.27738032339</v>
      </c>
      <c r="R18" s="22" t="n">
        <f aca="false">$I18*KYZ_EEIO_2017!CF18</f>
        <v>918.083459566326</v>
      </c>
      <c r="S18" s="22" t="n">
        <f aca="false">$I18*KYZ_EEIO_2017!CG18</f>
        <v>180.016364620848</v>
      </c>
      <c r="T18" s="22" t="n">
        <f aca="false">$I18*KYZ_EEIO_2017!CH18</f>
        <v>2259.20537599165</v>
      </c>
      <c r="U18" s="22" t="n">
        <f aca="false">$I18*KYZ_EEIO_2017!CI18</f>
        <v>360.032729241695</v>
      </c>
      <c r="V18" s="22" t="n">
        <f aca="false">$I18*KYZ_EEIO_2017!CJ18</f>
        <v>6480.58912635052</v>
      </c>
      <c r="W18" s="22" t="n">
        <f aca="false">$I18*KYZ_EEIO_2017!CK18</f>
        <v>6615.60139981618</v>
      </c>
      <c r="X18" s="22" t="n">
        <f aca="false">$I18*KYZ_EEIO_2017!CL18</f>
        <v>693.063003790264</v>
      </c>
      <c r="Z18" s="22" t="n">
        <f aca="false">$I18*KYZ_EEIO_2017!CY18</f>
        <v>436.365944772957</v>
      </c>
      <c r="AA18" s="22" t="n">
        <f aca="false">$I18*KYZ_EEIO_2017!CZ18</f>
        <v>351.34225869589</v>
      </c>
      <c r="AB18" s="22" t="n">
        <f aca="false">$I18*KYZ_EEIO_2017!DA18</f>
        <v>0.8034877311552</v>
      </c>
      <c r="AC18" s="22" t="n">
        <f aca="false">$I18*KYZ_EEIO_2017!DB18</f>
        <v>0</v>
      </c>
      <c r="AD18" s="22" t="n">
        <f aca="false">$I18*KYZ_EEIO_2017!DC18</f>
        <v>11.1451547737368</v>
      </c>
    </row>
    <row r="19" customFormat="false" ht="15" hidden="false" customHeight="false" outlineLevel="0" collapsed="false">
      <c r="A19" s="20" t="s">
        <v>133</v>
      </c>
      <c r="B19" s="21" t="s">
        <v>134</v>
      </c>
      <c r="D19" s="22" t="n">
        <v>983.22602689122</v>
      </c>
      <c r="E19" s="23" t="n">
        <v>0</v>
      </c>
      <c r="F19" s="22" t="n">
        <f aca="false">D19*(1+E19)</f>
        <v>983.22602689122</v>
      </c>
      <c r="H19" s="22" t="n">
        <v>1728.39041924994</v>
      </c>
      <c r="I19" s="22" t="n">
        <v>1728.39041924994</v>
      </c>
      <c r="J19" s="24" t="n">
        <f aca="false">IF(H19=0,0,(I19-H19)/H19)</f>
        <v>0</v>
      </c>
      <c r="L19" s="22" t="n">
        <v>142341.865163003</v>
      </c>
      <c r="M19" s="22" t="n">
        <f aca="false">SUM(P19:X19)</f>
        <v>142341.865163004</v>
      </c>
      <c r="N19" s="25" t="n">
        <f aca="false">M19-L19</f>
        <v>0</v>
      </c>
      <c r="P19" s="22" t="n">
        <f aca="false">$I19*KYZ_EEIO_2017!CD19</f>
        <v>5049.28913584977</v>
      </c>
      <c r="Q19" s="22" t="n">
        <f aca="false">$I19*KYZ_EEIO_2017!CE19</f>
        <v>20377.488298251</v>
      </c>
      <c r="R19" s="22" t="n">
        <f aca="false">$I19*KYZ_EEIO_2017!CF19</f>
        <v>6131.27966496044</v>
      </c>
      <c r="S19" s="22" t="n">
        <f aca="false">$I19*KYZ_EEIO_2017!CG19</f>
        <v>1202.21169901185</v>
      </c>
      <c r="T19" s="22" t="n">
        <f aca="false">$I19*KYZ_EEIO_2017!CH19</f>
        <v>15087.7568225987</v>
      </c>
      <c r="U19" s="22" t="n">
        <f aca="false">$I19*KYZ_EEIO_2017!CI19</f>
        <v>2404.42339802371</v>
      </c>
      <c r="V19" s="22" t="n">
        <f aca="false">$I19*KYZ_EEIO_2017!CJ19</f>
        <v>43279.6211644267</v>
      </c>
      <c r="W19" s="22" t="n">
        <f aca="false">$I19*KYZ_EEIO_2017!CK19</f>
        <v>44181.2799386856</v>
      </c>
      <c r="X19" s="22" t="n">
        <f aca="false">$I19*KYZ_EEIO_2017!CL19</f>
        <v>4628.51504119563</v>
      </c>
      <c r="Z19" s="22" t="n">
        <f aca="false">$I19*KYZ_EEIO_2017!CY19</f>
        <v>1297.77363431867</v>
      </c>
      <c r="AA19" s="22" t="n">
        <f aca="false">$I19*KYZ_EEIO_2017!CZ19</f>
        <v>2080.16983781721</v>
      </c>
      <c r="AB19" s="22" t="n">
        <f aca="false">$I19*KYZ_EEIO_2017!DA19</f>
        <v>1.38342836776183</v>
      </c>
      <c r="AC19" s="22" t="n">
        <f aca="false">$I19*KYZ_EEIO_2017!DB19</f>
        <v>0</v>
      </c>
      <c r="AD19" s="22" t="n">
        <f aca="false">$I19*KYZ_EEIO_2017!DC19</f>
        <v>19.1894943497344</v>
      </c>
    </row>
    <row r="20" customFormat="false" ht="15" hidden="false" customHeight="false" outlineLevel="0" collapsed="false">
      <c r="A20" s="20" t="s">
        <v>135</v>
      </c>
      <c r="B20" s="21" t="s">
        <v>136</v>
      </c>
      <c r="D20" s="22" t="n">
        <v>17.6129216645641</v>
      </c>
      <c r="E20" s="23" t="n">
        <v>0</v>
      </c>
      <c r="F20" s="22" t="n">
        <f aca="false">D20*(1+E20)</f>
        <v>17.6129216645641</v>
      </c>
      <c r="H20" s="22" t="n">
        <v>34.1982624604363</v>
      </c>
      <c r="I20" s="22" t="n">
        <v>34.1982624604363</v>
      </c>
      <c r="J20" s="24" t="n">
        <f aca="false">IF(H20=0,0,(I20-H20)/H20)</f>
        <v>0</v>
      </c>
      <c r="L20" s="22" t="n">
        <v>3292.19991309974</v>
      </c>
      <c r="M20" s="22" t="n">
        <f aca="false">SUM(P20:X20)</f>
        <v>3292.19991309974</v>
      </c>
      <c r="N20" s="25" t="n">
        <f aca="false">M20-L20</f>
        <v>0</v>
      </c>
      <c r="P20" s="22" t="n">
        <f aca="false">$I20*KYZ_EEIO_2017!CD20</f>
        <v>116.784118539011</v>
      </c>
      <c r="Q20" s="22" t="n">
        <f aca="false">$I20*KYZ_EEIO_2017!CE20</f>
        <v>471.307335532439</v>
      </c>
      <c r="R20" s="22" t="n">
        <f aca="false">$I20*KYZ_EEIO_2017!CF20</f>
        <v>141.809286797371</v>
      </c>
      <c r="S20" s="22" t="n">
        <f aca="false">$I20*KYZ_EEIO_2017!CG20</f>
        <v>27.8057425092884</v>
      </c>
      <c r="T20" s="22" t="n">
        <f aca="false">$I20*KYZ_EEIO_2017!CH20</f>
        <v>348.962068491569</v>
      </c>
      <c r="U20" s="22" t="n">
        <f aca="false">$I20*KYZ_EEIO_2017!CI20</f>
        <v>55.6114850185767</v>
      </c>
      <c r="V20" s="22" t="n">
        <f aca="false">$I20*KYZ_EEIO_2017!CJ20</f>
        <v>1001.00673033438</v>
      </c>
      <c r="W20" s="22" t="n">
        <f aca="false">$I20*KYZ_EEIO_2017!CK20</f>
        <v>1021.86103721635</v>
      </c>
      <c r="X20" s="22" t="n">
        <f aca="false">$I20*KYZ_EEIO_2017!CL20</f>
        <v>107.05210866076</v>
      </c>
      <c r="Z20" s="22" t="n">
        <f aca="false">$I20*KYZ_EEIO_2017!CY20</f>
        <v>4162.26532964068</v>
      </c>
      <c r="AA20" s="22" t="n">
        <f aca="false">$I20*KYZ_EEIO_2017!CZ20</f>
        <v>42.0377457173353</v>
      </c>
      <c r="AB20" s="22" t="n">
        <f aca="false">$I20*KYZ_EEIO_2017!DA20</f>
        <v>0.0465555715962332</v>
      </c>
      <c r="AC20" s="22" t="n">
        <f aca="false">$I20*KYZ_EEIO_2017!DB20</f>
        <v>0</v>
      </c>
      <c r="AD20" s="22" t="n">
        <f aca="false">$I20*KYZ_EEIO_2017!DC20</f>
        <v>0.645770969363538</v>
      </c>
    </row>
    <row r="21" customFormat="false" ht="15" hidden="false" customHeight="false" outlineLevel="0" collapsed="false">
      <c r="A21" s="20" t="s">
        <v>137</v>
      </c>
      <c r="B21" s="21" t="s">
        <v>138</v>
      </c>
      <c r="D21" s="22" t="n">
        <v>3.97485565308025</v>
      </c>
      <c r="E21" s="23" t="n">
        <v>0</v>
      </c>
      <c r="F21" s="22" t="n">
        <f aca="false">D21*(1+E21)</f>
        <v>3.97485565308025</v>
      </c>
      <c r="H21" s="22" t="n">
        <v>7.82718795537345</v>
      </c>
      <c r="I21" s="22" t="n">
        <v>7.82718795537346</v>
      </c>
      <c r="J21" s="24" t="n">
        <f aca="false">IF(H21=0,0,(I21-H21)/H21)</f>
        <v>0</v>
      </c>
      <c r="L21" s="22" t="n">
        <v>760.678189075556</v>
      </c>
      <c r="M21" s="22" t="n">
        <f aca="false">SUM(P21:X21)</f>
        <v>760.678189075557</v>
      </c>
      <c r="N21" s="25" t="n">
        <f aca="false">M21-L21</f>
        <v>0</v>
      </c>
      <c r="P21" s="22" t="n">
        <f aca="false">$I21*KYZ_EEIO_2017!CD21</f>
        <v>26.9835168422073</v>
      </c>
      <c r="Q21" s="22" t="n">
        <f aca="false">$I21*KYZ_EEIO_2017!CE21</f>
        <v>108.897764398908</v>
      </c>
      <c r="R21" s="22" t="n">
        <f aca="false">$I21*KYZ_EEIO_2017!CF21</f>
        <v>32.7656990226803</v>
      </c>
      <c r="S21" s="22" t="n">
        <f aca="false">$I21*KYZ_EEIO_2017!CG21</f>
        <v>6.42464686719221</v>
      </c>
      <c r="T21" s="22" t="n">
        <f aca="false">$I21*KYZ_EEIO_2017!CH21</f>
        <v>80.6293181832622</v>
      </c>
      <c r="U21" s="22" t="n">
        <f aca="false">$I21*KYZ_EEIO_2017!CI21</f>
        <v>12.8492937343844</v>
      </c>
      <c r="V21" s="22" t="n">
        <f aca="false">$I21*KYZ_EEIO_2017!CJ21</f>
        <v>231.287287218919</v>
      </c>
      <c r="W21" s="22" t="n">
        <f aca="false">$I21*KYZ_EEIO_2017!CK21</f>
        <v>236.105772369313</v>
      </c>
      <c r="X21" s="22" t="n">
        <f aca="false">$I21*KYZ_EEIO_2017!CL21</f>
        <v>24.7348904386899</v>
      </c>
      <c r="Z21" s="22" t="n">
        <f aca="false">$I21*KYZ_EEIO_2017!CY21</f>
        <v>9.68047751155058</v>
      </c>
      <c r="AA21" s="22" t="n">
        <f aca="false">$I21*KYZ_EEIO_2017!CZ21</f>
        <v>9.04565194723762</v>
      </c>
      <c r="AB21" s="22" t="n">
        <f aca="false">$I21*KYZ_EEIO_2017!DA21</f>
        <v>0.015848715305113</v>
      </c>
      <c r="AC21" s="22" t="n">
        <f aca="false">$I21*KYZ_EEIO_2017!DB21</f>
        <v>0</v>
      </c>
      <c r="AD21" s="22" t="n">
        <f aca="false">$I21*KYZ_EEIO_2017!DC21</f>
        <v>0.21983706557214</v>
      </c>
    </row>
    <row r="22" customFormat="false" ht="15" hidden="false" customHeight="false" outlineLevel="0" collapsed="false">
      <c r="A22" s="20" t="s">
        <v>139</v>
      </c>
      <c r="B22" s="21" t="s">
        <v>140</v>
      </c>
      <c r="D22" s="22" t="n">
        <v>10.2024226704435</v>
      </c>
      <c r="E22" s="23" t="n">
        <v>0</v>
      </c>
      <c r="F22" s="22" t="n">
        <f aca="false">D22*(1+E22)</f>
        <v>10.2024226704435</v>
      </c>
      <c r="H22" s="22" t="n">
        <v>19.9374450921555</v>
      </c>
      <c r="I22" s="22" t="n">
        <v>19.9374450921555</v>
      </c>
      <c r="J22" s="24" t="n">
        <f aca="false">IF(H22=0,0,(I22-H22)/H22)</f>
        <v>0</v>
      </c>
      <c r="L22" s="22" t="n">
        <v>1941.93279938403</v>
      </c>
      <c r="M22" s="22" t="n">
        <f aca="false">SUM(P22:X22)</f>
        <v>1941.93279938403</v>
      </c>
      <c r="N22" s="25" t="n">
        <f aca="false">M22-L22</f>
        <v>0</v>
      </c>
      <c r="P22" s="22" t="n">
        <f aca="false">$I22*KYZ_EEIO_2017!CD22</f>
        <v>68.8861297078793</v>
      </c>
      <c r="Q22" s="22" t="n">
        <f aca="false">$I22*KYZ_EEIO_2017!CE22</f>
        <v>278.004737749656</v>
      </c>
      <c r="R22" s="22" t="n">
        <f aca="false">$I22*KYZ_EEIO_2017!CF22</f>
        <v>83.6474432167106</v>
      </c>
      <c r="S22" s="22" t="n">
        <f aca="false">$I22*KYZ_EEIO_2017!CG22</f>
        <v>16.401459454257</v>
      </c>
      <c r="T22" s="22" t="n">
        <f aca="false">$I22*KYZ_EEIO_2017!CH22</f>
        <v>205.838316150926</v>
      </c>
      <c r="U22" s="22" t="n">
        <f aca="false">$I22*KYZ_EEIO_2017!CI22</f>
        <v>32.802918908514</v>
      </c>
      <c r="V22" s="22" t="n">
        <f aca="false">$I22*KYZ_EEIO_2017!CJ22</f>
        <v>590.452540353251</v>
      </c>
      <c r="W22" s="22" t="n">
        <f aca="false">$I22*KYZ_EEIO_2017!CK22</f>
        <v>602.753634943945</v>
      </c>
      <c r="X22" s="22" t="n">
        <f aca="false">$I22*KYZ_EEIO_2017!CL22</f>
        <v>63.1456188988895</v>
      </c>
      <c r="Z22" s="22" t="n">
        <f aca="false">$I22*KYZ_EEIO_2017!CY22</f>
        <v>15.4370268543592</v>
      </c>
      <c r="AA22" s="22" t="n">
        <f aca="false">$I22*KYZ_EEIO_2017!CZ22</f>
        <v>21.6729812300713</v>
      </c>
      <c r="AB22" s="22" t="n">
        <f aca="false">$I22*KYZ_EEIO_2017!DA22</f>
        <v>0.0198113547521791</v>
      </c>
      <c r="AC22" s="22" t="n">
        <f aca="false">$I22*KYZ_EEIO_2017!DB22</f>
        <v>0</v>
      </c>
      <c r="AD22" s="22" t="n">
        <f aca="false">$I22*KYZ_EEIO_2017!DC22</f>
        <v>0.274802721222626</v>
      </c>
    </row>
    <row r="23" customFormat="false" ht="15" hidden="false" customHeight="false" outlineLevel="0" collapsed="false">
      <c r="A23" s="20" t="s">
        <v>141</v>
      </c>
      <c r="B23" s="21" t="s">
        <v>142</v>
      </c>
      <c r="D23" s="22" t="n">
        <v>16.5495278257485</v>
      </c>
      <c r="E23" s="23" t="n">
        <v>0</v>
      </c>
      <c r="F23" s="22" t="n">
        <f aca="false">D23*(1+E23)</f>
        <v>16.5495278257485</v>
      </c>
      <c r="H23" s="22" t="n">
        <v>28.1473996637378</v>
      </c>
      <c r="I23" s="22" t="n">
        <v>28.1473996637378</v>
      </c>
      <c r="J23" s="24" t="n">
        <f aca="false">IF(H23=0,0,(I23-H23)/H23)</f>
        <v>0</v>
      </c>
      <c r="L23" s="22" t="n">
        <v>2184.80241608045</v>
      </c>
      <c r="M23" s="22" t="n">
        <f aca="false">SUM(P23:X23)</f>
        <v>2184.80241608045</v>
      </c>
      <c r="N23" s="25" t="n">
        <f aca="false">M23-L23</f>
        <v>0</v>
      </c>
      <c r="P23" s="22" t="n">
        <f aca="false">$I23*KYZ_EEIO_2017!CD23</f>
        <v>77.5014370569076</v>
      </c>
      <c r="Q23" s="22" t="n">
        <f aca="false">$I23*KYZ_EEIO_2017!CE23</f>
        <v>312.77365669395</v>
      </c>
      <c r="R23" s="22" t="n">
        <f aca="false">$I23*KYZ_EEIO_2017!CF23</f>
        <v>94.1088878548166</v>
      </c>
      <c r="S23" s="22" t="n">
        <f aca="false">$I23*KYZ_EEIO_2017!CG23</f>
        <v>18.4527231087876</v>
      </c>
      <c r="T23" s="22" t="n">
        <f aca="false">$I23*KYZ_EEIO_2017!CH23</f>
        <v>231.581675015284</v>
      </c>
      <c r="U23" s="22" t="n">
        <f aca="false">$I23*KYZ_EEIO_2017!CI23</f>
        <v>36.9054462175752</v>
      </c>
      <c r="V23" s="22" t="n">
        <f aca="false">$I23*KYZ_EEIO_2017!CJ23</f>
        <v>664.298031916351</v>
      </c>
      <c r="W23" s="22" t="n">
        <f aca="false">$I23*KYZ_EEIO_2017!CK23</f>
        <v>678.137574247942</v>
      </c>
      <c r="X23" s="22" t="n">
        <f aca="false">$I23*KYZ_EEIO_2017!CL23</f>
        <v>71.0429839688322</v>
      </c>
      <c r="Z23" s="22" t="n">
        <f aca="false">$I23*KYZ_EEIO_2017!CY23</f>
        <v>2873.83768869871</v>
      </c>
      <c r="AA23" s="22" t="n">
        <f aca="false">$I23*KYZ_EEIO_2017!CZ23</f>
        <v>31.9682495538351</v>
      </c>
      <c r="AB23" s="22" t="n">
        <f aca="false">$I23*KYZ_EEIO_2017!DA23</f>
        <v>0.0704423524450931</v>
      </c>
      <c r="AC23" s="22" t="n">
        <f aca="false">$I23*KYZ_EEIO_2017!DB23</f>
        <v>0</v>
      </c>
      <c r="AD23" s="22" t="n">
        <f aca="false">$I23*KYZ_EEIO_2017!DC23</f>
        <v>0.977103806548394</v>
      </c>
    </row>
    <row r="24" customFormat="false" ht="15" hidden="false" customHeight="false" outlineLevel="0" collapsed="false">
      <c r="A24" s="20" t="s">
        <v>143</v>
      </c>
      <c r="B24" s="21" t="s">
        <v>144</v>
      </c>
      <c r="D24" s="22" t="n">
        <v>246.984731100274</v>
      </c>
      <c r="E24" s="23" t="n">
        <v>0</v>
      </c>
      <c r="F24" s="22" t="n">
        <f aca="false">D24*(1+E24)</f>
        <v>246.984731100274</v>
      </c>
      <c r="H24" s="22" t="n">
        <v>358.57144050723</v>
      </c>
      <c r="I24" s="22" t="n">
        <v>358.57144050723</v>
      </c>
      <c r="J24" s="24" t="n">
        <f aca="false">IF(H24=0,0,(I24-H24)/H24)</f>
        <v>0</v>
      </c>
      <c r="L24" s="22" t="n">
        <v>38800</v>
      </c>
      <c r="M24" s="22" t="n">
        <f aca="false">SUM(P24:X24)</f>
        <v>38800</v>
      </c>
      <c r="N24" s="25" t="n">
        <f aca="false">M24-L24</f>
        <v>0</v>
      </c>
      <c r="P24" s="22" t="n">
        <f aca="false">$I24*KYZ_EEIO_2017!CD24</f>
        <v>2200</v>
      </c>
      <c r="Q24" s="22" t="n">
        <f aca="false">$I24*KYZ_EEIO_2017!CE24</f>
        <v>5199.99999999999</v>
      </c>
      <c r="R24" s="22" t="n">
        <f aca="false">$I24*KYZ_EEIO_2017!CF24</f>
        <v>2300</v>
      </c>
      <c r="S24" s="22" t="n">
        <f aca="false">$I24*KYZ_EEIO_2017!CG24</f>
        <v>1300</v>
      </c>
      <c r="T24" s="22" t="n">
        <f aca="false">$I24*KYZ_EEIO_2017!CH24</f>
        <v>8800.00000000001</v>
      </c>
      <c r="U24" s="22" t="n">
        <f aca="false">$I24*KYZ_EEIO_2017!CI24</f>
        <v>1800</v>
      </c>
      <c r="V24" s="22" t="n">
        <f aca="false">$I24*KYZ_EEIO_2017!CJ24</f>
        <v>6100.00000000001</v>
      </c>
      <c r="W24" s="22" t="n">
        <f aca="false">$I24*KYZ_EEIO_2017!CK24</f>
        <v>9300</v>
      </c>
      <c r="X24" s="22" t="n">
        <f aca="false">$I24*KYZ_EEIO_2017!CL24</f>
        <v>1800</v>
      </c>
      <c r="Z24" s="22" t="n">
        <f aca="false">$I24*KYZ_EEIO_2017!CY24</f>
        <v>252288.190670197</v>
      </c>
      <c r="AA24" s="22" t="n">
        <f aca="false">$I24*KYZ_EEIO_2017!CZ24</f>
        <v>2977.62194344532</v>
      </c>
      <c r="AB24" s="22" t="n">
        <f aca="false">$I24*KYZ_EEIO_2017!DA24</f>
        <v>0.685187416360443</v>
      </c>
      <c r="AC24" s="22" t="n">
        <f aca="false">$I24*KYZ_EEIO_2017!DB24</f>
        <v>0</v>
      </c>
      <c r="AD24" s="22" t="n">
        <f aca="false">$I24*KYZ_EEIO_2017!DC24</f>
        <v>9.50421457384879</v>
      </c>
    </row>
    <row r="25" customFormat="false" ht="15" hidden="false" customHeight="false" outlineLevel="0" collapsed="false">
      <c r="A25" s="20" t="s">
        <v>145</v>
      </c>
      <c r="B25" s="21" t="s">
        <v>146</v>
      </c>
      <c r="D25" s="22" t="n">
        <v>1580.65531083439</v>
      </c>
      <c r="E25" s="23" t="n">
        <v>0</v>
      </c>
      <c r="F25" s="22" t="n">
        <f aca="false">D25*(1+E25)</f>
        <v>1580.65531083439</v>
      </c>
      <c r="H25" s="22" t="n">
        <v>1972.38728675805</v>
      </c>
      <c r="I25" s="22" t="n">
        <v>1972.38728675804</v>
      </c>
      <c r="J25" s="24" t="n">
        <f aca="false">IF(H25=0,0,(I25-H25)/H25)</f>
        <v>0</v>
      </c>
      <c r="L25" s="22" t="n">
        <v>255600</v>
      </c>
      <c r="M25" s="22" t="n">
        <f aca="false">SUM(P25:X25)</f>
        <v>255600</v>
      </c>
      <c r="N25" s="25" t="n">
        <f aca="false">M25-L25</f>
        <v>0</v>
      </c>
      <c r="P25" s="22" t="n">
        <f aca="false">$I25*KYZ_EEIO_2017!CD25</f>
        <v>28200</v>
      </c>
      <c r="Q25" s="22" t="n">
        <f aca="false">$I25*KYZ_EEIO_2017!CE25</f>
        <v>40400</v>
      </c>
      <c r="R25" s="22" t="n">
        <f aca="false">$I25*KYZ_EEIO_2017!CF25</f>
        <v>17500</v>
      </c>
      <c r="S25" s="22" t="n">
        <f aca="false">$I25*KYZ_EEIO_2017!CG25</f>
        <v>3700</v>
      </c>
      <c r="T25" s="22" t="n">
        <f aca="false">$I25*KYZ_EEIO_2017!CH25</f>
        <v>64799.9999999999</v>
      </c>
      <c r="U25" s="22" t="n">
        <f aca="false">$I25*KYZ_EEIO_2017!CI25</f>
        <v>7499.99999999999</v>
      </c>
      <c r="V25" s="22" t="n">
        <f aca="false">$I25*KYZ_EEIO_2017!CJ25</f>
        <v>35300</v>
      </c>
      <c r="W25" s="22" t="n">
        <f aca="false">$I25*KYZ_EEIO_2017!CK25</f>
        <v>36400</v>
      </c>
      <c r="X25" s="22" t="n">
        <f aca="false">$I25*KYZ_EEIO_2017!CL25</f>
        <v>21799.9999999999</v>
      </c>
      <c r="Z25" s="22" t="n">
        <f aca="false">$I25*KYZ_EEIO_2017!CY25</f>
        <v>1428.78795070216</v>
      </c>
      <c r="AA25" s="22" t="n">
        <f aca="false">$I25*KYZ_EEIO_2017!CZ25</f>
        <v>12556.8711398411</v>
      </c>
      <c r="AB25" s="22" t="n">
        <f aca="false">$I25*KYZ_EEIO_2017!DA25</f>
        <v>2.08604526784442</v>
      </c>
      <c r="AC25" s="22" t="n">
        <f aca="false">$I25*KYZ_EEIO_2017!DB25</f>
        <v>0</v>
      </c>
      <c r="AD25" s="22" t="n">
        <f aca="false">$I25*KYZ_EEIO_2017!DC25</f>
        <v>28.9354727815457</v>
      </c>
    </row>
    <row r="26" customFormat="false" ht="15" hidden="false" customHeight="false" outlineLevel="0" collapsed="false">
      <c r="A26" s="20" t="s">
        <v>147</v>
      </c>
      <c r="B26" s="21" t="s">
        <v>148</v>
      </c>
      <c r="D26" s="22" t="n">
        <v>5.75570778872159</v>
      </c>
      <c r="E26" s="23" t="n">
        <v>0</v>
      </c>
      <c r="F26" s="22" t="n">
        <f aca="false">D26*(1+E26)</f>
        <v>5.75570778872159</v>
      </c>
      <c r="H26" s="22" t="n">
        <v>26.1258383101268</v>
      </c>
      <c r="I26" s="22" t="n">
        <v>26.1258383101268</v>
      </c>
      <c r="J26" s="24" t="n">
        <f aca="false">IF(H26=0,0,(I26-H26)/H26)</f>
        <v>0</v>
      </c>
      <c r="L26" s="22" t="n">
        <v>5849.99065789493</v>
      </c>
      <c r="M26" s="22" t="n">
        <f aca="false">SUM(P26:X26)</f>
        <v>5849.99065789494</v>
      </c>
      <c r="N26" s="25" t="n">
        <f aca="false">M26-L26</f>
        <v>0</v>
      </c>
      <c r="P26" s="22" t="n">
        <f aca="false">$I26*KYZ_EEIO_2017!CD26</f>
        <v>399.172275441784</v>
      </c>
      <c r="Q26" s="22" t="n">
        <f aca="false">$I26*KYZ_EEIO_2017!CE26</f>
        <v>706.111562997398</v>
      </c>
      <c r="R26" s="22" t="n">
        <f aca="false">$I26*KYZ_EEIO_2017!CF26</f>
        <v>290.307109412207</v>
      </c>
      <c r="S26" s="22" t="n">
        <f aca="false">$I26*KYZ_EEIO_2017!CG26</f>
        <v>66.5287125736306</v>
      </c>
      <c r="T26" s="22" t="n">
        <f aca="false">$I26*KYZ_EEIO_2017!CH26</f>
        <v>1564.93676167518</v>
      </c>
      <c r="U26" s="22" t="n">
        <f aca="false">$I26*KYZ_EEIO_2017!CI26</f>
        <v>169.345813823787</v>
      </c>
      <c r="V26" s="22" t="n">
        <f aca="false">$I26*KYZ_EEIO_2017!CJ26</f>
        <v>728.791805920228</v>
      </c>
      <c r="W26" s="22" t="n">
        <f aca="false">$I26*KYZ_EEIO_2017!CK26</f>
        <v>1542.25651875235</v>
      </c>
      <c r="X26" s="22" t="n">
        <f aca="false">$I26*KYZ_EEIO_2017!CL26</f>
        <v>382.540097298378</v>
      </c>
      <c r="Z26" s="22" t="n">
        <f aca="false">$I26*KYZ_EEIO_2017!CY26</f>
        <v>53.232881113496</v>
      </c>
      <c r="AA26" s="22" t="n">
        <f aca="false">$I26*KYZ_EEIO_2017!CZ26</f>
        <v>11.498623083081</v>
      </c>
      <c r="AB26" s="22" t="n">
        <f aca="false">$I26*KYZ_EEIO_2017!DA26</f>
        <v>0.106367366763696</v>
      </c>
      <c r="AC26" s="22" t="n">
        <f aca="false">$I26*KYZ_EEIO_2017!DB26</f>
        <v>0</v>
      </c>
      <c r="AD26" s="22" t="n">
        <f aca="false">$I26*KYZ_EEIO_2017!DC26</f>
        <v>1.47541862742796</v>
      </c>
    </row>
    <row r="27" customFormat="false" ht="15" hidden="false" customHeight="false" outlineLevel="0" collapsed="false">
      <c r="A27" s="20" t="s">
        <v>149</v>
      </c>
      <c r="B27" s="21" t="s">
        <v>150</v>
      </c>
      <c r="D27" s="22" t="n">
        <v>191.587518697284</v>
      </c>
      <c r="E27" s="23" t="n">
        <v>0</v>
      </c>
      <c r="F27" s="22" t="n">
        <f aca="false">D27*(1+E27)</f>
        <v>191.587518697284</v>
      </c>
      <c r="H27" s="22" t="n">
        <v>371.81284322832</v>
      </c>
      <c r="I27" s="22" t="n">
        <v>371.812843228321</v>
      </c>
      <c r="J27" s="24" t="n">
        <f aca="false">IF(H27=0,0,(I27-H27)/H27)</f>
        <v>0</v>
      </c>
      <c r="L27" s="22" t="n">
        <v>72522.3825599053</v>
      </c>
      <c r="M27" s="22" t="n">
        <f aca="false">SUM(P27:X27)</f>
        <v>72522.3825599055</v>
      </c>
      <c r="N27" s="25" t="n">
        <f aca="false">M27-L27</f>
        <v>0</v>
      </c>
      <c r="P27" s="22" t="n">
        <f aca="false">$I27*KYZ_EEIO_2017!CD27</f>
        <v>4948.54199943527</v>
      </c>
      <c r="Q27" s="22" t="n">
        <f aca="false">$I27*KYZ_EEIO_2017!CE27</f>
        <v>8753.67088536465</v>
      </c>
      <c r="R27" s="22" t="n">
        <f aca="false">$I27*KYZ_EEIO_2017!CF27</f>
        <v>3598.93963595292</v>
      </c>
      <c r="S27" s="22" t="n">
        <f aca="false">$I27*KYZ_EEIO_2017!CG27</f>
        <v>824.756999905878</v>
      </c>
      <c r="T27" s="22" t="n">
        <f aca="false">$I27*KYZ_EEIO_2017!CH27</f>
        <v>19400.5339750587</v>
      </c>
      <c r="U27" s="22" t="n">
        <f aca="false">$I27*KYZ_EEIO_2017!CI27</f>
        <v>2099.38145430587</v>
      </c>
      <c r="V27" s="22" t="n">
        <f aca="false">$I27*KYZ_EEIO_2017!CJ27</f>
        <v>9034.83804442348</v>
      </c>
      <c r="W27" s="22" t="n">
        <f aca="false">$I27*KYZ_EEIO_2017!CK27</f>
        <v>19119.3668159999</v>
      </c>
      <c r="X27" s="22" t="n">
        <f aca="false">$I27*KYZ_EEIO_2017!CL27</f>
        <v>4742.35274945878</v>
      </c>
      <c r="Z27" s="22" t="n">
        <f aca="false">$I27*KYZ_EEIO_2017!CY27</f>
        <v>785.168506914132</v>
      </c>
      <c r="AA27" s="22" t="n">
        <f aca="false">$I27*KYZ_EEIO_2017!CZ27</f>
        <v>144.60640407898</v>
      </c>
      <c r="AB27" s="22" t="n">
        <f aca="false">$I27*KYZ_EEIO_2017!DA27</f>
        <v>1.66012539542001</v>
      </c>
      <c r="AC27" s="22" t="n">
        <f aca="false">$I27*KYZ_EEIO_2017!DB27</f>
        <v>0</v>
      </c>
      <c r="AD27" s="22" t="n">
        <f aca="false">$I27*KYZ_EEIO_2017!DC27</f>
        <v>23.0275507121503</v>
      </c>
    </row>
    <row r="28" customFormat="false" ht="15" hidden="false" customHeight="false" outlineLevel="0" collapsed="false">
      <c r="A28" s="20" t="s">
        <v>151</v>
      </c>
      <c r="B28" s="21" t="s">
        <v>152</v>
      </c>
      <c r="D28" s="22" t="n">
        <v>912.588594002656</v>
      </c>
      <c r="E28" s="23" t="n">
        <v>0</v>
      </c>
      <c r="F28" s="22" t="n">
        <f aca="false">D28*(1+E28)</f>
        <v>912.588594002656</v>
      </c>
      <c r="H28" s="22" t="n">
        <v>1686.84618751266</v>
      </c>
      <c r="I28" s="22" t="n">
        <v>1686.84618751266</v>
      </c>
      <c r="J28" s="24" t="n">
        <f aca="false">IF(H28=0,0,(I28-H28)/H28)</f>
        <v>0</v>
      </c>
      <c r="L28" s="22" t="n">
        <v>308527.6267822</v>
      </c>
      <c r="M28" s="22" t="n">
        <f aca="false">SUM(P28:X28)</f>
        <v>308527.626782201</v>
      </c>
      <c r="N28" s="25" t="n">
        <f aca="false">M28-L28</f>
        <v>0</v>
      </c>
      <c r="P28" s="22" t="n">
        <f aca="false">$I28*KYZ_EEIO_2017!CD28</f>
        <v>21052.285725123</v>
      </c>
      <c r="Q28" s="22" t="n">
        <f aca="false">$I28*KYZ_EEIO_2017!CE28</f>
        <v>37240.217551638</v>
      </c>
      <c r="R28" s="22" t="n">
        <f aca="false">$I28*KYZ_EEIO_2017!CF28</f>
        <v>15310.7532546349</v>
      </c>
      <c r="S28" s="22" t="n">
        <f aca="false">$I28*KYZ_EEIO_2017!CG28</f>
        <v>3508.7142875205</v>
      </c>
      <c r="T28" s="22" t="n">
        <f aca="false">$I28*KYZ_EEIO_2017!CH28</f>
        <v>82534.5292632663</v>
      </c>
      <c r="U28" s="22" t="n">
        <f aca="false">$I28*KYZ_EEIO_2017!CI28</f>
        <v>8931.27273187037</v>
      </c>
      <c r="V28" s="22" t="n">
        <f aca="false">$I28*KYZ_EEIO_2017!CJ28</f>
        <v>38436.3701496565</v>
      </c>
      <c r="W28" s="22" t="n">
        <f aca="false">$I28*KYZ_EEIO_2017!CK28</f>
        <v>81338.376665248</v>
      </c>
      <c r="X28" s="22" t="n">
        <f aca="false">$I28*KYZ_EEIO_2017!CL28</f>
        <v>20175.1071532429</v>
      </c>
      <c r="Z28" s="22" t="n">
        <f aca="false">$I28*KYZ_EEIO_2017!CY28</f>
        <v>863.195860819134</v>
      </c>
      <c r="AA28" s="22" t="n">
        <f aca="false">$I28*KYZ_EEIO_2017!CZ28</f>
        <v>621.457122863628</v>
      </c>
      <c r="AB28" s="22" t="n">
        <f aca="false">$I28*KYZ_EEIO_2017!DA28</f>
        <v>1.67536420071151</v>
      </c>
      <c r="AC28" s="22" t="n">
        <f aca="false">$I28*KYZ_EEIO_2017!DB28</f>
        <v>0</v>
      </c>
      <c r="AD28" s="22" t="n">
        <f aca="false">$I28*KYZ_EEIO_2017!DC28</f>
        <v>23.2389277337962</v>
      </c>
    </row>
    <row r="29" customFormat="false" ht="15" hidden="false" customHeight="false" outlineLevel="0" collapsed="false">
      <c r="A29" s="20" t="s">
        <v>153</v>
      </c>
      <c r="B29" s="21" t="s">
        <v>154</v>
      </c>
      <c r="D29" s="22" t="n">
        <v>215.439346656631</v>
      </c>
      <c r="E29" s="23" t="n">
        <v>0</v>
      </c>
      <c r="F29" s="22" t="n">
        <f aca="false">D29*(1+E29)</f>
        <v>215.439346656631</v>
      </c>
      <c r="H29" s="22" t="n">
        <v>309.105484898225</v>
      </c>
      <c r="I29" s="22" t="n">
        <v>309.105484898226</v>
      </c>
      <c r="J29" s="24" t="n">
        <f aca="false">IF(H29=0,0,(I29-H29)/H29)</f>
        <v>0</v>
      </c>
      <c r="L29" s="22" t="n">
        <v>115700</v>
      </c>
      <c r="M29" s="22" t="n">
        <f aca="false">SUM(P29:X29)</f>
        <v>115700</v>
      </c>
      <c r="N29" s="25" t="n">
        <f aca="false">M29-L29</f>
        <v>0</v>
      </c>
      <c r="P29" s="22" t="n">
        <f aca="false">$I29*KYZ_EEIO_2017!CD29</f>
        <v>10200</v>
      </c>
      <c r="Q29" s="22" t="n">
        <f aca="false">$I29*KYZ_EEIO_2017!CE29</f>
        <v>10900</v>
      </c>
      <c r="R29" s="22" t="n">
        <f aca="false">$I29*KYZ_EEIO_2017!CF29</f>
        <v>12100</v>
      </c>
      <c r="S29" s="22" t="n">
        <f aca="false">$I29*KYZ_EEIO_2017!CG29</f>
        <v>300.000000000001</v>
      </c>
      <c r="T29" s="22" t="n">
        <f aca="false">$I29*KYZ_EEIO_2017!CH29</f>
        <v>36200</v>
      </c>
      <c r="U29" s="22" t="n">
        <f aca="false">$I29*KYZ_EEIO_2017!CI29</f>
        <v>2400.00000000001</v>
      </c>
      <c r="V29" s="22" t="n">
        <f aca="false">$I29*KYZ_EEIO_2017!CJ29</f>
        <v>15800</v>
      </c>
      <c r="W29" s="22" t="n">
        <f aca="false">$I29*KYZ_EEIO_2017!CK29</f>
        <v>21200.0000000001</v>
      </c>
      <c r="X29" s="22" t="n">
        <f aca="false">$I29*KYZ_EEIO_2017!CL29</f>
        <v>6600.00000000001</v>
      </c>
      <c r="Z29" s="22" t="n">
        <f aca="false">$I29*KYZ_EEIO_2017!CY29</f>
        <v>450.569042246067</v>
      </c>
      <c r="AA29" s="22" t="n">
        <f aca="false">$I29*KYZ_EEIO_2017!CZ29</f>
        <v>146.667661686704</v>
      </c>
      <c r="AB29" s="22" t="n">
        <f aca="false">$I29*KYZ_EEIO_2017!DA29</f>
        <v>0.929197850188006</v>
      </c>
      <c r="AC29" s="22" t="n">
        <f aca="false">$I29*KYZ_EEIO_2017!DB29</f>
        <v>0</v>
      </c>
      <c r="AD29" s="22" t="n">
        <f aca="false">$I29*KYZ_EEIO_2017!DC29</f>
        <v>12.8888761510765</v>
      </c>
    </row>
    <row r="30" customFormat="false" ht="15" hidden="false" customHeight="false" outlineLevel="0" collapsed="false">
      <c r="A30" s="20" t="s">
        <v>155</v>
      </c>
      <c r="B30" s="21" t="s">
        <v>156</v>
      </c>
      <c r="D30" s="22" t="n">
        <v>340.594440101763</v>
      </c>
      <c r="E30" s="23" t="n">
        <v>0</v>
      </c>
      <c r="F30" s="22" t="n">
        <f aca="false">D30*(1+E30)</f>
        <v>340.594440101763</v>
      </c>
      <c r="H30" s="22" t="n">
        <v>494.986463450629</v>
      </c>
      <c r="I30" s="22" t="n">
        <v>494.986463450629</v>
      </c>
      <c r="J30" s="24" t="n">
        <f aca="false">IF(H30=0,0,(I30-H30)/H30)</f>
        <v>0</v>
      </c>
      <c r="L30" s="22" t="n">
        <v>138583.557017643</v>
      </c>
      <c r="M30" s="22" t="n">
        <f aca="false">SUM(P30:X30)</f>
        <v>138583.557017643</v>
      </c>
      <c r="N30" s="25" t="n">
        <f aca="false">M30-L30</f>
        <v>0</v>
      </c>
      <c r="P30" s="22" t="n">
        <f aca="false">$I30*KYZ_EEIO_2017!CD30</f>
        <v>11390.4293439159</v>
      </c>
      <c r="Q30" s="22" t="n">
        <f aca="false">$I30*KYZ_EEIO_2017!CE30</f>
        <v>18472.9398975046</v>
      </c>
      <c r="R30" s="22" t="n">
        <f aca="false">$I30*KYZ_EEIO_2017!CF30</f>
        <v>6352.35482641462</v>
      </c>
      <c r="S30" s="22" t="n">
        <f aca="false">$I30*KYZ_EEIO_2017!CG30</f>
        <v>2044.43603608747</v>
      </c>
      <c r="T30" s="22" t="n">
        <f aca="false">$I30*KYZ_EEIO_2017!CH30</f>
        <v>31688.7585593558</v>
      </c>
      <c r="U30" s="22" t="n">
        <f aca="false">$I30*KYZ_EEIO_2017!CI30</f>
        <v>3723.79420858789</v>
      </c>
      <c r="V30" s="22" t="n">
        <f aca="false">$I30*KYZ_EEIO_2017!CJ30</f>
        <v>28184.0110689201</v>
      </c>
      <c r="W30" s="22" t="n">
        <f aca="false">$I30*KYZ_EEIO_2017!CK30</f>
        <v>29936.3848141379</v>
      </c>
      <c r="X30" s="22" t="n">
        <f aca="false">$I30*KYZ_EEIO_2017!CL30</f>
        <v>6790.44826271908</v>
      </c>
      <c r="Z30" s="22" t="n">
        <f aca="false">$I30*KYZ_EEIO_2017!CY30</f>
        <v>260.49153068138</v>
      </c>
      <c r="AA30" s="22" t="n">
        <f aca="false">$I30*KYZ_EEIO_2017!CZ30</f>
        <v>46.3110483762786</v>
      </c>
      <c r="AB30" s="22" t="n">
        <f aca="false">$I30*KYZ_EEIO_2017!DA30</f>
        <v>0.309242771089945</v>
      </c>
      <c r="AC30" s="22" t="n">
        <f aca="false">$I30*KYZ_EEIO_2017!DB30</f>
        <v>0</v>
      </c>
      <c r="AD30" s="22" t="n">
        <f aca="false">$I30*KYZ_EEIO_2017!DC30</f>
        <v>4.28949741584911</v>
      </c>
    </row>
    <row r="31" customFormat="false" ht="15" hidden="false" customHeight="false" outlineLevel="0" collapsed="false">
      <c r="A31" s="20" t="s">
        <v>157</v>
      </c>
      <c r="B31" s="21" t="s">
        <v>158</v>
      </c>
      <c r="D31" s="22" t="n">
        <v>3.27477201715934</v>
      </c>
      <c r="E31" s="23" t="n">
        <v>0</v>
      </c>
      <c r="F31" s="22" t="n">
        <f aca="false">D31*(1+E31)</f>
        <v>3.27477201715934</v>
      </c>
      <c r="H31" s="22" t="n">
        <v>4.62494179083654</v>
      </c>
      <c r="I31" s="22" t="n">
        <v>4.62494179083654</v>
      </c>
      <c r="J31" s="24" t="n">
        <f aca="false">IF(H31=0,0,(I31-H31)/H31)</f>
        <v>0</v>
      </c>
      <c r="L31" s="22" t="n">
        <v>1247.95997828867</v>
      </c>
      <c r="M31" s="22" t="n">
        <f aca="false">SUM(P31:X31)</f>
        <v>1247.95997828867</v>
      </c>
      <c r="N31" s="25" t="n">
        <f aca="false">M31-L31</f>
        <v>0</v>
      </c>
      <c r="P31" s="22" t="n">
        <f aca="false">$I31*KYZ_EEIO_2017!CD31</f>
        <v>102.572053010028</v>
      </c>
      <c r="Q31" s="22" t="n">
        <f aca="false">$I31*KYZ_EEIO_2017!CE31</f>
        <v>166.350829561135</v>
      </c>
      <c r="R31" s="22" t="n">
        <f aca="false">$I31*KYZ_EEIO_2017!CF31</f>
        <v>57.2036449479004</v>
      </c>
      <c r="S31" s="22" t="n">
        <f aca="false">$I31*KYZ_EEIO_2017!CG31</f>
        <v>18.4103684889794</v>
      </c>
      <c r="T31" s="22" t="n">
        <f aca="false">$I31*KYZ_EEIO_2017!CH31</f>
        <v>285.36071157918</v>
      </c>
      <c r="U31" s="22" t="n">
        <f aca="false">$I31*KYZ_EEIO_2017!CI31</f>
        <v>33.5331711763553</v>
      </c>
      <c r="V31" s="22" t="n">
        <f aca="false">$I31*KYZ_EEIO_2017!CJ31</f>
        <v>253.800079883787</v>
      </c>
      <c r="W31" s="22" t="n">
        <f aca="false">$I31*KYZ_EEIO_2017!CK31</f>
        <v>269.580395731484</v>
      </c>
      <c r="X31" s="22" t="n">
        <f aca="false">$I31*KYZ_EEIO_2017!CL31</f>
        <v>61.1487239098242</v>
      </c>
      <c r="Z31" s="22" t="n">
        <f aca="false">$I31*KYZ_EEIO_2017!CY31</f>
        <v>2685.54735782267</v>
      </c>
      <c r="AA31" s="22" t="n">
        <f aca="false">$I31*KYZ_EEIO_2017!CZ31</f>
        <v>0.445181075238628</v>
      </c>
      <c r="AB31" s="22" t="n">
        <f aca="false">$I31*KYZ_EEIO_2017!DA31</f>
        <v>0.0187029390159049</v>
      </c>
      <c r="AC31" s="22" t="n">
        <f aca="false">$I31*KYZ_EEIO_2017!DB31</f>
        <v>0</v>
      </c>
      <c r="AD31" s="22" t="n">
        <f aca="false">$I31*KYZ_EEIO_2017!DC31</f>
        <v>0.259427919025384</v>
      </c>
    </row>
    <row r="32" customFormat="false" ht="15" hidden="false" customHeight="false" outlineLevel="0" collapsed="false">
      <c r="A32" s="20" t="s">
        <v>159</v>
      </c>
      <c r="B32" s="21" t="s">
        <v>160</v>
      </c>
      <c r="D32" s="22" t="n">
        <v>17.6503667350726</v>
      </c>
      <c r="E32" s="23" t="n">
        <v>0</v>
      </c>
      <c r="F32" s="22" t="n">
        <f aca="false">D32*(1+E32)</f>
        <v>17.6503667350726</v>
      </c>
      <c r="H32" s="22" t="n">
        <v>25.6915287789394</v>
      </c>
      <c r="I32" s="22" t="n">
        <v>25.6915287789395</v>
      </c>
      <c r="J32" s="24" t="n">
        <f aca="false">IF(H32=0,0,(I32-H32)/H32)</f>
        <v>0</v>
      </c>
      <c r="L32" s="22" t="n">
        <v>7273.09202254555</v>
      </c>
      <c r="M32" s="22" t="n">
        <f aca="false">SUM(P32:X32)</f>
        <v>7273.09202254557</v>
      </c>
      <c r="N32" s="25" t="n">
        <f aca="false">M32-L32</f>
        <v>0</v>
      </c>
      <c r="P32" s="22" t="n">
        <f aca="false">$I32*KYZ_EEIO_2017!CD32</f>
        <v>597.788385414703</v>
      </c>
      <c r="Q32" s="22" t="n">
        <f aca="false">$I32*KYZ_EEIO_2017!CE32</f>
        <v>969.490137884103</v>
      </c>
      <c r="R32" s="22" t="n">
        <f aca="false">$I32*KYZ_EEIO_2017!CF32</f>
        <v>333.381984173586</v>
      </c>
      <c r="S32" s="22" t="n">
        <f aca="false">$I32*KYZ_EEIO_2017!CG32</f>
        <v>107.29535122828</v>
      </c>
      <c r="T32" s="22" t="n">
        <f aca="false">$I32*KYZ_EEIO_2017!CH32</f>
        <v>1663.07794403834</v>
      </c>
      <c r="U32" s="22" t="n">
        <f aca="false">$I32*KYZ_EEIO_2017!CI32</f>
        <v>195.430818308653</v>
      </c>
      <c r="V32" s="22" t="n">
        <f aca="false">$I32*KYZ_EEIO_2017!CJ32</f>
        <v>1479.14305621844</v>
      </c>
      <c r="W32" s="22" t="n">
        <f aca="false">$I32*KYZ_EEIO_2017!CK32</f>
        <v>1571.11050012839</v>
      </c>
      <c r="X32" s="22" t="n">
        <f aca="false">$I32*KYZ_EEIO_2017!CL32</f>
        <v>356.373845151074</v>
      </c>
      <c r="Z32" s="22" t="n">
        <f aca="false">$I32*KYZ_EEIO_2017!CY32</f>
        <v>2514.51338506227</v>
      </c>
      <c r="AA32" s="22" t="n">
        <f aca="false">$I32*KYZ_EEIO_2017!CZ32</f>
        <v>2.44684332889905</v>
      </c>
      <c r="AB32" s="22" t="n">
        <f aca="false">$I32*KYZ_EEIO_2017!DA32</f>
        <v>0.0933863967875078</v>
      </c>
      <c r="AC32" s="22" t="n">
        <f aca="false">$I32*KYZ_EEIO_2017!DB32</f>
        <v>0</v>
      </c>
      <c r="AD32" s="22" t="n">
        <f aca="false">$I32*KYZ_EEIO_2017!DC32</f>
        <v>1.29535997327796</v>
      </c>
    </row>
    <row r="33" customFormat="false" ht="15" hidden="false" customHeight="false" outlineLevel="0" collapsed="false">
      <c r="A33" s="20" t="s">
        <v>161</v>
      </c>
      <c r="B33" s="21" t="s">
        <v>162</v>
      </c>
      <c r="D33" s="22" t="n">
        <v>103.696725870795</v>
      </c>
      <c r="E33" s="23" t="n">
        <v>0</v>
      </c>
      <c r="F33" s="22" t="n">
        <f aca="false">D33*(1+E33)</f>
        <v>103.696725870795</v>
      </c>
      <c r="H33" s="22" t="n">
        <v>150.970924697188</v>
      </c>
      <c r="I33" s="22" t="n">
        <v>150.970924697188</v>
      </c>
      <c r="J33" s="24" t="n">
        <f aca="false">IF(H33=0,0,(I33-H33)/H33)</f>
        <v>0</v>
      </c>
      <c r="L33" s="22" t="n">
        <v>42695.3909815224</v>
      </c>
      <c r="M33" s="22" t="n">
        <f aca="false">SUM(P33:X33)</f>
        <v>42695.3909815225</v>
      </c>
      <c r="N33" s="25" t="n">
        <f aca="false">M33-L33</f>
        <v>0</v>
      </c>
      <c r="P33" s="22" t="n">
        <f aca="false">$I33*KYZ_EEIO_2017!CD33</f>
        <v>3509.21021765937</v>
      </c>
      <c r="Q33" s="22" t="n">
        <f aca="false">$I33*KYZ_EEIO_2017!CE33</f>
        <v>5691.21913505015</v>
      </c>
      <c r="R33" s="22" t="n">
        <f aca="false">$I33*KYZ_EEIO_2017!CF33</f>
        <v>1957.05954446389</v>
      </c>
      <c r="S33" s="22" t="n">
        <f aca="false">$I33*KYZ_EEIO_2017!CG33</f>
        <v>629.858244195273</v>
      </c>
      <c r="T33" s="22" t="n">
        <f aca="false">$I33*KYZ_EEIO_2017!CH33</f>
        <v>9762.80278502673</v>
      </c>
      <c r="U33" s="22" t="n">
        <f aca="false">$I33*KYZ_EEIO_2017!CI33</f>
        <v>1147.24180192711</v>
      </c>
      <c r="V33" s="22" t="n">
        <f aca="false">$I33*KYZ_EEIO_2017!CJ33</f>
        <v>8683.04579497769</v>
      </c>
      <c r="W33" s="22" t="n">
        <f aca="false">$I33*KYZ_EEIO_2017!CK33</f>
        <v>9222.92429000222</v>
      </c>
      <c r="X33" s="22" t="n">
        <f aca="false">$I33*KYZ_EEIO_2017!CL33</f>
        <v>2092.02916822002</v>
      </c>
      <c r="Z33" s="22" t="n">
        <f aca="false">$I33*KYZ_EEIO_2017!CY33</f>
        <v>217.011895729467</v>
      </c>
      <c r="AA33" s="22" t="n">
        <f aca="false">$I33*KYZ_EEIO_2017!CZ33</f>
        <v>70.6429192114116</v>
      </c>
      <c r="AB33" s="22" t="n">
        <f aca="false">$I33*KYZ_EEIO_2017!DA33</f>
        <v>0.416584527142996</v>
      </c>
      <c r="AC33" s="22" t="n">
        <f aca="false">$I33*KYZ_EEIO_2017!DB33</f>
        <v>0</v>
      </c>
      <c r="AD33" s="22" t="n">
        <f aca="false">$I33*KYZ_EEIO_2017!DC33</f>
        <v>5.77843176855656</v>
      </c>
    </row>
    <row r="34" customFormat="false" ht="15" hidden="false" customHeight="false" outlineLevel="0" collapsed="false">
      <c r="A34" s="20" t="s">
        <v>163</v>
      </c>
      <c r="B34" s="21" t="s">
        <v>164</v>
      </c>
      <c r="D34" s="22" t="n">
        <v>336.872792430056</v>
      </c>
      <c r="E34" s="23" t="n">
        <v>0</v>
      </c>
      <c r="F34" s="22" t="n">
        <f aca="false">D34*(1+E34)</f>
        <v>336.872792430056</v>
      </c>
      <c r="H34" s="22" t="n">
        <v>518.354069059799</v>
      </c>
      <c r="I34" s="22" t="n">
        <v>518.354069059799</v>
      </c>
      <c r="J34" s="24" t="n">
        <f aca="false">IF(H34=0,0,(I34-H34)/H34)</f>
        <v>0</v>
      </c>
      <c r="L34" s="22" t="n">
        <v>27700</v>
      </c>
      <c r="M34" s="22" t="n">
        <f aca="false">SUM(P34:X34)</f>
        <v>27700</v>
      </c>
      <c r="N34" s="25" t="n">
        <f aca="false">M34-L34</f>
        <v>0</v>
      </c>
      <c r="P34" s="22" t="n">
        <f aca="false">$I34*KYZ_EEIO_2017!CD34</f>
        <v>1200</v>
      </c>
      <c r="Q34" s="22" t="n">
        <f aca="false">$I34*KYZ_EEIO_2017!CE34</f>
        <v>3100</v>
      </c>
      <c r="R34" s="22" t="n">
        <f aca="false">$I34*KYZ_EEIO_2017!CF34</f>
        <v>1900</v>
      </c>
      <c r="S34" s="22" t="n">
        <f aca="false">$I34*KYZ_EEIO_2017!CG34</f>
        <v>500.000000000001</v>
      </c>
      <c r="T34" s="22" t="n">
        <f aca="false">$I34*KYZ_EEIO_2017!CH34</f>
        <v>3900</v>
      </c>
      <c r="U34" s="22" t="n">
        <f aca="false">$I34*KYZ_EEIO_2017!CI34</f>
        <v>300</v>
      </c>
      <c r="V34" s="22" t="n">
        <f aca="false">$I34*KYZ_EEIO_2017!CJ34</f>
        <v>2700</v>
      </c>
      <c r="W34" s="22" t="n">
        <f aca="false">$I34*KYZ_EEIO_2017!CK34</f>
        <v>12700</v>
      </c>
      <c r="X34" s="22" t="n">
        <f aca="false">$I34*KYZ_EEIO_2017!CL34</f>
        <v>1400</v>
      </c>
      <c r="Z34" s="22" t="n">
        <f aca="false">$I34*KYZ_EEIO_2017!CY34</f>
        <v>480.983717193428</v>
      </c>
      <c r="AA34" s="22" t="n">
        <f aca="false">$I34*KYZ_EEIO_2017!CZ34</f>
        <v>227.955051981186</v>
      </c>
      <c r="AB34" s="22" t="n">
        <f aca="false">$I34*KYZ_EEIO_2017!DA34</f>
        <v>0.905967285515794</v>
      </c>
      <c r="AC34" s="22" t="n">
        <f aca="false">$I34*KYZ_EEIO_2017!DB34</f>
        <v>0</v>
      </c>
      <c r="AD34" s="22" t="n">
        <f aca="false">$I34*KYZ_EEIO_2017!DC34</f>
        <v>12.5666456692484</v>
      </c>
    </row>
    <row r="35" customFormat="false" ht="15" hidden="false" customHeight="false" outlineLevel="0" collapsed="false">
      <c r="A35" s="20" t="s">
        <v>165</v>
      </c>
      <c r="B35" s="21" t="s">
        <v>166</v>
      </c>
      <c r="D35" s="22" t="n">
        <v>218.244714267527</v>
      </c>
      <c r="E35" s="23" t="n">
        <v>0</v>
      </c>
      <c r="F35" s="22" t="n">
        <f aca="false">D35*(1+E35)</f>
        <v>218.244714267527</v>
      </c>
      <c r="H35" s="22" t="n">
        <v>1592.6661745556</v>
      </c>
      <c r="I35" s="22" t="n">
        <v>1592.6661745556</v>
      </c>
      <c r="J35" s="24" t="n">
        <f aca="false">IF(H35=0,0,(I35-H35)/H35)</f>
        <v>0</v>
      </c>
      <c r="L35" s="22" t="n">
        <v>31700</v>
      </c>
      <c r="M35" s="22" t="n">
        <f aca="false">SUM(P35:X35)</f>
        <v>31700.0000000001</v>
      </c>
      <c r="N35" s="25" t="n">
        <f aca="false">M35-L35</f>
        <v>0</v>
      </c>
      <c r="P35" s="22" t="n">
        <f aca="false">$I35*KYZ_EEIO_2017!CD35</f>
        <v>1000</v>
      </c>
      <c r="Q35" s="22" t="n">
        <f aca="false">$I35*KYZ_EEIO_2017!CE35</f>
        <v>6400.00000000002</v>
      </c>
      <c r="R35" s="22" t="n">
        <f aca="false">$I35*KYZ_EEIO_2017!CF35</f>
        <v>5800.00000000002</v>
      </c>
      <c r="S35" s="22" t="n">
        <f aca="false">$I35*KYZ_EEIO_2017!CG35</f>
        <v>400.000000000001</v>
      </c>
      <c r="T35" s="22" t="n">
        <f aca="false">$I35*KYZ_EEIO_2017!CH35</f>
        <v>2800</v>
      </c>
      <c r="U35" s="22" t="n">
        <f aca="false">$I35*KYZ_EEIO_2017!CI35</f>
        <v>700.000000000002</v>
      </c>
      <c r="V35" s="22" t="n">
        <f aca="false">$I35*KYZ_EEIO_2017!CJ35</f>
        <v>1500</v>
      </c>
      <c r="W35" s="22" t="n">
        <f aca="false">$I35*KYZ_EEIO_2017!CK35</f>
        <v>9900.00000000003</v>
      </c>
      <c r="X35" s="22" t="n">
        <f aca="false">$I35*KYZ_EEIO_2017!CL35</f>
        <v>3200.00000000002</v>
      </c>
      <c r="Z35" s="22" t="n">
        <f aca="false">$I35*KYZ_EEIO_2017!CY35</f>
        <v>556813.447289638</v>
      </c>
      <c r="AA35" s="22" t="n">
        <f aca="false">$I35*KYZ_EEIO_2017!CZ35</f>
        <v>729.259857791375</v>
      </c>
      <c r="AB35" s="22" t="n">
        <f aca="false">$I35*KYZ_EEIO_2017!DA35</f>
        <v>2.39361097013003</v>
      </c>
      <c r="AC35" s="22" t="n">
        <f aca="false">$I35*KYZ_EEIO_2017!DB35</f>
        <v>0</v>
      </c>
      <c r="AD35" s="22" t="n">
        <f aca="false">$I35*KYZ_EEIO_2017!DC35</f>
        <v>33.2017076251541</v>
      </c>
    </row>
    <row r="36" customFormat="false" ht="15" hidden="false" customHeight="false" outlineLevel="0" collapsed="false">
      <c r="A36" s="20" t="s">
        <v>167</v>
      </c>
      <c r="B36" s="21" t="s">
        <v>168</v>
      </c>
      <c r="D36" s="22" t="n">
        <v>158.497402647505</v>
      </c>
      <c r="E36" s="23" t="n">
        <v>0</v>
      </c>
      <c r="F36" s="22" t="n">
        <f aca="false">D36*(1+E36)</f>
        <v>158.497402647505</v>
      </c>
      <c r="H36" s="22" t="n">
        <v>273.731611725774</v>
      </c>
      <c r="I36" s="22" t="n">
        <v>273.731611725775</v>
      </c>
      <c r="J36" s="24" t="n">
        <f aca="false">IF(H36=0,0,(I36-H36)/H36)</f>
        <v>0</v>
      </c>
      <c r="L36" s="22" t="n">
        <v>9000</v>
      </c>
      <c r="M36" s="22" t="n">
        <f aca="false">SUM(P36:X36)</f>
        <v>9000.00000000002</v>
      </c>
      <c r="N36" s="25" t="n">
        <f aca="false">M36-L36</f>
        <v>0</v>
      </c>
      <c r="P36" s="22" t="n">
        <f aca="false">$I36*KYZ_EEIO_2017!CD36</f>
        <v>200</v>
      </c>
      <c r="Q36" s="22" t="n">
        <f aca="false">$I36*KYZ_EEIO_2017!CE36</f>
        <v>500</v>
      </c>
      <c r="R36" s="22" t="n">
        <f aca="false">$I36*KYZ_EEIO_2017!CF36</f>
        <v>0</v>
      </c>
      <c r="S36" s="22" t="n">
        <f aca="false">$I36*KYZ_EEIO_2017!CG36</f>
        <v>0</v>
      </c>
      <c r="T36" s="22" t="n">
        <f aca="false">$I36*KYZ_EEIO_2017!CH36</f>
        <v>0</v>
      </c>
      <c r="U36" s="22" t="n">
        <f aca="false">$I36*KYZ_EEIO_2017!CI36</f>
        <v>0</v>
      </c>
      <c r="V36" s="22" t="n">
        <f aca="false">$I36*KYZ_EEIO_2017!CJ36</f>
        <v>400.000000000001</v>
      </c>
      <c r="W36" s="22" t="n">
        <f aca="false">$I36*KYZ_EEIO_2017!CK36</f>
        <v>7900.00000000002</v>
      </c>
      <c r="X36" s="22" t="n">
        <f aca="false">$I36*KYZ_EEIO_2017!CL36</f>
        <v>0</v>
      </c>
      <c r="Z36" s="22" t="n">
        <f aca="false">$I36*KYZ_EEIO_2017!CY36</f>
        <v>92.0816311710717</v>
      </c>
      <c r="AA36" s="22" t="n">
        <f aca="false">$I36*KYZ_EEIO_2017!CZ36</f>
        <v>124.212901166887</v>
      </c>
      <c r="AB36" s="22" t="n">
        <f aca="false">$I36*KYZ_EEIO_2017!DA36</f>
        <v>0.145303785713278</v>
      </c>
      <c r="AC36" s="22" t="n">
        <f aca="false">$I36*KYZ_EEIO_2017!DB36</f>
        <v>0</v>
      </c>
      <c r="AD36" s="22" t="n">
        <f aca="false">$I36*KYZ_EEIO_2017!DC36</f>
        <v>2.01550455369873</v>
      </c>
    </row>
    <row r="37" customFormat="false" ht="15" hidden="false" customHeight="false" outlineLevel="0" collapsed="false">
      <c r="A37" s="20" t="s">
        <v>169</v>
      </c>
      <c r="B37" s="21" t="s">
        <v>170</v>
      </c>
      <c r="D37" s="22" t="n">
        <v>116.828145205273</v>
      </c>
      <c r="E37" s="23" t="n">
        <v>0</v>
      </c>
      <c r="F37" s="22" t="n">
        <f aca="false">D37*(1+E37)</f>
        <v>116.828145205273</v>
      </c>
      <c r="H37" s="22" t="n">
        <v>205.876319486212</v>
      </c>
      <c r="I37" s="22" t="n">
        <v>205.876319486212</v>
      </c>
      <c r="J37" s="24" t="n">
        <f aca="false">IF(H37=0,0,(I37-H37)/H37)</f>
        <v>0</v>
      </c>
      <c r="L37" s="22" t="n">
        <v>41500</v>
      </c>
      <c r="M37" s="22" t="n">
        <f aca="false">SUM(P37:X37)</f>
        <v>41500.0000000001</v>
      </c>
      <c r="N37" s="25" t="n">
        <f aca="false">M37-L37</f>
        <v>0</v>
      </c>
      <c r="P37" s="22" t="n">
        <f aca="false">$I37*KYZ_EEIO_2017!CD37</f>
        <v>3500</v>
      </c>
      <c r="Q37" s="22" t="n">
        <f aca="false">$I37*KYZ_EEIO_2017!CE37</f>
        <v>6800.00000000002</v>
      </c>
      <c r="R37" s="22" t="n">
        <f aca="false">$I37*KYZ_EEIO_2017!CF37</f>
        <v>3800.00000000002</v>
      </c>
      <c r="S37" s="22" t="n">
        <f aca="false">$I37*KYZ_EEIO_2017!CG37</f>
        <v>900.000000000002</v>
      </c>
      <c r="T37" s="22" t="n">
        <f aca="false">$I37*KYZ_EEIO_2017!CH37</f>
        <v>6900.00000000002</v>
      </c>
      <c r="U37" s="22" t="n">
        <f aca="false">$I37*KYZ_EEIO_2017!CI37</f>
        <v>500.000000000001</v>
      </c>
      <c r="V37" s="22" t="n">
        <f aca="false">$I37*KYZ_EEIO_2017!CJ37</f>
        <v>5500.00000000002</v>
      </c>
      <c r="W37" s="22" t="n">
        <f aca="false">$I37*KYZ_EEIO_2017!CK37</f>
        <v>11600</v>
      </c>
      <c r="X37" s="22" t="n">
        <f aca="false">$I37*KYZ_EEIO_2017!CL37</f>
        <v>2000.00000000001</v>
      </c>
      <c r="Z37" s="22" t="n">
        <f aca="false">$I37*KYZ_EEIO_2017!CY37</f>
        <v>179.463761267823</v>
      </c>
      <c r="AA37" s="22" t="n">
        <f aca="false">$I37*KYZ_EEIO_2017!CZ37</f>
        <v>92.5494382494089</v>
      </c>
      <c r="AB37" s="22" t="n">
        <f aca="false">$I37*KYZ_EEIO_2017!DA37</f>
        <v>0.288258262805044</v>
      </c>
      <c r="AC37" s="22" t="n">
        <f aca="false">$I37*KYZ_EEIO_2017!DB37</f>
        <v>0</v>
      </c>
      <c r="AD37" s="22" t="n">
        <f aca="false">$I37*KYZ_EEIO_2017!DC37</f>
        <v>3.99842191635176</v>
      </c>
    </row>
    <row r="38" customFormat="false" ht="15" hidden="false" customHeight="false" outlineLevel="0" collapsed="false">
      <c r="A38" s="20" t="s">
        <v>171</v>
      </c>
      <c r="B38" s="21" t="s">
        <v>172</v>
      </c>
      <c r="D38" s="22" t="n">
        <v>604.50262089294</v>
      </c>
      <c r="E38" s="23" t="n">
        <v>0</v>
      </c>
      <c r="F38" s="22" t="n">
        <f aca="false">D38*(1+E38)</f>
        <v>604.50262089294</v>
      </c>
      <c r="H38" s="22" t="n">
        <v>609.428900260177</v>
      </c>
      <c r="I38" s="22" t="n">
        <v>609.428900260176</v>
      </c>
      <c r="J38" s="24" t="n">
        <f aca="false">IF(H38=0,0,(I38-H38)/H38)</f>
        <v>0</v>
      </c>
      <c r="L38" s="22" t="n">
        <v>94100</v>
      </c>
      <c r="M38" s="22" t="n">
        <f aca="false">SUM(P38:X38)</f>
        <v>94099.9999999999</v>
      </c>
      <c r="N38" s="25" t="n">
        <f aca="false">M38-L38</f>
        <v>0</v>
      </c>
      <c r="P38" s="22" t="n">
        <f aca="false">$I38*KYZ_EEIO_2017!CD38</f>
        <v>4400</v>
      </c>
      <c r="Q38" s="22" t="n">
        <f aca="false">$I38*KYZ_EEIO_2017!CE38</f>
        <v>13900</v>
      </c>
      <c r="R38" s="22" t="n">
        <f aca="false">$I38*KYZ_EEIO_2017!CF38</f>
        <v>6999.99999999998</v>
      </c>
      <c r="S38" s="22" t="n">
        <f aca="false">$I38*KYZ_EEIO_2017!CG38</f>
        <v>3900</v>
      </c>
      <c r="T38" s="22" t="n">
        <f aca="false">$I38*KYZ_EEIO_2017!CH38</f>
        <v>13500</v>
      </c>
      <c r="U38" s="22" t="n">
        <f aca="false">$I38*KYZ_EEIO_2017!CI38</f>
        <v>3400</v>
      </c>
      <c r="V38" s="22" t="n">
        <f aca="false">$I38*KYZ_EEIO_2017!CJ38</f>
        <v>11300</v>
      </c>
      <c r="W38" s="22" t="n">
        <f aca="false">$I38*KYZ_EEIO_2017!CK38</f>
        <v>33000</v>
      </c>
      <c r="X38" s="22" t="n">
        <f aca="false">$I38*KYZ_EEIO_2017!CL38</f>
        <v>3700</v>
      </c>
      <c r="Z38" s="22" t="n">
        <f aca="false">$I38*KYZ_EEIO_2017!CY38</f>
        <v>160.527041186815</v>
      </c>
      <c r="AA38" s="22" t="n">
        <f aca="false">$I38*KYZ_EEIO_2017!CZ38</f>
        <v>265.461355593391</v>
      </c>
      <c r="AB38" s="22" t="n">
        <f aca="false">$I38*KYZ_EEIO_2017!DA38</f>
        <v>0.203377519735003</v>
      </c>
      <c r="AC38" s="22" t="n">
        <f aca="false">$I38*KYZ_EEIO_2017!DB38</f>
        <v>0</v>
      </c>
      <c r="AD38" s="22" t="n">
        <f aca="false">$I38*KYZ_EEIO_2017!DC38</f>
        <v>2.82104361654216</v>
      </c>
    </row>
    <row r="39" customFormat="false" ht="15" hidden="false" customHeight="false" outlineLevel="0" collapsed="false">
      <c r="A39" s="20" t="s">
        <v>173</v>
      </c>
      <c r="B39" s="21" t="s">
        <v>174</v>
      </c>
      <c r="D39" s="22" t="n">
        <v>574.737340839163</v>
      </c>
      <c r="E39" s="23" t="n">
        <v>0</v>
      </c>
      <c r="F39" s="22" t="n">
        <f aca="false">D39*(1+E39)</f>
        <v>574.737340839163</v>
      </c>
      <c r="H39" s="22" t="n">
        <v>593.048975647064</v>
      </c>
      <c r="I39" s="22" t="n">
        <v>593.048975647065</v>
      </c>
      <c r="J39" s="24" t="n">
        <f aca="false">IF(H39=0,0,(I39-H39)/H39)</f>
        <v>0</v>
      </c>
      <c r="L39" s="22" t="n">
        <v>206200</v>
      </c>
      <c r="M39" s="22" t="n">
        <f aca="false">SUM(P39:X39)</f>
        <v>206200</v>
      </c>
      <c r="N39" s="25" t="n">
        <f aca="false">M39-L39</f>
        <v>0</v>
      </c>
      <c r="P39" s="22" t="n">
        <f aca="false">$I39*KYZ_EEIO_2017!CD39</f>
        <v>16400</v>
      </c>
      <c r="Q39" s="22" t="n">
        <f aca="false">$I39*KYZ_EEIO_2017!CE39</f>
        <v>36700</v>
      </c>
      <c r="R39" s="22" t="n">
        <f aca="false">$I39*KYZ_EEIO_2017!CF39</f>
        <v>13400</v>
      </c>
      <c r="S39" s="22" t="n">
        <f aca="false">$I39*KYZ_EEIO_2017!CG39</f>
        <v>17100</v>
      </c>
      <c r="T39" s="22" t="n">
        <f aca="false">$I39*KYZ_EEIO_2017!CH39</f>
        <v>32900.0000000001</v>
      </c>
      <c r="U39" s="22" t="n">
        <f aca="false">$I39*KYZ_EEIO_2017!CI39</f>
        <v>10700</v>
      </c>
      <c r="V39" s="22" t="n">
        <f aca="false">$I39*KYZ_EEIO_2017!CJ39</f>
        <v>27000</v>
      </c>
      <c r="W39" s="22" t="n">
        <f aca="false">$I39*KYZ_EEIO_2017!CK39</f>
        <v>43000.0000000001</v>
      </c>
      <c r="X39" s="22" t="n">
        <f aca="false">$I39*KYZ_EEIO_2017!CL39</f>
        <v>8999.99999999999</v>
      </c>
      <c r="Z39" s="22" t="n">
        <f aca="false">$I39*KYZ_EEIO_2017!CY39</f>
        <v>243.879568244389</v>
      </c>
      <c r="AA39" s="22" t="n">
        <f aca="false">$I39*KYZ_EEIO_2017!CZ39</f>
        <v>262.325218519668</v>
      </c>
      <c r="AB39" s="22" t="n">
        <f aca="false">$I39*KYZ_EEIO_2017!DA39</f>
        <v>0.320328455039834</v>
      </c>
      <c r="AC39" s="22" t="n">
        <f aca="false">$I39*KYZ_EEIO_2017!DB39</f>
        <v>0</v>
      </c>
      <c r="AD39" s="22" t="n">
        <f aca="false">$I39*KYZ_EEIO_2017!DC39</f>
        <v>4.4432666130671</v>
      </c>
    </row>
    <row r="40" customFormat="false" ht="15" hidden="false" customHeight="false" outlineLevel="0" collapsed="false">
      <c r="A40" s="20" t="s">
        <v>175</v>
      </c>
      <c r="B40" s="21" t="s">
        <v>176</v>
      </c>
      <c r="D40" s="22" t="n">
        <v>321.367752529273</v>
      </c>
      <c r="E40" s="23" t="n">
        <v>0</v>
      </c>
      <c r="F40" s="22" t="n">
        <f aca="false">D40*(1+E40)</f>
        <v>321.367752529273</v>
      </c>
      <c r="H40" s="22" t="n">
        <v>332.921006084727</v>
      </c>
      <c r="I40" s="22" t="n">
        <v>332.921006084726</v>
      </c>
      <c r="J40" s="24" t="n">
        <f aca="false">IF(H40=0,0,(I40-H40)/H40)</f>
        <v>0</v>
      </c>
      <c r="L40" s="22" t="n">
        <v>92100</v>
      </c>
      <c r="M40" s="22" t="n">
        <f aca="false">SUM(P40:X40)</f>
        <v>92099.9999999999</v>
      </c>
      <c r="N40" s="25" t="n">
        <f aca="false">M40-L40</f>
        <v>0</v>
      </c>
      <c r="P40" s="22" t="n">
        <f aca="false">$I40*KYZ_EEIO_2017!CD40</f>
        <v>5099.99999999999</v>
      </c>
      <c r="Q40" s="22" t="n">
        <f aca="false">$I40*KYZ_EEIO_2017!CE40</f>
        <v>15500</v>
      </c>
      <c r="R40" s="22" t="n">
        <f aca="false">$I40*KYZ_EEIO_2017!CF40</f>
        <v>8099.99999999998</v>
      </c>
      <c r="S40" s="22" t="n">
        <f aca="false">$I40*KYZ_EEIO_2017!CG40</f>
        <v>3200</v>
      </c>
      <c r="T40" s="22" t="n">
        <f aca="false">$I40*KYZ_EEIO_2017!CH40</f>
        <v>14800</v>
      </c>
      <c r="U40" s="22" t="n">
        <f aca="false">$I40*KYZ_EEIO_2017!CI40</f>
        <v>3399.99999999999</v>
      </c>
      <c r="V40" s="22" t="n">
        <f aca="false">$I40*KYZ_EEIO_2017!CJ40</f>
        <v>17400</v>
      </c>
      <c r="W40" s="22" t="n">
        <f aca="false">$I40*KYZ_EEIO_2017!CK40</f>
        <v>20900</v>
      </c>
      <c r="X40" s="22" t="n">
        <f aca="false">$I40*KYZ_EEIO_2017!CL40</f>
        <v>3700</v>
      </c>
      <c r="Z40" s="22" t="n">
        <f aca="false">$I40*KYZ_EEIO_2017!CY40</f>
        <v>270.223446139053</v>
      </c>
      <c r="AA40" s="22" t="n">
        <f aca="false">$I40*KYZ_EEIO_2017!CZ40</f>
        <v>144.994738494827</v>
      </c>
      <c r="AB40" s="22" t="n">
        <f aca="false">$I40*KYZ_EEIO_2017!DA40</f>
        <v>0.499033681303204</v>
      </c>
      <c r="AC40" s="22" t="n">
        <f aca="false">$I40*KYZ_EEIO_2017!DB40</f>
        <v>0</v>
      </c>
      <c r="AD40" s="22" t="n">
        <f aca="false">$I40*KYZ_EEIO_2017!DC40</f>
        <v>6.92208156985229</v>
      </c>
    </row>
    <row r="41" customFormat="false" ht="15" hidden="false" customHeight="false" outlineLevel="0" collapsed="false">
      <c r="A41" s="20" t="s">
        <v>177</v>
      </c>
      <c r="B41" s="21" t="s">
        <v>178</v>
      </c>
      <c r="D41" s="22" t="n">
        <v>171.622483377301</v>
      </c>
      <c r="E41" s="23" t="n">
        <v>0</v>
      </c>
      <c r="F41" s="22" t="n">
        <f aca="false">D41*(1+E41)</f>
        <v>171.622483377301</v>
      </c>
      <c r="H41" s="22" t="n">
        <v>229.815773026541</v>
      </c>
      <c r="I41" s="22" t="n">
        <v>229.815773026541</v>
      </c>
      <c r="J41" s="24" t="n">
        <f aca="false">IF(H41=0,0,(I41-H41)/H41)</f>
        <v>0</v>
      </c>
      <c r="L41" s="22" t="n">
        <v>71200</v>
      </c>
      <c r="M41" s="22" t="n">
        <f aca="false">SUM(P41:X41)</f>
        <v>71199.9999999999</v>
      </c>
      <c r="N41" s="25" t="n">
        <f aca="false">M41-L41</f>
        <v>0</v>
      </c>
      <c r="P41" s="22" t="n">
        <f aca="false">$I41*KYZ_EEIO_2017!CD41</f>
        <v>5400</v>
      </c>
      <c r="Q41" s="22" t="n">
        <f aca="false">$I41*KYZ_EEIO_2017!CE41</f>
        <v>8199.99999999998</v>
      </c>
      <c r="R41" s="22" t="n">
        <f aca="false">$I41*KYZ_EEIO_2017!CF41</f>
        <v>3799.99999999999</v>
      </c>
      <c r="S41" s="22" t="n">
        <f aca="false">$I41*KYZ_EEIO_2017!CG41</f>
        <v>2900</v>
      </c>
      <c r="T41" s="22" t="n">
        <f aca="false">$I41*KYZ_EEIO_2017!CH41</f>
        <v>5099.99999999998</v>
      </c>
      <c r="U41" s="22" t="n">
        <f aca="false">$I41*KYZ_EEIO_2017!CI41</f>
        <v>1800</v>
      </c>
      <c r="V41" s="22" t="n">
        <f aca="false">$I41*KYZ_EEIO_2017!CJ41</f>
        <v>8299.99999999998</v>
      </c>
      <c r="W41" s="22" t="n">
        <f aca="false">$I41*KYZ_EEIO_2017!CK41</f>
        <v>30900</v>
      </c>
      <c r="X41" s="22" t="n">
        <f aca="false">$I41*KYZ_EEIO_2017!CL41</f>
        <v>4799.99999999999</v>
      </c>
      <c r="Z41" s="22" t="n">
        <f aca="false">$I41*KYZ_EEIO_2017!CY41</f>
        <v>481.278132054096</v>
      </c>
      <c r="AA41" s="22" t="n">
        <f aca="false">$I41*KYZ_EEIO_2017!CZ41</f>
        <v>100.881868700183</v>
      </c>
      <c r="AB41" s="22" t="n">
        <f aca="false">$I41*KYZ_EEIO_2017!DA41</f>
        <v>1.023467647277</v>
      </c>
      <c r="AC41" s="22" t="n">
        <f aca="false">$I41*KYZ_EEIO_2017!DB41</f>
        <v>0</v>
      </c>
      <c r="AD41" s="22" t="n">
        <f aca="false">$I41*KYZ_EEIO_2017!DC41</f>
        <v>14.1964897440495</v>
      </c>
    </row>
    <row r="42" customFormat="false" ht="15" hidden="false" customHeight="false" outlineLevel="0" collapsed="false">
      <c r="A42" s="26" t="s">
        <v>179</v>
      </c>
      <c r="B42" s="26"/>
      <c r="D42" s="22" t="n">
        <f aca="false">SUM(D8:D41)</f>
        <v>9443.3367321323</v>
      </c>
      <c r="E42" s="24" t="n">
        <f aca="false">AVERAGE(E8:E41)</f>
        <v>0</v>
      </c>
      <c r="F42" s="22" t="n">
        <f aca="false">SUM(F8:F41)</f>
        <v>9443.3367321323</v>
      </c>
      <c r="H42" s="22" t="n">
        <f aca="false">SUM(H8:H41)</f>
        <v>16084.1943469696</v>
      </c>
      <c r="I42" s="22" t="n">
        <f aca="false">SUM(I8:I41)</f>
        <v>16084.1943469696</v>
      </c>
      <c r="J42" s="24" t="n">
        <f aca="false">AVERAGE(J8:J41)</f>
        <v>-1.22971908526119E-016</v>
      </c>
      <c r="L42" s="27" t="n">
        <f aca="false">SUM(L8:L41)</f>
        <v>2351200</v>
      </c>
      <c r="M42" s="27" t="n">
        <f aca="false">SUM(M8:M41)</f>
        <v>2351200</v>
      </c>
      <c r="N42" s="25" t="n">
        <f aca="false">M42-L42</f>
        <v>0</v>
      </c>
      <c r="P42" s="22" t="n">
        <f aca="false">SUM(P8:P41)</f>
        <v>184800</v>
      </c>
      <c r="Q42" s="22" t="n">
        <f aca="false">SUM(Q8:Q41)</f>
        <v>380100</v>
      </c>
      <c r="R42" s="22" t="n">
        <f aca="false">SUM(R8:R41)</f>
        <v>158200</v>
      </c>
      <c r="S42" s="22" t="n">
        <f aca="false">SUM(S8:S41)</f>
        <v>87700.0000000002</v>
      </c>
      <c r="T42" s="22" t="n">
        <f aca="false">SUM(T8:T41)</f>
        <v>537300.000000001</v>
      </c>
      <c r="U42" s="22" t="n">
        <f aca="false">SUM(U8:U41)</f>
        <v>111300</v>
      </c>
      <c r="V42" s="22" t="n">
        <f aca="false">SUM(V8:V41)</f>
        <v>333800</v>
      </c>
      <c r="W42" s="22" t="n">
        <f aca="false">SUM(W8:W41)</f>
        <v>456500.000000001</v>
      </c>
      <c r="X42" s="22" t="n">
        <f aca="false">SUM(X8:X41)</f>
        <v>101500</v>
      </c>
      <c r="Z42" s="22" t="n">
        <f aca="false">SUM(Z8:Z41)</f>
        <v>846641.502048751</v>
      </c>
      <c r="AA42" s="22" t="n">
        <f aca="false">SUM(AA8:AA41)</f>
        <v>23187.0830724835</v>
      </c>
      <c r="AB42" s="22" t="n">
        <f aca="false">SUM(AB8:AB41)</f>
        <v>7136.94826264987</v>
      </c>
      <c r="AC42" s="22" t="n">
        <f aca="false">SUM(AC8:AC41)</f>
        <v>11933.1218865023</v>
      </c>
      <c r="AD42" s="22" t="n">
        <f aca="false">SUM(AD8:AD41)</f>
        <v>698.162021288121</v>
      </c>
    </row>
  </sheetData>
  <mergeCells count="5">
    <mergeCell ref="D5:F5"/>
    <mergeCell ref="H5:J5"/>
    <mergeCell ref="L5:N5"/>
    <mergeCell ref="P5:X5"/>
    <mergeCell ref="Z5:AD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DC427"/>
  <sheetViews>
    <sheetView showFormulas="false" showGridLines="true" showRowColHeaders="true" showZeros="true" rightToLeft="false" tabSelected="false" showOutlineSymbols="true" defaultGridColor="true" view="normal" topLeftCell="B222" colorId="64" zoomScale="220" zoomScaleNormal="220" zoomScalePageLayoutView="100" workbookViewId="0">
      <selection pane="topLeft" activeCell="M44" activeCellId="1" sqref="H114:J116 M44"/>
    </sheetView>
  </sheetViews>
  <sheetFormatPr defaultColWidth="9.3359375" defaultRowHeight="12.75" customHeight="false" zeroHeight="false" outlineLevelRow="0" outlineLevelCol="0"/>
  <cols>
    <col collapsed="false" customWidth="false" hidden="true" outlineLevel="0" max="1" min="1" style="19" width="9.33"/>
    <col collapsed="false" customWidth="true" hidden="false" outlineLevel="0" max="2" min="2" style="19" width="57.33"/>
    <col collapsed="false" customWidth="true" hidden="false" outlineLevel="0" max="3" min="3" style="19" width="4.33"/>
    <col collapsed="false" customWidth="true" hidden="false" outlineLevel="0" max="37" min="4" style="19" width="11.67"/>
    <col collapsed="false" customWidth="true" hidden="false" outlineLevel="0" max="38" min="38" style="19" width="12.67"/>
    <col collapsed="false" customWidth="false" hidden="false" outlineLevel="0" max="39" min="39" style="19" width="9.33"/>
    <col collapsed="false" customWidth="true" hidden="false" outlineLevel="0" max="40" min="40" style="19" width="11.33"/>
    <col collapsed="false" customWidth="true" hidden="false" outlineLevel="0" max="41" min="41" style="19" width="11.67"/>
    <col collapsed="false" customWidth="false" hidden="false" outlineLevel="0" max="42" min="42" style="19" width="9.33"/>
    <col collapsed="false" customWidth="true" hidden="false" outlineLevel="0" max="43" min="43" style="19" width="11.33"/>
    <col collapsed="false" customWidth="true" hidden="false" outlineLevel="0" max="44" min="44" style="19" width="13.34"/>
    <col collapsed="false" customWidth="false" hidden="false" outlineLevel="0" max="50" min="45" style="19" width="9.33"/>
    <col collapsed="false" customWidth="true" hidden="false" outlineLevel="0" max="51" min="51" style="19" width="15.66"/>
    <col collapsed="false" customWidth="true" hidden="false" outlineLevel="0" max="52" min="52" style="19" width="12.33"/>
    <col collapsed="false" customWidth="false" hidden="false" outlineLevel="0" max="54" min="53" style="19" width="9.33"/>
    <col collapsed="false" customWidth="true" hidden="false" outlineLevel="0" max="55" min="55" style="19" width="30.33"/>
    <col collapsed="false" customWidth="false" hidden="false" outlineLevel="0" max="80" min="56" style="19" width="9.33"/>
    <col collapsed="false" customWidth="true" hidden="false" outlineLevel="0" max="81" min="81" style="19" width="18.34"/>
    <col collapsed="false" customWidth="false" hidden="false" outlineLevel="0" max="93" min="82" style="19" width="9.33"/>
    <col collapsed="false" customWidth="true" hidden="false" outlineLevel="0" max="94" min="94" style="19" width="74.83"/>
    <col collapsed="false" customWidth="false" hidden="false" outlineLevel="0" max="16384" min="95" style="19" width="9.33"/>
  </cols>
  <sheetData>
    <row r="1" customFormat="false" ht="12.75" hidden="false" customHeight="false" outlineLevel="0" collapsed="false">
      <c r="A1" s="19" t="s">
        <v>180</v>
      </c>
      <c r="B1" s="28" t="s">
        <v>181</v>
      </c>
    </row>
    <row r="2" customFormat="false" ht="12.75" hidden="false" customHeight="false" outlineLevel="0" collapsed="false">
      <c r="B2" s="29" t="s">
        <v>82</v>
      </c>
      <c r="AT2" s="30"/>
    </row>
    <row r="3" customFormat="false" ht="12.75" hidden="false" customHeight="false" outlineLevel="0" collapsed="false">
      <c r="A3" s="19" t="s">
        <v>182</v>
      </c>
      <c r="B3" s="30"/>
      <c r="BB3" s="30" t="s">
        <v>183</v>
      </c>
      <c r="BO3" s="30" t="s">
        <v>85</v>
      </c>
      <c r="CB3" s="30" t="s">
        <v>184</v>
      </c>
      <c r="CO3" s="30" t="s">
        <v>185</v>
      </c>
      <c r="CW3" s="30" t="s">
        <v>186</v>
      </c>
    </row>
    <row r="4" customFormat="false" ht="12.75" hidden="false" customHeight="false" outlineLevel="0" collapsed="false">
      <c r="A4" s="19" t="s">
        <v>187</v>
      </c>
      <c r="D4" s="31" t="s">
        <v>188</v>
      </c>
      <c r="E4" s="31" t="s">
        <v>189</v>
      </c>
      <c r="F4" s="31" t="s">
        <v>190</v>
      </c>
      <c r="G4" s="31" t="s">
        <v>191</v>
      </c>
      <c r="H4" s="31" t="n">
        <v>19</v>
      </c>
      <c r="I4" s="31" t="n">
        <v>20</v>
      </c>
      <c r="J4" s="31" t="s">
        <v>192</v>
      </c>
      <c r="K4" s="31" t="n">
        <v>23</v>
      </c>
      <c r="L4" s="31" t="n">
        <v>24</v>
      </c>
      <c r="M4" s="31" t="n">
        <v>25</v>
      </c>
      <c r="N4" s="31" t="n">
        <v>26</v>
      </c>
      <c r="O4" s="31" t="s">
        <v>193</v>
      </c>
      <c r="P4" s="31" t="n">
        <v>29</v>
      </c>
      <c r="Q4" s="31" t="s">
        <v>194</v>
      </c>
      <c r="R4" s="31" t="s">
        <v>195</v>
      </c>
      <c r="S4" s="31" t="s">
        <v>196</v>
      </c>
      <c r="T4" s="31" t="s">
        <v>197</v>
      </c>
      <c r="U4" s="31" t="s">
        <v>198</v>
      </c>
      <c r="V4" s="31" t="n">
        <v>50</v>
      </c>
      <c r="W4" s="31" t="n">
        <v>51</v>
      </c>
      <c r="X4" s="31" t="n">
        <v>52</v>
      </c>
      <c r="Y4" s="31" t="s">
        <v>199</v>
      </c>
      <c r="Z4" s="31" t="n">
        <v>60</v>
      </c>
      <c r="AA4" s="31" t="n">
        <v>61</v>
      </c>
      <c r="AB4" s="31" t="n">
        <v>62</v>
      </c>
      <c r="AC4" s="31" t="n">
        <v>63</v>
      </c>
      <c r="AD4" s="31" t="n">
        <v>64</v>
      </c>
      <c r="AE4" s="31" t="s">
        <v>200</v>
      </c>
      <c r="AF4" s="31" t="n">
        <v>70</v>
      </c>
      <c r="AG4" s="31" t="s">
        <v>201</v>
      </c>
      <c r="AH4" s="31" t="s">
        <v>202</v>
      </c>
      <c r="AI4" s="31" t="s">
        <v>203</v>
      </c>
      <c r="AJ4" s="31" t="s">
        <v>204</v>
      </c>
      <c r="AK4" s="31" t="s">
        <v>205</v>
      </c>
      <c r="AL4" s="32"/>
      <c r="AM4" s="32"/>
      <c r="AN4" s="32"/>
      <c r="AO4" s="32"/>
      <c r="AP4" s="32"/>
      <c r="AQ4" s="33"/>
      <c r="AR4" s="34"/>
    </row>
    <row r="5" customFormat="false" ht="91" hidden="false" customHeight="true" outlineLevel="0" collapsed="false">
      <c r="A5" s="35" t="s">
        <v>206</v>
      </c>
      <c r="B5" s="36" t="s">
        <v>207</v>
      </c>
      <c r="C5" s="36"/>
      <c r="D5" s="37" t="s">
        <v>208</v>
      </c>
      <c r="E5" s="37" t="s">
        <v>209</v>
      </c>
      <c r="F5" s="37" t="s">
        <v>210</v>
      </c>
      <c r="G5" s="37" t="s">
        <v>211</v>
      </c>
      <c r="H5" s="37" t="s">
        <v>212</v>
      </c>
      <c r="I5" s="37" t="s">
        <v>213</v>
      </c>
      <c r="J5" s="37" t="s">
        <v>214</v>
      </c>
      <c r="K5" s="37" t="s">
        <v>215</v>
      </c>
      <c r="L5" s="37" t="s">
        <v>216</v>
      </c>
      <c r="M5" s="37" t="s">
        <v>217</v>
      </c>
      <c r="N5" s="37" t="s">
        <v>218</v>
      </c>
      <c r="O5" s="37" t="s">
        <v>219</v>
      </c>
      <c r="P5" s="37" t="s">
        <v>135</v>
      </c>
      <c r="Q5" s="37" t="s">
        <v>220</v>
      </c>
      <c r="R5" s="37" t="s">
        <v>221</v>
      </c>
      <c r="S5" s="37" t="s">
        <v>222</v>
      </c>
      <c r="T5" s="37" t="s">
        <v>223</v>
      </c>
      <c r="U5" s="37" t="s">
        <v>145</v>
      </c>
      <c r="V5" s="37" t="s">
        <v>224</v>
      </c>
      <c r="W5" s="37" t="s">
        <v>225</v>
      </c>
      <c r="X5" s="37" t="s">
        <v>226</v>
      </c>
      <c r="Y5" s="37" t="s">
        <v>227</v>
      </c>
      <c r="Z5" s="37" t="s">
        <v>228</v>
      </c>
      <c r="AA5" s="37" t="s">
        <v>229</v>
      </c>
      <c r="AB5" s="37" t="s">
        <v>230</v>
      </c>
      <c r="AC5" s="37" t="s">
        <v>231</v>
      </c>
      <c r="AD5" s="37" t="s">
        <v>232</v>
      </c>
      <c r="AE5" s="37" t="s">
        <v>233</v>
      </c>
      <c r="AF5" s="37" t="s">
        <v>234</v>
      </c>
      <c r="AG5" s="37" t="s">
        <v>235</v>
      </c>
      <c r="AH5" s="37" t="s">
        <v>236</v>
      </c>
      <c r="AI5" s="37" t="s">
        <v>173</v>
      </c>
      <c r="AJ5" s="37" t="s">
        <v>237</v>
      </c>
      <c r="AK5" s="37" t="s">
        <v>238</v>
      </c>
      <c r="AL5" s="38" t="s">
        <v>239</v>
      </c>
      <c r="AM5" s="38" t="s">
        <v>240</v>
      </c>
      <c r="AN5" s="38" t="s">
        <v>241</v>
      </c>
      <c r="AO5" s="38" t="s">
        <v>242</v>
      </c>
      <c r="AP5" s="38" t="s">
        <v>243</v>
      </c>
      <c r="AQ5" s="39" t="s">
        <v>244</v>
      </c>
      <c r="AR5" s="40" t="s">
        <v>245</v>
      </c>
      <c r="AT5" s="41" t="s">
        <v>246</v>
      </c>
      <c r="AV5" s="42" t="s">
        <v>247</v>
      </c>
      <c r="AW5" s="43" t="s">
        <v>248</v>
      </c>
      <c r="AY5" s="44" t="s">
        <v>249</v>
      </c>
      <c r="AZ5" s="44" t="s">
        <v>250</v>
      </c>
      <c r="BD5" s="44" t="s">
        <v>97</v>
      </c>
      <c r="BE5" s="44" t="s">
        <v>98</v>
      </c>
      <c r="BF5" s="44" t="s">
        <v>99</v>
      </c>
      <c r="BG5" s="44" t="s">
        <v>100</v>
      </c>
      <c r="BH5" s="44" t="s">
        <v>101</v>
      </c>
      <c r="BI5" s="44" t="s">
        <v>102</v>
      </c>
      <c r="BJ5" s="44" t="s">
        <v>103</v>
      </c>
      <c r="BK5" s="44" t="s">
        <v>104</v>
      </c>
      <c r="BL5" s="44" t="s">
        <v>105</v>
      </c>
      <c r="BM5" s="44" t="s">
        <v>179</v>
      </c>
      <c r="BN5" s="44"/>
      <c r="BO5" s="44"/>
      <c r="BP5" s="44"/>
      <c r="BQ5" s="44" t="s">
        <v>97</v>
      </c>
      <c r="BR5" s="44" t="s">
        <v>98</v>
      </c>
      <c r="BS5" s="44" t="s">
        <v>99</v>
      </c>
      <c r="BT5" s="44" t="s">
        <v>100</v>
      </c>
      <c r="BU5" s="44" t="s">
        <v>101</v>
      </c>
      <c r="BV5" s="44" t="s">
        <v>102</v>
      </c>
      <c r="BW5" s="44" t="s">
        <v>103</v>
      </c>
      <c r="BX5" s="44" t="s">
        <v>104</v>
      </c>
      <c r="BY5" s="44" t="s">
        <v>105</v>
      </c>
      <c r="BZ5" s="44" t="s">
        <v>179</v>
      </c>
      <c r="CA5" s="44"/>
      <c r="CB5" s="44"/>
      <c r="CC5" s="44"/>
      <c r="CD5" s="44" t="s">
        <v>97</v>
      </c>
      <c r="CE5" s="44" t="s">
        <v>98</v>
      </c>
      <c r="CF5" s="44" t="s">
        <v>99</v>
      </c>
      <c r="CG5" s="44" t="s">
        <v>100</v>
      </c>
      <c r="CH5" s="44" t="s">
        <v>101</v>
      </c>
      <c r="CI5" s="44" t="s">
        <v>102</v>
      </c>
      <c r="CJ5" s="44" t="s">
        <v>103</v>
      </c>
      <c r="CK5" s="44" t="s">
        <v>104</v>
      </c>
      <c r="CL5" s="44" t="s">
        <v>105</v>
      </c>
      <c r="CM5" s="44" t="s">
        <v>179</v>
      </c>
      <c r="CQ5" s="19" t="s">
        <v>106</v>
      </c>
      <c r="CR5" s="19" t="s">
        <v>251</v>
      </c>
      <c r="CS5" s="19" t="s">
        <v>108</v>
      </c>
      <c r="CT5" s="19" t="s">
        <v>109</v>
      </c>
      <c r="CU5" s="19" t="s">
        <v>110</v>
      </c>
      <c r="CY5" s="19" t="s">
        <v>106</v>
      </c>
      <c r="CZ5" s="19" t="s">
        <v>251</v>
      </c>
      <c r="DA5" s="19" t="s">
        <v>108</v>
      </c>
      <c r="DB5" s="19" t="s">
        <v>109</v>
      </c>
      <c r="DC5" s="19" t="s">
        <v>110</v>
      </c>
    </row>
    <row r="6" customFormat="false" ht="12.75" hidden="false" customHeight="false" outlineLevel="0" collapsed="false">
      <c r="B6" s="36"/>
      <c r="C6" s="36"/>
      <c r="D6" s="45" t="s">
        <v>112</v>
      </c>
      <c r="E6" s="45" t="s">
        <v>114</v>
      </c>
      <c r="F6" s="45" t="s">
        <v>116</v>
      </c>
      <c r="G6" s="45" t="s">
        <v>118</v>
      </c>
      <c r="H6" s="45" t="s">
        <v>120</v>
      </c>
      <c r="I6" s="45" t="s">
        <v>122</v>
      </c>
      <c r="J6" s="45" t="s">
        <v>124</v>
      </c>
      <c r="K6" s="45" t="s">
        <v>126</v>
      </c>
      <c r="L6" s="45" t="s">
        <v>128</v>
      </c>
      <c r="M6" s="45" t="s">
        <v>130</v>
      </c>
      <c r="N6" s="45" t="s">
        <v>132</v>
      </c>
      <c r="O6" s="45" t="s">
        <v>134</v>
      </c>
      <c r="P6" s="45" t="s">
        <v>136</v>
      </c>
      <c r="Q6" s="45" t="s">
        <v>138</v>
      </c>
      <c r="R6" s="45" t="s">
        <v>140</v>
      </c>
      <c r="S6" s="45" t="s">
        <v>142</v>
      </c>
      <c r="T6" s="45" t="s">
        <v>144</v>
      </c>
      <c r="U6" s="45" t="s">
        <v>146</v>
      </c>
      <c r="V6" s="45" t="s">
        <v>148</v>
      </c>
      <c r="W6" s="45" t="s">
        <v>150</v>
      </c>
      <c r="X6" s="45" t="s">
        <v>152</v>
      </c>
      <c r="Y6" s="45" t="s">
        <v>154</v>
      </c>
      <c r="Z6" s="45" t="s">
        <v>156</v>
      </c>
      <c r="AA6" s="45" t="s">
        <v>158</v>
      </c>
      <c r="AB6" s="45" t="s">
        <v>160</v>
      </c>
      <c r="AC6" s="45" t="s">
        <v>162</v>
      </c>
      <c r="AD6" s="45" t="s">
        <v>164</v>
      </c>
      <c r="AE6" s="45" t="s">
        <v>166</v>
      </c>
      <c r="AF6" s="45" t="s">
        <v>168</v>
      </c>
      <c r="AG6" s="45" t="s">
        <v>170</v>
      </c>
      <c r="AH6" s="45" t="s">
        <v>172</v>
      </c>
      <c r="AI6" s="45" t="s">
        <v>174</v>
      </c>
      <c r="AJ6" s="45" t="s">
        <v>176</v>
      </c>
      <c r="AK6" s="45" t="s">
        <v>178</v>
      </c>
      <c r="AL6" s="46" t="s">
        <v>252</v>
      </c>
      <c r="AM6" s="46" t="s">
        <v>253</v>
      </c>
      <c r="AN6" s="46" t="s">
        <v>254</v>
      </c>
      <c r="AO6" s="46" t="s">
        <v>255</v>
      </c>
      <c r="AP6" s="46" t="s">
        <v>256</v>
      </c>
      <c r="AQ6" s="46" t="s">
        <v>257</v>
      </c>
      <c r="AR6" s="47"/>
      <c r="AT6" s="48"/>
    </row>
    <row r="7" customFormat="false" ht="12.75" hidden="false" customHeight="false" outlineLevel="0" collapsed="false">
      <c r="B7" s="49" t="s">
        <v>258</v>
      </c>
      <c r="C7" s="50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2"/>
    </row>
    <row r="8" customFormat="false" ht="12.75" hidden="false" customHeight="false" outlineLevel="0" collapsed="false">
      <c r="A8" s="53" t="s">
        <v>188</v>
      </c>
      <c r="B8" s="54" t="s">
        <v>111</v>
      </c>
      <c r="C8" s="55" t="s">
        <v>112</v>
      </c>
      <c r="D8" s="56" t="n">
        <v>1378.33527969497</v>
      </c>
      <c r="E8" s="56" t="n">
        <v>0.322282407975148</v>
      </c>
      <c r="F8" s="56" t="n">
        <v>115.257784398727</v>
      </c>
      <c r="G8" s="56" t="n">
        <v>17.0842520343092</v>
      </c>
      <c r="H8" s="56" t="n">
        <v>1.65135466205815</v>
      </c>
      <c r="I8" s="56" t="n">
        <v>0.00894729804456328</v>
      </c>
      <c r="J8" s="56" t="n">
        <v>0.0761017592822565</v>
      </c>
      <c r="K8" s="56" t="n">
        <v>0.243832697104019</v>
      </c>
      <c r="L8" s="56" t="n">
        <v>0.118981012047428</v>
      </c>
      <c r="M8" s="56" t="n">
        <v>0.0550096284242812</v>
      </c>
      <c r="N8" s="56" t="n">
        <v>0.200308184911179</v>
      </c>
      <c r="O8" s="56" t="n">
        <v>0.0451417712322226</v>
      </c>
      <c r="P8" s="56" t="n">
        <v>0</v>
      </c>
      <c r="Q8" s="56" t="n">
        <v>0</v>
      </c>
      <c r="R8" s="56" t="n">
        <v>0</v>
      </c>
      <c r="S8" s="56" t="n">
        <v>0</v>
      </c>
      <c r="T8" s="56" t="n">
        <v>0</v>
      </c>
      <c r="U8" s="56" t="n">
        <v>0.173822102534418</v>
      </c>
      <c r="V8" s="56" t="n">
        <v>0</v>
      </c>
      <c r="W8" s="56" t="n">
        <v>0.979749361137364</v>
      </c>
      <c r="X8" s="56" t="n">
        <v>0.136267310954272</v>
      </c>
      <c r="Y8" s="56" t="n">
        <v>12.3420672923117</v>
      </c>
      <c r="Z8" s="56" t="n">
        <v>0</v>
      </c>
      <c r="AA8" s="56" t="n">
        <v>0</v>
      </c>
      <c r="AB8" s="56" t="n">
        <v>0</v>
      </c>
      <c r="AC8" s="56" t="n">
        <v>0</v>
      </c>
      <c r="AD8" s="56" t="n">
        <v>0</v>
      </c>
      <c r="AE8" s="56" t="n">
        <v>0</v>
      </c>
      <c r="AF8" s="56" t="n">
        <v>0.27517007745739</v>
      </c>
      <c r="AG8" s="56" t="n">
        <v>0.211895278481323</v>
      </c>
      <c r="AH8" s="56" t="n">
        <v>20.8883288467231</v>
      </c>
      <c r="AI8" s="56" t="n">
        <v>10.6399641883318</v>
      </c>
      <c r="AJ8" s="56" t="n">
        <v>11.9988168839072</v>
      </c>
      <c r="AK8" s="56" t="n">
        <v>0.0712956471050721</v>
      </c>
      <c r="AL8" s="57" t="n">
        <v>1088.37740809234</v>
      </c>
      <c r="AM8" s="57" t="n">
        <v>0.0750406744194562</v>
      </c>
      <c r="AN8" s="57" t="n">
        <v>10.1120535087337</v>
      </c>
      <c r="AO8" s="57" t="n">
        <v>10.7859404429387</v>
      </c>
      <c r="AP8" s="57" t="n">
        <v>-6.41437274545767</v>
      </c>
      <c r="AQ8" s="57" t="n">
        <v>380.415251549115</v>
      </c>
      <c r="AR8" s="58" t="n">
        <v>3054.46797406012</v>
      </c>
      <c r="AT8" s="22" t="n">
        <v>1483.35132152209</v>
      </c>
      <c r="AV8" s="43" t="n">
        <f aca="false" t="array" ref="AV8:AV41">MMULT(D265:AK298,AT8:AT41)</f>
        <v>3054.46797406013</v>
      </c>
      <c r="AW8" s="59" t="n">
        <f aca="false">AV8-AR8</f>
        <v>0</v>
      </c>
      <c r="AY8" s="19" t="n">
        <v>908.062139988137</v>
      </c>
      <c r="AZ8" s="60" t="n">
        <f aca="false">AY8/$AR8</f>
        <v>0.297289789154707</v>
      </c>
      <c r="BB8" s="19" t="s">
        <v>112</v>
      </c>
      <c r="BC8" s="19" t="s">
        <v>62</v>
      </c>
      <c r="BD8" s="19" t="n">
        <f aca="false">$AY8*BQ8/$BZ8</f>
        <v>87.8878022448806</v>
      </c>
      <c r="BE8" s="19" t="n">
        <f aca="false">$AY8*BR8/$BZ8</f>
        <v>209.991466432425</v>
      </c>
      <c r="BF8" s="19" t="n">
        <f aca="false">$AY8*BS8/$BZ8</f>
        <v>70.9475960869933</v>
      </c>
      <c r="BG8" s="19" t="n">
        <f aca="false">$AY8*BT8/$BZ8</f>
        <v>68.7671735122158</v>
      </c>
      <c r="BH8" s="19" t="n">
        <f aca="false">$AY8*BU8/$BZ8</f>
        <v>294.524772408417</v>
      </c>
      <c r="BI8" s="19" t="n">
        <f aca="false">$AY8*BV8/$BZ8</f>
        <v>97.9512910515464</v>
      </c>
      <c r="BJ8" s="19" t="n">
        <f aca="false">$AY8*BW8/$BZ8</f>
        <v>70.6121464601045</v>
      </c>
      <c r="BK8" s="19" t="n">
        <f aca="false">$AY8*BX8/$BZ8</f>
        <v>5.36719403022172</v>
      </c>
      <c r="BL8" s="19" t="n">
        <f aca="false">$AY8*BY8/$BZ8</f>
        <v>2.01269776133314</v>
      </c>
      <c r="BM8" s="19" t="n">
        <f aca="false">SUM(BD8:BL8)</f>
        <v>908.062139988137</v>
      </c>
      <c r="BO8" s="19" t="s">
        <v>112</v>
      </c>
      <c r="BP8" s="19" t="s">
        <v>111</v>
      </c>
      <c r="BQ8" s="19" t="n">
        <v>52400</v>
      </c>
      <c r="BR8" s="19" t="n">
        <v>125200</v>
      </c>
      <c r="BS8" s="19" t="n">
        <v>42300</v>
      </c>
      <c r="BT8" s="19" t="n">
        <v>41000</v>
      </c>
      <c r="BU8" s="19" t="n">
        <v>175600</v>
      </c>
      <c r="BV8" s="19" t="n">
        <v>58400</v>
      </c>
      <c r="BW8" s="19" t="n">
        <v>42100</v>
      </c>
      <c r="BX8" s="19" t="n">
        <v>3200</v>
      </c>
      <c r="BY8" s="19" t="n">
        <v>1200</v>
      </c>
      <c r="BZ8" s="19" t="n">
        <v>541400</v>
      </c>
      <c r="CB8" s="19" t="s">
        <v>112</v>
      </c>
      <c r="CC8" s="19" t="s">
        <v>111</v>
      </c>
      <c r="CD8" s="19" t="n">
        <f aca="false">BQ8/$AR8</f>
        <v>17.1551970572302</v>
      </c>
      <c r="CE8" s="19" t="n">
        <f aca="false">BR8/$AR8</f>
        <v>40.9891349535347</v>
      </c>
      <c r="CF8" s="19" t="n">
        <f aca="false">BS8/$AR8</f>
        <v>13.8485655633747</v>
      </c>
      <c r="CG8" s="19" t="n">
        <f aca="false">BT8/$AR8</f>
        <v>13.4229595295122</v>
      </c>
      <c r="CH8" s="19" t="n">
        <f aca="false">BU8/$AR8</f>
        <v>57.4895534971302</v>
      </c>
      <c r="CI8" s="19" t="n">
        <f aca="false">BV8/$AR8</f>
        <v>19.1195325981344</v>
      </c>
      <c r="CJ8" s="19" t="n">
        <f aca="false">BW8/$AR8</f>
        <v>13.7830877120113</v>
      </c>
      <c r="CK8" s="19" t="n">
        <f aca="false">BX8/$AR8</f>
        <v>1.04764562181558</v>
      </c>
      <c r="CL8" s="19" t="n">
        <f aca="false">BY8/$AR8</f>
        <v>0.392867108180844</v>
      </c>
      <c r="CM8" s="19" t="n">
        <f aca="false">BZ8/$AR8</f>
        <v>177.248543640924</v>
      </c>
      <c r="CO8" s="19" t="n">
        <v>1</v>
      </c>
      <c r="CP8" s="19" t="s">
        <v>208</v>
      </c>
      <c r="CQ8" s="19" t="n">
        <v>1912.09992504445</v>
      </c>
      <c r="CR8" s="19" t="n">
        <v>1350.7741981623</v>
      </c>
      <c r="CS8" s="19" t="n">
        <v>7117.8215054029</v>
      </c>
      <c r="CT8" s="19" t="n">
        <v>11933.1218865023</v>
      </c>
      <c r="CU8" s="19" t="n">
        <v>432.855331999285</v>
      </c>
      <c r="CW8" s="19" t="n">
        <v>1</v>
      </c>
      <c r="CX8" s="19" t="s">
        <v>208</v>
      </c>
      <c r="CY8" s="60" t="n">
        <f aca="false">CQ8/$AR8</f>
        <v>0.626000973420852</v>
      </c>
      <c r="CZ8" s="60" t="n">
        <f aca="false">CR8/$AR8</f>
        <v>0.442228960864433</v>
      </c>
      <c r="DA8" s="60" t="n">
        <f aca="false">CS8/$AR8</f>
        <v>2.33029829281255</v>
      </c>
      <c r="DB8" s="60" t="n">
        <f aca="false">CT8/$AR8</f>
        <v>3.90677590593308</v>
      </c>
      <c r="DC8" s="60" t="n">
        <f aca="false">CU8/$AR8</f>
        <v>0.141712185452682</v>
      </c>
    </row>
    <row r="9" customFormat="false" ht="12.75" hidden="false" customHeight="false" outlineLevel="0" collapsed="false">
      <c r="A9" s="53" t="s">
        <v>189</v>
      </c>
      <c r="B9" s="54" t="s">
        <v>113</v>
      </c>
      <c r="C9" s="55" t="s">
        <v>114</v>
      </c>
      <c r="D9" s="56" t="n">
        <v>0.00285081892595523</v>
      </c>
      <c r="E9" s="56" t="n">
        <v>4.61432579809229</v>
      </c>
      <c r="F9" s="56" t="n">
        <v>2.88640940549988</v>
      </c>
      <c r="G9" s="56" t="n">
        <v>0.304167234759272</v>
      </c>
      <c r="H9" s="56" t="n">
        <v>0.0321049052150145</v>
      </c>
      <c r="I9" s="56" t="n">
        <v>0.00285544543812887</v>
      </c>
      <c r="J9" s="56" t="n">
        <v>0.0232183483324798</v>
      </c>
      <c r="K9" s="56" t="n">
        <v>8.3909665444743</v>
      </c>
      <c r="L9" s="56" t="n">
        <v>3.8761457758398</v>
      </c>
      <c r="M9" s="56" t="n">
        <v>1.88261298512377</v>
      </c>
      <c r="N9" s="56" t="n">
        <v>6.85521427325087</v>
      </c>
      <c r="O9" s="56" t="n">
        <v>13.9596505041324</v>
      </c>
      <c r="P9" s="56" t="n">
        <v>0.984807478978974</v>
      </c>
      <c r="Q9" s="56" t="n">
        <v>0.223469569177805</v>
      </c>
      <c r="R9" s="56" t="n">
        <v>0.568057026603702</v>
      </c>
      <c r="S9" s="56" t="n">
        <v>0.971882207376121</v>
      </c>
      <c r="T9" s="56" t="n">
        <v>22.1303856556828</v>
      </c>
      <c r="U9" s="56" t="n">
        <v>13.9592920717739</v>
      </c>
      <c r="V9" s="56" t="n">
        <v>0.225762869769232</v>
      </c>
      <c r="W9" s="56" t="n">
        <v>0.0962737802545995</v>
      </c>
      <c r="X9" s="56" t="n">
        <v>0.458715014087879</v>
      </c>
      <c r="Y9" s="56" t="n">
        <v>0.17408475637672</v>
      </c>
      <c r="Z9" s="56" t="n">
        <v>0.668301108355505</v>
      </c>
      <c r="AA9" s="56" t="n">
        <v>0.006448892863931</v>
      </c>
      <c r="AB9" s="56" t="n">
        <v>0.0344740383504948</v>
      </c>
      <c r="AC9" s="56" t="n">
        <v>0.202730067218165</v>
      </c>
      <c r="AD9" s="56" t="n">
        <v>0.511368901695006</v>
      </c>
      <c r="AE9" s="56" t="n">
        <v>0</v>
      </c>
      <c r="AF9" s="56" t="n">
        <v>0.0100269447809532</v>
      </c>
      <c r="AG9" s="56" t="n">
        <v>0.00772126924667495</v>
      </c>
      <c r="AH9" s="56" t="n">
        <v>1.7015230160893</v>
      </c>
      <c r="AI9" s="56" t="n">
        <v>5.76314696042707</v>
      </c>
      <c r="AJ9" s="56" t="n">
        <v>0.0427995366407999</v>
      </c>
      <c r="AK9" s="56" t="n">
        <v>0.148847657193479</v>
      </c>
      <c r="AL9" s="57" t="n">
        <v>25.2689084114791</v>
      </c>
      <c r="AM9" s="57" t="n">
        <v>0</v>
      </c>
      <c r="AN9" s="57" t="n">
        <v>0</v>
      </c>
      <c r="AO9" s="57" t="n">
        <v>3.70439222298374</v>
      </c>
      <c r="AP9" s="57" t="n">
        <v>-0.39176031210033</v>
      </c>
      <c r="AQ9" s="57" t="n">
        <v>25.1206909738394</v>
      </c>
      <c r="AR9" s="61" t="n">
        <v>145.422872158229</v>
      </c>
      <c r="AT9" s="22" t="n">
        <v>53.7022312962019</v>
      </c>
      <c r="AV9" s="43" t="n">
        <v>145.422872158229</v>
      </c>
      <c r="AW9" s="59" t="n">
        <f aca="false">AV9-AR9</f>
        <v>0</v>
      </c>
      <c r="AY9" s="19" t="n">
        <v>70.9807281169269</v>
      </c>
      <c r="AZ9" s="60" t="n">
        <f aca="false">AY9/$AR9</f>
        <v>0.488098791225189</v>
      </c>
      <c r="BB9" s="19" t="s">
        <v>114</v>
      </c>
      <c r="BC9" s="19" t="s">
        <v>113</v>
      </c>
      <c r="BD9" s="19" t="n">
        <f aca="false">$AY9*BQ9/$BZ9</f>
        <v>23.4739415819758</v>
      </c>
      <c r="BE9" s="19" t="n">
        <f aca="false">$AY9*BR9/$BZ9</f>
        <v>7.82464719399194</v>
      </c>
      <c r="BF9" s="19" t="n">
        <f aca="false">$AY9*BS9/$BZ9</f>
        <v>11.7369707909879</v>
      </c>
      <c r="BG9" s="19" t="n">
        <f aca="false">$AY9*BT9/$BZ9</f>
        <v>18.443811242981</v>
      </c>
      <c r="BH9" s="19" t="n">
        <f aca="false">$AY9*BU9/$BZ9</f>
        <v>0</v>
      </c>
      <c r="BI9" s="19" t="n">
        <f aca="false">$AY9*BV9/$BZ9</f>
        <v>0.558903370999424</v>
      </c>
      <c r="BJ9" s="19" t="n">
        <f aca="false">$AY9*BW9/$BZ9</f>
        <v>8.94245393599079</v>
      </c>
      <c r="BK9" s="19" t="n">
        <f aca="false">$AY9*BX9/$BZ9</f>
        <v>0</v>
      </c>
      <c r="BL9" s="19" t="n">
        <f aca="false">$AY9*BY9/$BZ9</f>
        <v>0</v>
      </c>
      <c r="BM9" s="19" t="n">
        <f aca="false">SUM(BD9:BL9)</f>
        <v>70.9807281169269</v>
      </c>
      <c r="BO9" s="19" t="s">
        <v>114</v>
      </c>
      <c r="BP9" s="19" t="s">
        <v>113</v>
      </c>
      <c r="BQ9" s="19" t="n">
        <v>4200</v>
      </c>
      <c r="BR9" s="19" t="n">
        <v>1400</v>
      </c>
      <c r="BS9" s="19" t="n">
        <v>2100</v>
      </c>
      <c r="BT9" s="19" t="n">
        <v>3300</v>
      </c>
      <c r="BU9" s="19" t="n">
        <v>0</v>
      </c>
      <c r="BV9" s="19" t="n">
        <v>100</v>
      </c>
      <c r="BW9" s="19" t="n">
        <v>1600</v>
      </c>
      <c r="BX9" s="19" t="n">
        <v>0</v>
      </c>
      <c r="BY9" s="19" t="n">
        <v>0</v>
      </c>
      <c r="BZ9" s="19" t="n">
        <v>12700</v>
      </c>
      <c r="CB9" s="19" t="s">
        <v>114</v>
      </c>
      <c r="CC9" s="19" t="s">
        <v>113</v>
      </c>
      <c r="CD9" s="19" t="n">
        <f aca="false">BQ9/$AR9</f>
        <v>28.8812890136714</v>
      </c>
      <c r="CE9" s="19" t="n">
        <f aca="false">BR9/$AR9</f>
        <v>9.62709633789045</v>
      </c>
      <c r="CF9" s="19" t="n">
        <f aca="false">BS9/$AR9</f>
        <v>14.4406445068357</v>
      </c>
      <c r="CG9" s="19" t="n">
        <f aca="false">BT9/$AR9</f>
        <v>22.6924413678846</v>
      </c>
      <c r="CH9" s="19" t="n">
        <f aca="false">BU9/$AR9</f>
        <v>0</v>
      </c>
      <c r="CI9" s="19" t="n">
        <f aca="false">BV9/$AR9</f>
        <v>0.687649738420747</v>
      </c>
      <c r="CJ9" s="19" t="n">
        <f aca="false">BW9/$AR9</f>
        <v>11.0023958147319</v>
      </c>
      <c r="CK9" s="19" t="n">
        <f aca="false">BX9/$AR9</f>
        <v>0</v>
      </c>
      <c r="CL9" s="19" t="n">
        <f aca="false">BY9/$AR9</f>
        <v>0</v>
      </c>
      <c r="CM9" s="19" t="n">
        <f aca="false">BZ9/$AR9</f>
        <v>87.3315167794348</v>
      </c>
      <c r="CO9" s="19" t="n">
        <v>2</v>
      </c>
      <c r="CP9" s="19" t="s">
        <v>209</v>
      </c>
      <c r="CQ9" s="19" t="n">
        <v>147.723954992324</v>
      </c>
      <c r="CR9" s="19" t="n">
        <v>181.807869510856</v>
      </c>
      <c r="CS9" s="19" t="n">
        <v>0.220261948528099</v>
      </c>
      <c r="CT9" s="19" t="n">
        <v>0</v>
      </c>
      <c r="CU9" s="19" t="n">
        <v>3.05524703355594</v>
      </c>
      <c r="CW9" s="19" t="n">
        <v>2</v>
      </c>
      <c r="CX9" s="19" t="s">
        <v>209</v>
      </c>
      <c r="CY9" s="60" t="n">
        <f aca="false">CQ9/$AR9</f>
        <v>1.0158233900895</v>
      </c>
      <c r="CZ9" s="60" t="n">
        <f aca="false">CR9/$AR9</f>
        <v>1.25020133911973</v>
      </c>
      <c r="DA9" s="60" t="n">
        <f aca="false">CS9/$AR9</f>
        <v>0.00151463071289392</v>
      </c>
      <c r="DB9" s="60" t="n">
        <f aca="false">CT9/$AR9</f>
        <v>0</v>
      </c>
      <c r="DC9" s="60" t="n">
        <f aca="false">CU9/$AR9</f>
        <v>0.021009398234355</v>
      </c>
    </row>
    <row r="10" customFormat="false" ht="12.75" hidden="false" customHeight="false" outlineLevel="0" collapsed="false">
      <c r="A10" s="53" t="s">
        <v>190</v>
      </c>
      <c r="B10" s="54" t="s">
        <v>115</v>
      </c>
      <c r="C10" s="55" t="s">
        <v>116</v>
      </c>
      <c r="D10" s="56" t="n">
        <v>7.45460536272685</v>
      </c>
      <c r="E10" s="56" t="n">
        <v>0.175280783613574</v>
      </c>
      <c r="F10" s="56" t="n">
        <v>60.0778783490814</v>
      </c>
      <c r="G10" s="56" t="n">
        <v>0.952819968882647</v>
      </c>
      <c r="H10" s="56" t="n">
        <v>0.100570315577088</v>
      </c>
      <c r="I10" s="56" t="n">
        <v>0.000464142010552478</v>
      </c>
      <c r="J10" s="56" t="n">
        <v>0.0228844291322213</v>
      </c>
      <c r="K10" s="56" t="n">
        <v>2.24533054320383</v>
      </c>
      <c r="L10" s="56" t="n">
        <v>1.03702042368802</v>
      </c>
      <c r="M10" s="56" t="n">
        <v>0.487421300356004</v>
      </c>
      <c r="N10" s="56" t="n">
        <v>1.77486157892793</v>
      </c>
      <c r="O10" s="56" t="n">
        <v>1.33478840679046</v>
      </c>
      <c r="P10" s="56" t="n">
        <v>0.00366096584787062</v>
      </c>
      <c r="Q10" s="56" t="n">
        <v>0.000830735426224126</v>
      </c>
      <c r="R10" s="56" t="n">
        <v>0.00211171972027995</v>
      </c>
      <c r="S10" s="56" t="n">
        <v>0.00517967724404387</v>
      </c>
      <c r="T10" s="56" t="n">
        <v>1.37558394767386</v>
      </c>
      <c r="U10" s="56" t="n">
        <v>33.6396824643533</v>
      </c>
      <c r="V10" s="56" t="n">
        <v>0.00423425917062919</v>
      </c>
      <c r="W10" s="56" t="n">
        <v>4.50282371755045</v>
      </c>
      <c r="X10" s="56" t="n">
        <v>56.7105642880879</v>
      </c>
      <c r="Y10" s="56" t="n">
        <v>24.287438614919</v>
      </c>
      <c r="Z10" s="56" t="n">
        <v>2.96430790187794</v>
      </c>
      <c r="AA10" s="56" t="n">
        <v>0.0286046272195401</v>
      </c>
      <c r="AB10" s="56" t="n">
        <v>0.152912606330218</v>
      </c>
      <c r="AC10" s="56" t="n">
        <v>0.899226909381948</v>
      </c>
      <c r="AD10" s="56" t="n">
        <v>4.04870252771003</v>
      </c>
      <c r="AE10" s="56" t="n">
        <v>0.304550386203736</v>
      </c>
      <c r="AF10" s="56" t="n">
        <v>5.29248214233768</v>
      </c>
      <c r="AG10" s="56" t="n">
        <v>4.07548665091219</v>
      </c>
      <c r="AH10" s="56" t="n">
        <v>21.267982720827</v>
      </c>
      <c r="AI10" s="56" t="n">
        <v>10.0097579254221</v>
      </c>
      <c r="AJ10" s="56" t="n">
        <v>6.19449844627142</v>
      </c>
      <c r="AK10" s="56" t="n">
        <v>2.33364262021087</v>
      </c>
      <c r="AL10" s="57" t="n">
        <v>322.937879669506</v>
      </c>
      <c r="AM10" s="57" t="n">
        <v>0.494578348464057</v>
      </c>
      <c r="AN10" s="57" t="n">
        <v>0</v>
      </c>
      <c r="AO10" s="57" t="n">
        <v>24.0040335708438</v>
      </c>
      <c r="AP10" s="57" t="n">
        <v>16.3767463023523</v>
      </c>
      <c r="AQ10" s="57" t="n">
        <v>25.4359177032996</v>
      </c>
      <c r="AR10" s="61" t="n">
        <v>643.017347053155</v>
      </c>
      <c r="AT10" s="22" t="n">
        <v>389.249155594466</v>
      </c>
      <c r="AV10" s="43" t="n">
        <v>643.017347053155</v>
      </c>
      <c r="AW10" s="59" t="n">
        <f aca="false">AV10-AR10</f>
        <v>0</v>
      </c>
      <c r="AY10" s="19" t="n">
        <v>174.128158049606</v>
      </c>
      <c r="AZ10" s="60" t="n">
        <f aca="false">AY10/$AR10</f>
        <v>0.270798538869297</v>
      </c>
      <c r="BB10" s="19" t="s">
        <v>116</v>
      </c>
      <c r="BC10" s="19" t="s">
        <v>115</v>
      </c>
      <c r="BD10" s="19" t="n">
        <f aca="false">$AY10*BQ10/$BZ10</f>
        <v>6.17684344432724</v>
      </c>
      <c r="BE10" s="19" t="n">
        <f aca="false">$AY10*BR10/$BZ10</f>
        <v>24.9279753288921</v>
      </c>
      <c r="BF10" s="19" t="n">
        <f aca="false">$AY10*BS10/$BZ10</f>
        <v>7.50045275382594</v>
      </c>
      <c r="BG10" s="19" t="n">
        <f aca="false">$AY10*BT10/$BZ10</f>
        <v>1.47067701055411</v>
      </c>
      <c r="BH10" s="19" t="n">
        <f aca="false">$AY10*BU10/$BZ10</f>
        <v>18.456996482454</v>
      </c>
      <c r="BI10" s="19" t="n">
        <f aca="false">$AY10*BV10/$BZ10</f>
        <v>2.94135402110821</v>
      </c>
      <c r="BJ10" s="19" t="n">
        <f aca="false">$AY10*BW10/$BZ10</f>
        <v>52.9443723799478</v>
      </c>
      <c r="BK10" s="19" t="n">
        <f aca="false">$AY10*BX10/$BZ10</f>
        <v>54.0473801378634</v>
      </c>
      <c r="BL10" s="19" t="n">
        <f aca="false">$AY10*BY10/$BZ10</f>
        <v>5.6621064906333</v>
      </c>
      <c r="BM10" s="19" t="n">
        <f aca="false">SUM(BD10:BL10)</f>
        <v>174.128158049606</v>
      </c>
      <c r="BO10" s="19" t="s">
        <v>116</v>
      </c>
      <c r="BP10" s="19" t="s">
        <v>115</v>
      </c>
      <c r="BQ10" s="19" t="n">
        <v>1314.78060931213</v>
      </c>
      <c r="BR10" s="19" t="n">
        <v>5306.0788875811</v>
      </c>
      <c r="BS10" s="19" t="n">
        <v>1596.51931130759</v>
      </c>
      <c r="BT10" s="19" t="n">
        <v>313.043002217174</v>
      </c>
      <c r="BU10" s="19" t="n">
        <v>3928.68967782553</v>
      </c>
      <c r="BV10" s="19" t="n">
        <v>626.086004434348</v>
      </c>
      <c r="BW10" s="19" t="n">
        <v>11269.5480798183</v>
      </c>
      <c r="BX10" s="19" t="n">
        <v>11504.3303314811</v>
      </c>
      <c r="BY10" s="19" t="n">
        <v>1205.21555853612</v>
      </c>
      <c r="BZ10" s="19" t="n">
        <v>37064.2914625134</v>
      </c>
      <c r="CB10" s="19" t="s">
        <v>116</v>
      </c>
      <c r="CC10" s="19" t="s">
        <v>115</v>
      </c>
      <c r="CD10" s="19" t="n">
        <f aca="false">BQ10/$AR10</f>
        <v>2.04470472738809</v>
      </c>
      <c r="CE10" s="19" t="n">
        <f aca="false">BR10/$AR10</f>
        <v>8.25184407838763</v>
      </c>
      <c r="CF10" s="19" t="n">
        <f aca="false">BS10/$AR10</f>
        <v>2.48285574039982</v>
      </c>
      <c r="CG10" s="19" t="n">
        <f aca="false">BT10/$AR10</f>
        <v>0.486834458901925</v>
      </c>
      <c r="CH10" s="19" t="n">
        <f aca="false">BU10/$AR10</f>
        <v>6.10977245921916</v>
      </c>
      <c r="CI10" s="19" t="n">
        <f aca="false">BV10/$AR10</f>
        <v>0.973668917803851</v>
      </c>
      <c r="CJ10" s="19" t="n">
        <f aca="false">BW10/$AR10</f>
        <v>17.5260405204693</v>
      </c>
      <c r="CK10" s="19" t="n">
        <f aca="false">BX10/$AR10</f>
        <v>17.8911663646458</v>
      </c>
      <c r="CL10" s="19" t="n">
        <f aca="false">BY10/$AR10</f>
        <v>1.87431266677241</v>
      </c>
      <c r="CM10" s="19" t="n">
        <f aca="false">BZ10/$AR10</f>
        <v>57.6411999339879</v>
      </c>
      <c r="CO10" s="19" t="n">
        <v>3</v>
      </c>
      <c r="CP10" s="19" t="s">
        <v>210</v>
      </c>
      <c r="CQ10" s="19" t="n">
        <v>736.616036330329</v>
      </c>
      <c r="CR10" s="19" t="n">
        <v>280.608863962536</v>
      </c>
      <c r="CS10" s="19" t="n">
        <v>1.18781403471344</v>
      </c>
      <c r="CT10" s="19" t="n">
        <v>0</v>
      </c>
      <c r="CU10" s="19" t="n">
        <v>16.4761336682327</v>
      </c>
      <c r="CW10" s="19" t="n">
        <v>3</v>
      </c>
      <c r="CX10" s="19" t="s">
        <v>210</v>
      </c>
      <c r="CY10" s="60" t="n">
        <f aca="false">CQ10/$AR10</f>
        <v>1.14556168617553</v>
      </c>
      <c r="CZ10" s="60" t="n">
        <f aca="false">CR10/$AR10</f>
        <v>0.436393925060532</v>
      </c>
      <c r="DA10" s="60" t="n">
        <f aca="false">CS10/$AR10</f>
        <v>0.00184725037381495</v>
      </c>
      <c r="DB10" s="60" t="n">
        <f aca="false">CT10/$AR10</f>
        <v>0</v>
      </c>
      <c r="DC10" s="60" t="n">
        <f aca="false">CU10/$AR10</f>
        <v>0.0256231558040232</v>
      </c>
    </row>
    <row r="11" customFormat="false" ht="12.75" hidden="false" customHeight="false" outlineLevel="0" collapsed="false">
      <c r="A11" s="53" t="s">
        <v>191</v>
      </c>
      <c r="B11" s="54" t="s">
        <v>117</v>
      </c>
      <c r="C11" s="55" t="s">
        <v>118</v>
      </c>
      <c r="D11" s="56" t="n">
        <v>0.00191795638506608</v>
      </c>
      <c r="E11" s="56" t="n">
        <v>0.0356430248844623</v>
      </c>
      <c r="F11" s="56" t="n">
        <v>0.282272466634404</v>
      </c>
      <c r="G11" s="56" t="n">
        <v>3.34714718613033</v>
      </c>
      <c r="H11" s="56" t="n">
        <v>0.378454627040112</v>
      </c>
      <c r="I11" s="56" t="n">
        <v>0.00659826846937005</v>
      </c>
      <c r="J11" s="56" t="n">
        <v>0.0841927352440277</v>
      </c>
      <c r="K11" s="56" t="n">
        <v>0.776818050152607</v>
      </c>
      <c r="L11" s="56" t="n">
        <v>0.358778437293378</v>
      </c>
      <c r="M11" s="56" t="n">
        <v>0.0676179103016141</v>
      </c>
      <c r="N11" s="56" t="n">
        <v>0.24621909414725</v>
      </c>
      <c r="O11" s="56" t="n">
        <v>0.230214395406632</v>
      </c>
      <c r="P11" s="56" t="n">
        <v>0.0999972804888912</v>
      </c>
      <c r="Q11" s="56" t="n">
        <v>0.0226910839598546</v>
      </c>
      <c r="R11" s="56" t="n">
        <v>0.057680469569412</v>
      </c>
      <c r="S11" s="56" t="n">
        <v>0.247378294365777</v>
      </c>
      <c r="T11" s="56" t="n">
        <v>0.128329441242398</v>
      </c>
      <c r="U11" s="56" t="n">
        <v>0.0242550609983154</v>
      </c>
      <c r="V11" s="56" t="n">
        <v>0.00350124389475846</v>
      </c>
      <c r="W11" s="56" t="n">
        <v>0.0261204923466606</v>
      </c>
      <c r="X11" s="56" t="n">
        <v>0.221328816020591</v>
      </c>
      <c r="Y11" s="56" t="n">
        <v>0.983369138814533</v>
      </c>
      <c r="Z11" s="56" t="n">
        <v>0.0700453621661673</v>
      </c>
      <c r="AA11" s="56" t="n">
        <v>0.000675915437782825</v>
      </c>
      <c r="AB11" s="56" t="n">
        <v>0.00361326125514401</v>
      </c>
      <c r="AC11" s="56" t="n">
        <v>0.0212483576680138</v>
      </c>
      <c r="AD11" s="56" t="n">
        <v>0.0770142891790007</v>
      </c>
      <c r="AE11" s="56" t="n">
        <v>0.00117008381216625</v>
      </c>
      <c r="AF11" s="56" t="n">
        <v>0.0455374737634383</v>
      </c>
      <c r="AG11" s="56" t="n">
        <v>0.0350662244005577</v>
      </c>
      <c r="AH11" s="56" t="n">
        <v>0.789317750249061</v>
      </c>
      <c r="AI11" s="56" t="n">
        <v>0.442808336645129</v>
      </c>
      <c r="AJ11" s="56" t="n">
        <v>0.563760935398841</v>
      </c>
      <c r="AK11" s="56" t="n">
        <v>0.393997167846027</v>
      </c>
      <c r="AL11" s="57" t="n">
        <v>84.964620207046</v>
      </c>
      <c r="AM11" s="57" t="n">
        <v>0.38056022952391</v>
      </c>
      <c r="AN11" s="57" t="n">
        <v>0</v>
      </c>
      <c r="AO11" s="57" t="n">
        <v>0.105114890184802</v>
      </c>
      <c r="AP11" s="57" t="n">
        <v>1.16520323488674</v>
      </c>
      <c r="AQ11" s="57" t="n">
        <v>31.6205538340278</v>
      </c>
      <c r="AR11" s="61" t="n">
        <v>128.310833027281</v>
      </c>
      <c r="AT11" s="22" t="n">
        <v>118.236052395669</v>
      </c>
      <c r="AV11" s="43" t="n">
        <v>128.310833027281</v>
      </c>
      <c r="AW11" s="59" t="n">
        <f aca="false">AV11-AR11</f>
        <v>0</v>
      </c>
      <c r="AY11" s="19" t="n">
        <v>41.3085218587135</v>
      </c>
      <c r="AZ11" s="60" t="n">
        <f aca="false">AY11/$AR11</f>
        <v>0.32194103088654</v>
      </c>
      <c r="BB11" s="19" t="s">
        <v>118</v>
      </c>
      <c r="BC11" s="19" t="s">
        <v>259</v>
      </c>
      <c r="BD11" s="19" t="n">
        <f aca="false">$AY11*BQ11/$BZ11</f>
        <v>1.46533607944761</v>
      </c>
      <c r="BE11" s="19" t="n">
        <f aca="false">$AY11*BR11/$BZ11</f>
        <v>5.91367774919927</v>
      </c>
      <c r="BF11" s="19" t="n">
        <f aca="false">$AY11*BS11/$BZ11</f>
        <v>1.77933666790067</v>
      </c>
      <c r="BG11" s="19" t="n">
        <f aca="false">$AY11*BT11/$BZ11</f>
        <v>0.348889542725621</v>
      </c>
      <c r="BH11" s="19" t="n">
        <f aca="false">$AY11*BU11/$BZ11</f>
        <v>4.37856376120654</v>
      </c>
      <c r="BI11" s="19" t="n">
        <f aca="false">$AY11*BV11/$BZ11</f>
        <v>0.697779085451242</v>
      </c>
      <c r="BJ11" s="19" t="n">
        <f aca="false">$AY11*BW11/$BZ11</f>
        <v>12.5600235381224</v>
      </c>
      <c r="BK11" s="19" t="n">
        <f aca="false">$AY11*BX11/$BZ11</f>
        <v>12.8216906951666</v>
      </c>
      <c r="BL11" s="19" t="n">
        <f aca="false">$AY11*BY11/$BZ11</f>
        <v>1.34322473949364</v>
      </c>
      <c r="BM11" s="19" t="n">
        <f aca="false">SUM(BD11:BL11)</f>
        <v>41.3085218587135</v>
      </c>
      <c r="BO11" s="19" t="s">
        <v>118</v>
      </c>
      <c r="BP11" s="19" t="s">
        <v>117</v>
      </c>
      <c r="BQ11" s="19" t="n">
        <v>311.906150892094</v>
      </c>
      <c r="BR11" s="19" t="n">
        <v>1258.76410895738</v>
      </c>
      <c r="BS11" s="19" t="n">
        <v>378.743183226114</v>
      </c>
      <c r="BT11" s="19" t="n">
        <v>74.2633692600224</v>
      </c>
      <c r="BU11" s="19" t="n">
        <v>932.005284213281</v>
      </c>
      <c r="BV11" s="19" t="n">
        <v>148.526738520045</v>
      </c>
      <c r="BW11" s="19" t="n">
        <v>2673.48129336081</v>
      </c>
      <c r="BX11" s="19" t="n">
        <v>2729.17882030582</v>
      </c>
      <c r="BY11" s="19" t="n">
        <v>285.913971651086</v>
      </c>
      <c r="BZ11" s="19" t="n">
        <v>8792.78292038665</v>
      </c>
      <c r="CB11" s="19" t="s">
        <v>118</v>
      </c>
      <c r="CC11" s="19" t="s">
        <v>117</v>
      </c>
      <c r="CD11" s="19" t="n">
        <f aca="false">BQ11/$AR11</f>
        <v>2.4308637356113</v>
      </c>
      <c r="CE11" s="19" t="n">
        <f aca="false">BR11/$AR11</f>
        <v>9.81027150443132</v>
      </c>
      <c r="CF11" s="19" t="n">
        <f aca="false">BS11/$AR11</f>
        <v>2.95176310752801</v>
      </c>
      <c r="CG11" s="19" t="n">
        <f aca="false">BT11/$AR11</f>
        <v>0.578777079907452</v>
      </c>
      <c r="CH11" s="19" t="n">
        <f aca="false">BU11/$AR11</f>
        <v>7.26365235283853</v>
      </c>
      <c r="CI11" s="19" t="n">
        <f aca="false">BV11/$AR11</f>
        <v>1.1575541598149</v>
      </c>
      <c r="CJ11" s="19" t="n">
        <f aca="false">BW11/$AR11</f>
        <v>20.8359748766683</v>
      </c>
      <c r="CK11" s="19" t="n">
        <f aca="false">BX11/$AR11</f>
        <v>21.2700576865989</v>
      </c>
      <c r="CL11" s="19" t="n">
        <f aca="false">BY11/$AR11</f>
        <v>2.22829175764369</v>
      </c>
      <c r="CM11" s="19" t="n">
        <f aca="false">BZ11/$AR11</f>
        <v>68.5272062610423</v>
      </c>
      <c r="CO11" s="19" t="n">
        <v>4</v>
      </c>
      <c r="CP11" s="19" t="s">
        <v>211</v>
      </c>
      <c r="CQ11" s="19" t="n">
        <v>257.577016747075</v>
      </c>
      <c r="CR11" s="19" t="n">
        <v>63.0246127538948</v>
      </c>
      <c r="CS11" s="19" t="n">
        <v>0.484474205970995</v>
      </c>
      <c r="CT11" s="19" t="n">
        <v>0</v>
      </c>
      <c r="CU11" s="19" t="n">
        <v>6.72012751416488</v>
      </c>
      <c r="CW11" s="19" t="n">
        <v>4</v>
      </c>
      <c r="CX11" s="19" t="s">
        <v>211</v>
      </c>
      <c r="CY11" s="60" t="n">
        <f aca="false">CQ11/$AR11</f>
        <v>2.00744559652504</v>
      </c>
      <c r="CZ11" s="60" t="n">
        <f aca="false">CR11/$AR11</f>
        <v>0.49118699697394</v>
      </c>
      <c r="DA11" s="60" t="n">
        <f aca="false">CS11/$AR11</f>
        <v>0.00377578568029394</v>
      </c>
      <c r="DB11" s="60" t="n">
        <f aca="false">CT11/$AR11</f>
        <v>0</v>
      </c>
      <c r="DC11" s="60" t="n">
        <f aca="false">CU11/$AR11</f>
        <v>0.0523738125270847</v>
      </c>
    </row>
    <row r="12" customFormat="false" ht="12.75" hidden="false" customHeight="false" outlineLevel="0" collapsed="false">
      <c r="A12" s="53" t="n">
        <v>19</v>
      </c>
      <c r="B12" s="54" t="s">
        <v>119</v>
      </c>
      <c r="C12" s="55" t="s">
        <v>120</v>
      </c>
      <c r="D12" s="56" t="n">
        <v>0.000202853499348234</v>
      </c>
      <c r="E12" s="56" t="n">
        <v>0.00376980017974719</v>
      </c>
      <c r="F12" s="56" t="n">
        <v>0.029854671395186</v>
      </c>
      <c r="G12" s="56" t="n">
        <v>0.379226461580674</v>
      </c>
      <c r="H12" s="56" t="n">
        <v>0.0400274198294517</v>
      </c>
      <c r="I12" s="56" t="n">
        <v>0.000697868762330964</v>
      </c>
      <c r="J12" s="56" t="n">
        <v>0.00890468161681479</v>
      </c>
      <c r="K12" s="56" t="n">
        <v>0.082160502218563</v>
      </c>
      <c r="L12" s="56" t="n">
        <v>0.0379463589799751</v>
      </c>
      <c r="M12" s="56" t="n">
        <v>0.0071516379778495</v>
      </c>
      <c r="N12" s="56" t="n">
        <v>0.0260414706210334</v>
      </c>
      <c r="O12" s="56" t="n">
        <v>0.0243487266301756</v>
      </c>
      <c r="P12" s="56" t="n">
        <v>0.0105762562852959</v>
      </c>
      <c r="Q12" s="56" t="n">
        <v>0.00239993245993575</v>
      </c>
      <c r="R12" s="56" t="n">
        <v>0.00610060019472312</v>
      </c>
      <c r="S12" s="56" t="n">
        <v>0.0261640739412156</v>
      </c>
      <c r="T12" s="56" t="n">
        <v>0.013572819709624</v>
      </c>
      <c r="U12" s="56" t="n">
        <v>0.00256534717823816</v>
      </c>
      <c r="V12" s="56" t="n">
        <v>0.000370310598120782</v>
      </c>
      <c r="W12" s="56" t="n">
        <v>0.00276264534401096</v>
      </c>
      <c r="X12" s="56" t="n">
        <v>0.0234089394242569</v>
      </c>
      <c r="Y12" s="56" t="n">
        <v>0.104006468819005</v>
      </c>
      <c r="Z12" s="56" t="n">
        <v>0.00740837849033356</v>
      </c>
      <c r="AA12" s="56" t="n">
        <v>7.14884931093025E-005</v>
      </c>
      <c r="AB12" s="56" t="n">
        <v>0.000382158163435036</v>
      </c>
      <c r="AC12" s="56" t="n">
        <v>0.00224734188009755</v>
      </c>
      <c r="AD12" s="56" t="n">
        <v>0.0081454501162908</v>
      </c>
      <c r="AE12" s="56" t="n">
        <v>0.000123754428242887</v>
      </c>
      <c r="AF12" s="56" t="n">
        <v>0.00481629091063696</v>
      </c>
      <c r="AG12" s="56" t="n">
        <v>0.00370879462326172</v>
      </c>
      <c r="AH12" s="56" t="n">
        <v>0.0834825384885809</v>
      </c>
      <c r="AI12" s="56" t="n">
        <v>0.0468338181871328</v>
      </c>
      <c r="AJ12" s="56" t="n">
        <v>0.0596264229113575</v>
      </c>
      <c r="AK12" s="56" t="n">
        <v>0.0416712834833869</v>
      </c>
      <c r="AL12" s="57" t="n">
        <v>8.98632036890616</v>
      </c>
      <c r="AM12" s="57" t="n">
        <v>0.0402501198008383</v>
      </c>
      <c r="AN12" s="57" t="n">
        <v>0</v>
      </c>
      <c r="AO12" s="57" t="n">
        <v>0.011117522522212</v>
      </c>
      <c r="AP12" s="57" t="n">
        <v>0.123268416245152</v>
      </c>
      <c r="AQ12" s="57" t="n">
        <v>3.34377152055206</v>
      </c>
      <c r="AR12" s="61" t="n">
        <v>13.5955055154479</v>
      </c>
      <c r="AT12" s="22" t="n">
        <v>12.5047279480264</v>
      </c>
      <c r="AV12" s="43" t="n">
        <v>13.5955055154478</v>
      </c>
      <c r="AW12" s="59" t="n">
        <f aca="false">AV12-AR12</f>
        <v>-5.6843418860808E-014</v>
      </c>
      <c r="AY12" s="19" t="n">
        <v>4.37695106106692</v>
      </c>
      <c r="AZ12" s="60" t="n">
        <f aca="false">AY12/$AR12</f>
        <v>0.32194103088654</v>
      </c>
      <c r="BB12" s="19" t="s">
        <v>120</v>
      </c>
      <c r="BC12" s="19" t="s">
        <v>260</v>
      </c>
      <c r="BD12" s="19" t="n">
        <f aca="false">$AY12*BQ12/$BZ12</f>
        <v>0.155263466693252</v>
      </c>
      <c r="BE12" s="19" t="n">
        <f aca="false">$AY12*BR12/$BZ12</f>
        <v>0.626598990583482</v>
      </c>
      <c r="BF12" s="19" t="n">
        <f aca="false">$AY12*BS12/$BZ12</f>
        <v>0.188534209556092</v>
      </c>
      <c r="BG12" s="19" t="n">
        <f aca="false">$AY12*BT12/$BZ12</f>
        <v>0.036967492069822</v>
      </c>
      <c r="BH12" s="19" t="n">
        <f aca="false">$AY12*BU12/$BZ12</f>
        <v>0.463942025476265</v>
      </c>
      <c r="BI12" s="19" t="n">
        <f aca="false">$AY12*BV12/$BZ12</f>
        <v>0.0739349841396439</v>
      </c>
      <c r="BJ12" s="19" t="n">
        <f aca="false">$AY12*BW12/$BZ12</f>
        <v>1.33082971451359</v>
      </c>
      <c r="BK12" s="19" t="n">
        <f aca="false">$AY12*BX12/$BZ12</f>
        <v>1.35855533356596</v>
      </c>
      <c r="BL12" s="19" t="n">
        <f aca="false">$AY12*BY12/$BZ12</f>
        <v>0.142324844468815</v>
      </c>
      <c r="BM12" s="19" t="n">
        <f aca="false">SUM(BD12:BL12)</f>
        <v>4.37695106106692</v>
      </c>
      <c r="BO12" s="19" t="s">
        <v>120</v>
      </c>
      <c r="BP12" s="19" t="s">
        <v>119</v>
      </c>
      <c r="BQ12" s="19" t="n">
        <v>33.0488213248056</v>
      </c>
      <c r="BR12" s="19" t="n">
        <v>133.375600346537</v>
      </c>
      <c r="BS12" s="19" t="n">
        <v>40.1307116086925</v>
      </c>
      <c r="BT12" s="19" t="n">
        <v>7.86876698209658</v>
      </c>
      <c r="BU12" s="19" t="n">
        <v>98.753025625312</v>
      </c>
      <c r="BV12" s="19" t="n">
        <v>15.7375339641932</v>
      </c>
      <c r="BW12" s="19" t="n">
        <v>283.275611355477</v>
      </c>
      <c r="BX12" s="19" t="n">
        <v>289.177186592049</v>
      </c>
      <c r="BY12" s="19" t="n">
        <v>30.2947528810718</v>
      </c>
      <c r="BZ12" s="19" t="n">
        <v>931.662010680235</v>
      </c>
      <c r="CB12" s="19" t="s">
        <v>120</v>
      </c>
      <c r="CC12" s="19" t="s">
        <v>119</v>
      </c>
      <c r="CD12" s="19" t="n">
        <f aca="false">BQ12/$AR12</f>
        <v>2.4308637356113</v>
      </c>
      <c r="CE12" s="19" t="n">
        <f aca="false">BR12/$AR12</f>
        <v>9.81027150443132</v>
      </c>
      <c r="CF12" s="19" t="n">
        <f aca="false">BS12/$AR12</f>
        <v>2.95176310752801</v>
      </c>
      <c r="CG12" s="19" t="n">
        <f aca="false">BT12/$AR12</f>
        <v>0.578777079907452</v>
      </c>
      <c r="CH12" s="19" t="n">
        <f aca="false">BU12/$AR12</f>
        <v>7.26365235283853</v>
      </c>
      <c r="CI12" s="19" t="n">
        <f aca="false">BV12/$AR12</f>
        <v>1.1575541598149</v>
      </c>
      <c r="CJ12" s="19" t="n">
        <f aca="false">BW12/$AR12</f>
        <v>20.8359748766683</v>
      </c>
      <c r="CK12" s="19" t="n">
        <f aca="false">BX12/$AR12</f>
        <v>21.2700576865989</v>
      </c>
      <c r="CL12" s="19" t="n">
        <f aca="false">BY12/$AR12</f>
        <v>2.22829175764369</v>
      </c>
      <c r="CM12" s="19" t="n">
        <f aca="false">BZ12/$AR12</f>
        <v>68.5272062610424</v>
      </c>
      <c r="CO12" s="19" t="n">
        <v>5</v>
      </c>
      <c r="CP12" s="19" t="s">
        <v>212</v>
      </c>
      <c r="CQ12" s="19" t="n">
        <v>33.1072648182111</v>
      </c>
      <c r="CR12" s="19" t="n">
        <v>6.13926041371224</v>
      </c>
      <c r="CS12" s="19" t="n">
        <v>0.0654302411045681</v>
      </c>
      <c r="CT12" s="19" t="n">
        <v>0</v>
      </c>
      <c r="CU12" s="19" t="n">
        <v>0.907580957017089</v>
      </c>
      <c r="CW12" s="19" t="n">
        <v>5</v>
      </c>
      <c r="CX12" s="19" t="s">
        <v>212</v>
      </c>
      <c r="CY12" s="60" t="n">
        <f aca="false">CQ12/$AR12</f>
        <v>2.43516247193552</v>
      </c>
      <c r="CZ12" s="60" t="n">
        <f aca="false">CR12/$AR12</f>
        <v>0.451565438794205</v>
      </c>
      <c r="DA12" s="60" t="n">
        <f aca="false">CS12/$AR12</f>
        <v>0.0048126376051426</v>
      </c>
      <c r="DB12" s="60" t="n">
        <f aca="false">CT12/$AR12</f>
        <v>0</v>
      </c>
      <c r="DC12" s="60" t="n">
        <f aca="false">CU12/$AR12</f>
        <v>0.0667559551931226</v>
      </c>
    </row>
    <row r="13" customFormat="false" ht="12.75" hidden="false" customHeight="false" outlineLevel="0" collapsed="false">
      <c r="A13" s="53" t="n">
        <v>20</v>
      </c>
      <c r="B13" s="54" t="s">
        <v>121</v>
      </c>
      <c r="C13" s="55" t="s">
        <v>122</v>
      </c>
      <c r="D13" s="56" t="n">
        <v>0.000385175195341723</v>
      </c>
      <c r="E13" s="56" t="n">
        <v>0.00308337254576736</v>
      </c>
      <c r="F13" s="56" t="n">
        <v>0.0239141150059649</v>
      </c>
      <c r="G13" s="56" t="n">
        <v>0.000295655734856493</v>
      </c>
      <c r="H13" s="56" t="n">
        <v>3.12065149007762E-005</v>
      </c>
      <c r="I13" s="56" t="n">
        <v>0.0166269272892744</v>
      </c>
      <c r="J13" s="56" t="n">
        <v>0.152334456555878</v>
      </c>
      <c r="K13" s="56" t="n">
        <v>0.0134819252215069</v>
      </c>
      <c r="L13" s="56" t="n">
        <v>0.00622671430166713</v>
      </c>
      <c r="M13" s="56" t="n">
        <v>0.0135009728075113</v>
      </c>
      <c r="N13" s="56" t="n">
        <v>0.0491614910893322</v>
      </c>
      <c r="O13" s="56" t="n">
        <v>0.0729192167004733</v>
      </c>
      <c r="P13" s="56" t="n">
        <v>0.00658979434092106</v>
      </c>
      <c r="Q13" s="56" t="n">
        <v>0.00149533643252054</v>
      </c>
      <c r="R13" s="56" t="n">
        <v>0.00380112769159162</v>
      </c>
      <c r="S13" s="56" t="n">
        <v>0.0999723983503726</v>
      </c>
      <c r="T13" s="56" t="n">
        <v>0.016183525202615</v>
      </c>
      <c r="U13" s="56" t="n">
        <v>0.349980440683297</v>
      </c>
      <c r="V13" s="56" t="n">
        <v>0.00106011912179917</v>
      </c>
      <c r="W13" s="56" t="n">
        <v>0.0456373266031212</v>
      </c>
      <c r="X13" s="56" t="n">
        <v>0.0618803202084368</v>
      </c>
      <c r="Y13" s="56" t="n">
        <v>0.0605781990739648</v>
      </c>
      <c r="Z13" s="56" t="n">
        <v>0.00739463685971387</v>
      </c>
      <c r="AA13" s="56" t="n">
        <v>7.13558907500756E-005</v>
      </c>
      <c r="AB13" s="56" t="n">
        <v>0.000381449307060182</v>
      </c>
      <c r="AC13" s="56" t="n">
        <v>0.00224317333740865</v>
      </c>
      <c r="AD13" s="56" t="n">
        <v>0.0105505983092487</v>
      </c>
      <c r="AE13" s="56" t="n">
        <v>4.69966120633888E-005</v>
      </c>
      <c r="AF13" s="56" t="n">
        <v>0.00657386989068641</v>
      </c>
      <c r="AG13" s="56" t="n">
        <v>0.00506222189584796</v>
      </c>
      <c r="AH13" s="56" t="n">
        <v>0.0241562308837879</v>
      </c>
      <c r="AI13" s="56" t="n">
        <v>0.0265088977272747</v>
      </c>
      <c r="AJ13" s="56" t="n">
        <v>0.00277066043970141</v>
      </c>
      <c r="AK13" s="56" t="n">
        <v>0.0442420455768356</v>
      </c>
      <c r="AL13" s="57" t="n">
        <v>1.85170869853198</v>
      </c>
      <c r="AM13" s="57" t="n">
        <v>0.000255759961235947</v>
      </c>
      <c r="AN13" s="57" t="n">
        <v>0</v>
      </c>
      <c r="AO13" s="57" t="n">
        <v>0.00698020448466053</v>
      </c>
      <c r="AP13" s="57" t="n">
        <v>0.0103293410194119</v>
      </c>
      <c r="AQ13" s="57" t="n">
        <v>0.95137723261374</v>
      </c>
      <c r="AR13" s="61" t="n">
        <v>3.94979319001252</v>
      </c>
      <c r="AT13" s="22" t="n">
        <v>2.82065123661103</v>
      </c>
      <c r="AV13" s="43" t="n">
        <v>3.94979319001252</v>
      </c>
      <c r="AW13" s="59" t="n">
        <f aca="false">AV13-AR13</f>
        <v>0</v>
      </c>
      <c r="AY13" s="19" t="n">
        <v>1.68225539393386</v>
      </c>
      <c r="AZ13" s="60" t="n">
        <f aca="false">AY13/$AR13</f>
        <v>0.42590974084102</v>
      </c>
      <c r="BB13" s="19" t="s">
        <v>122</v>
      </c>
      <c r="BC13" s="19" t="s">
        <v>261</v>
      </c>
      <c r="BD13" s="19" t="n">
        <f aca="false">$AY13*BQ13/$BZ13</f>
        <v>0.0596746001226538</v>
      </c>
      <c r="BE13" s="19" t="n">
        <f aca="false">$AY13*BR13/$BZ13</f>
        <v>0.240829636209282</v>
      </c>
      <c r="BF13" s="19" t="n">
        <f aca="false">$AY13*BS13/$BZ13</f>
        <v>0.0724620144346511</v>
      </c>
      <c r="BG13" s="19" t="n">
        <f aca="false">$AY13*BT13/$BZ13</f>
        <v>0.0142082381244414</v>
      </c>
      <c r="BH13" s="19" t="n">
        <f aca="false">$AY13*BU13/$BZ13</f>
        <v>0.178313388461739</v>
      </c>
      <c r="BI13" s="19" t="n">
        <f aca="false">$AY13*BV13/$BZ13</f>
        <v>0.0284164762488828</v>
      </c>
      <c r="BJ13" s="19" t="n">
        <f aca="false">$AY13*BW13/$BZ13</f>
        <v>0.51149657247989</v>
      </c>
      <c r="BK13" s="19" t="n">
        <f aca="false">$AY13*BX13/$BZ13</f>
        <v>0.522152751073221</v>
      </c>
      <c r="BL13" s="19" t="n">
        <f aca="false">$AY13*BY13/$BZ13</f>
        <v>0.0547017167790993</v>
      </c>
      <c r="BM13" s="19" t="n">
        <f aca="false">SUM(BD13:BL13)</f>
        <v>1.68225539393386</v>
      </c>
      <c r="BO13" s="19" t="s">
        <v>122</v>
      </c>
      <c r="BP13" s="19" t="s">
        <v>121</v>
      </c>
      <c r="BQ13" s="19" t="n">
        <v>12.7021200742552</v>
      </c>
      <c r="BR13" s="19" t="n">
        <v>51.2621274425298</v>
      </c>
      <c r="BS13" s="19" t="n">
        <v>15.4240029473099</v>
      </c>
      <c r="BT13" s="19" t="n">
        <v>3.02431430339409</v>
      </c>
      <c r="BU13" s="19" t="n">
        <v>37.9551445075958</v>
      </c>
      <c r="BV13" s="19" t="n">
        <v>6.04862860678818</v>
      </c>
      <c r="BW13" s="19" t="n">
        <v>108.875314922187</v>
      </c>
      <c r="BX13" s="19" t="n">
        <v>111.143550649733</v>
      </c>
      <c r="BY13" s="19" t="n">
        <v>11.6436100680673</v>
      </c>
      <c r="BZ13" s="19" t="n">
        <v>358.07881352186</v>
      </c>
      <c r="CB13" s="19" t="s">
        <v>122</v>
      </c>
      <c r="CC13" s="19" t="s">
        <v>121</v>
      </c>
      <c r="CD13" s="19" t="n">
        <f aca="false">BQ13/$AR13</f>
        <v>3.21589497555818</v>
      </c>
      <c r="CE13" s="19" t="n">
        <f aca="false">BR13/$AR13</f>
        <v>12.9784332942169</v>
      </c>
      <c r="CF13" s="19" t="n">
        <f aca="false">BS13/$AR13</f>
        <v>3.9050153274635</v>
      </c>
      <c r="CG13" s="19" t="n">
        <f aca="false">BT13/$AR13</f>
        <v>0.765689279894805</v>
      </c>
      <c r="CH13" s="19" t="n">
        <f aca="false">BU13/$AR13</f>
        <v>9.6094004626798</v>
      </c>
      <c r="CI13" s="19" t="n">
        <f aca="false">BV13/$AR13</f>
        <v>1.53137855978961</v>
      </c>
      <c r="CJ13" s="19" t="n">
        <f aca="false">BW13/$AR13</f>
        <v>27.564814076213</v>
      </c>
      <c r="CK13" s="19" t="n">
        <f aca="false">BX13/$AR13</f>
        <v>28.1390810361341</v>
      </c>
      <c r="CL13" s="19" t="n">
        <f aca="false">BY13/$AR13</f>
        <v>2.947903727595</v>
      </c>
      <c r="CM13" s="19" t="n">
        <f aca="false">BZ13/$AR13</f>
        <v>90.6576107395449</v>
      </c>
      <c r="CO13" s="19" t="n">
        <v>6</v>
      </c>
      <c r="CP13" s="19" t="s">
        <v>213</v>
      </c>
      <c r="CQ13" s="19" t="n">
        <v>22.7137894477542</v>
      </c>
      <c r="CR13" s="19" t="n">
        <v>1.7543551177829</v>
      </c>
      <c r="CS13" s="19" t="n">
        <v>0.0495614954920319</v>
      </c>
      <c r="CT13" s="19" t="n">
        <v>0</v>
      </c>
      <c r="CU13" s="19" t="n">
        <v>0.687466051637643</v>
      </c>
      <c r="CW13" s="19" t="n">
        <v>6</v>
      </c>
      <c r="CX13" s="19" t="s">
        <v>213</v>
      </c>
      <c r="CY13" s="60" t="n">
        <f aca="false">CQ13/$AR13</f>
        <v>5.75062752783829</v>
      </c>
      <c r="CZ13" s="60" t="n">
        <f aca="false">CR13/$AR13</f>
        <v>0.444163791212912</v>
      </c>
      <c r="DA13" s="60" t="n">
        <f aca="false">CS13/$AR13</f>
        <v>0.0125478710169822</v>
      </c>
      <c r="DB13" s="60" t="n">
        <f aca="false">CT13/$AR13</f>
        <v>0</v>
      </c>
      <c r="DC13" s="60" t="n">
        <f aca="false">CU13/$AR13</f>
        <v>0.174051151178238</v>
      </c>
    </row>
    <row r="14" customFormat="false" ht="12.75" hidden="false" customHeight="false" outlineLevel="0" collapsed="false">
      <c r="A14" s="53" t="s">
        <v>192</v>
      </c>
      <c r="B14" s="54" t="s">
        <v>123</v>
      </c>
      <c r="C14" s="55" t="s">
        <v>124</v>
      </c>
      <c r="D14" s="56" t="n">
        <v>0.0112307231579582</v>
      </c>
      <c r="E14" s="56" t="n">
        <v>0.0876079948610086</v>
      </c>
      <c r="F14" s="56" t="n">
        <v>0.343127897481982</v>
      </c>
      <c r="G14" s="56" t="n">
        <v>0.0231966656387528</v>
      </c>
      <c r="H14" s="56" t="n">
        <v>0.00244841214480561</v>
      </c>
      <c r="I14" s="56" t="n">
        <v>0.205822689892644</v>
      </c>
      <c r="J14" s="56" t="n">
        <v>1.3532635416604</v>
      </c>
      <c r="K14" s="56" t="n">
        <v>0.182676165809849</v>
      </c>
      <c r="L14" s="56" t="n">
        <v>0.0843701678753834</v>
      </c>
      <c r="M14" s="56" t="n">
        <v>0.131620483703668</v>
      </c>
      <c r="N14" s="56" t="n">
        <v>0.479273555248662</v>
      </c>
      <c r="O14" s="56" t="n">
        <v>0.944023527606134</v>
      </c>
      <c r="P14" s="56" t="n">
        <v>0.0996566145801675</v>
      </c>
      <c r="Q14" s="56" t="n">
        <v>0.0226137810702229</v>
      </c>
      <c r="R14" s="56" t="n">
        <v>0.0574839665296755</v>
      </c>
      <c r="S14" s="56" t="n">
        <v>0.876842981353173</v>
      </c>
      <c r="T14" s="56" t="n">
        <v>0.281720830915087</v>
      </c>
      <c r="U14" s="56" t="n">
        <v>3.0704924180276</v>
      </c>
      <c r="V14" s="56" t="n">
        <v>0.0154535877606928</v>
      </c>
      <c r="W14" s="56" t="n">
        <v>0.483848327847394</v>
      </c>
      <c r="X14" s="56" t="n">
        <v>1.28885358643064</v>
      </c>
      <c r="Y14" s="56" t="n">
        <v>0.735399863264427</v>
      </c>
      <c r="Z14" s="56" t="n">
        <v>0.0746044331706237</v>
      </c>
      <c r="AA14" s="56" t="n">
        <v>0.000719909021063182</v>
      </c>
      <c r="AB14" s="56" t="n">
        <v>0.0038484390615029</v>
      </c>
      <c r="AC14" s="56" t="n">
        <v>0.0226313581742679</v>
      </c>
      <c r="AD14" s="56" t="n">
        <v>0.126962479460194</v>
      </c>
      <c r="AE14" s="56" t="n">
        <v>0.080066201035611</v>
      </c>
      <c r="AF14" s="56" t="n">
        <v>0.0654175402579692</v>
      </c>
      <c r="AG14" s="56" t="n">
        <v>0.0503749100869149</v>
      </c>
      <c r="AH14" s="56" t="n">
        <v>0.441595810897541</v>
      </c>
      <c r="AI14" s="56" t="n">
        <v>0.789444469638478</v>
      </c>
      <c r="AJ14" s="56" t="n">
        <v>0.129683813021282</v>
      </c>
      <c r="AK14" s="56" t="n">
        <v>0.552377984736415</v>
      </c>
      <c r="AL14" s="57" t="n">
        <v>16.2824158159474</v>
      </c>
      <c r="AM14" s="57" t="n">
        <v>0.00394568403810702</v>
      </c>
      <c r="AN14" s="57" t="n">
        <v>0.175722288596608</v>
      </c>
      <c r="AO14" s="57" t="n">
        <v>0.0586278372646811</v>
      </c>
      <c r="AP14" s="57" t="n">
        <v>0.199172034681749</v>
      </c>
      <c r="AQ14" s="57" t="n">
        <v>9.64129722269152</v>
      </c>
      <c r="AR14" s="61" t="n">
        <v>39.4799360146423</v>
      </c>
      <c r="AT14" s="22" t="n">
        <v>26.3611808832201</v>
      </c>
      <c r="AV14" s="43" t="n">
        <v>39.4799360146423</v>
      </c>
      <c r="AW14" s="59" t="n">
        <f aca="false">AV14-AR14</f>
        <v>0</v>
      </c>
      <c r="AY14" s="19" t="n">
        <v>13.2511937172421</v>
      </c>
      <c r="AZ14" s="60" t="n">
        <f aca="false">AY14/$AR14</f>
        <v>0.33564374856959</v>
      </c>
      <c r="BB14" s="19" t="s">
        <v>124</v>
      </c>
      <c r="BC14" s="19" t="s">
        <v>262</v>
      </c>
      <c r="BD14" s="19" t="n">
        <f aca="false">$AY14*BQ14/$BZ14</f>
        <v>0.470059236591358</v>
      </c>
      <c r="BE14" s="19" t="n">
        <f aca="false">$AY14*BR14/$BZ14</f>
        <v>1.8970247762437</v>
      </c>
      <c r="BF14" s="19" t="n">
        <f aca="false">$AY14*BS14/$BZ14</f>
        <v>0.570786215860935</v>
      </c>
      <c r="BG14" s="19" t="n">
        <f aca="false">$AY14*BT14/$BZ14</f>
        <v>0.111918865855085</v>
      </c>
      <c r="BH14" s="19" t="n">
        <f aca="false">$AY14*BU14/$BZ14</f>
        <v>1.40458176648132</v>
      </c>
      <c r="BI14" s="19" t="n">
        <f aca="false">$AY14*BV14/$BZ14</f>
        <v>0.223837731710171</v>
      </c>
      <c r="BJ14" s="19" t="n">
        <f aca="false">$AY14*BW14/$BZ14</f>
        <v>4.02907917078307</v>
      </c>
      <c r="BK14" s="19" t="n">
        <f aca="false">$AY14*BX14/$BZ14</f>
        <v>4.11301832017439</v>
      </c>
      <c r="BL14" s="19" t="n">
        <f aca="false">$AY14*BY14/$BZ14</f>
        <v>0.430887633542078</v>
      </c>
      <c r="BM14" s="19" t="n">
        <f aca="false">SUM(BD14:BL14)</f>
        <v>13.2511937172421</v>
      </c>
      <c r="BO14" s="19" t="s">
        <v>124</v>
      </c>
      <c r="BP14" s="19" t="s">
        <v>123</v>
      </c>
      <c r="BQ14" s="19" t="n">
        <v>100.055113112179</v>
      </c>
      <c r="BR14" s="19" t="n">
        <v>403.793849345578</v>
      </c>
      <c r="BS14" s="19" t="n">
        <v>121.49549449336</v>
      </c>
      <c r="BT14" s="19" t="n">
        <v>23.8226459790902</v>
      </c>
      <c r="BU14" s="19" t="n">
        <v>298.974207037581</v>
      </c>
      <c r="BV14" s="19" t="n">
        <v>47.6452919581803</v>
      </c>
      <c r="BW14" s="19" t="n">
        <v>857.615255247246</v>
      </c>
      <c r="BX14" s="19" t="n">
        <v>875.482239731563</v>
      </c>
      <c r="BY14" s="19" t="n">
        <v>91.7171870194971</v>
      </c>
      <c r="BZ14" s="19" t="n">
        <v>2820.60128392427</v>
      </c>
      <c r="CB14" s="19" t="s">
        <v>124</v>
      </c>
      <c r="CC14" s="19" t="s">
        <v>123</v>
      </c>
      <c r="CD14" s="19" t="n">
        <f aca="false">BQ14/$AR14</f>
        <v>2.53432814772218</v>
      </c>
      <c r="CE14" s="19" t="n">
        <f aca="false">BR14/$AR14</f>
        <v>10.2278243104502</v>
      </c>
      <c r="CF14" s="19" t="n">
        <f aca="false">BS14/$AR14</f>
        <v>3.07739846509122</v>
      </c>
      <c r="CG14" s="19" t="n">
        <f aca="false">BT14/$AR14</f>
        <v>0.603411463743377</v>
      </c>
      <c r="CH14" s="19" t="n">
        <f aca="false">BU14/$AR14</f>
        <v>7.57281386997938</v>
      </c>
      <c r="CI14" s="19" t="n">
        <f aca="false">BV14/$AR14</f>
        <v>1.20682292748675</v>
      </c>
      <c r="CJ14" s="19" t="n">
        <f aca="false">BW14/$AR14</f>
        <v>21.7228126947616</v>
      </c>
      <c r="CK14" s="19" t="n">
        <f aca="false">BX14/$AR14</f>
        <v>22.1753712925691</v>
      </c>
      <c r="CL14" s="19" t="n">
        <f aca="false">BY14/$AR14</f>
        <v>2.323134135412</v>
      </c>
      <c r="CM14" s="19" t="n">
        <f aca="false">BZ14/$AR14</f>
        <v>71.4439173072158</v>
      </c>
      <c r="CO14" s="19" t="n">
        <v>7</v>
      </c>
      <c r="CP14" s="19" t="s">
        <v>214</v>
      </c>
      <c r="CQ14" s="19" t="n">
        <v>78.9937434444016</v>
      </c>
      <c r="CR14" s="19" t="n">
        <v>17.7575724653384</v>
      </c>
      <c r="CS14" s="19" t="n">
        <v>0.158933456718732</v>
      </c>
      <c r="CT14" s="19" t="n">
        <v>0</v>
      </c>
      <c r="CU14" s="19" t="n">
        <v>2.20456132081638</v>
      </c>
      <c r="CW14" s="19" t="n">
        <v>7</v>
      </c>
      <c r="CX14" s="19" t="s">
        <v>214</v>
      </c>
      <c r="CY14" s="60" t="n">
        <f aca="false">CQ14/$AR14</f>
        <v>2.00085793996993</v>
      </c>
      <c r="CZ14" s="60" t="n">
        <f aca="false">CR14/$AR14</f>
        <v>0.449787265580991</v>
      </c>
      <c r="DA14" s="60" t="n">
        <f aca="false">CS14/$AR14</f>
        <v>0.00402567665408037</v>
      </c>
      <c r="DB14" s="60" t="n">
        <f aca="false">CT14/$AR14</f>
        <v>0</v>
      </c>
      <c r="DC14" s="60" t="n">
        <f aca="false">CU14/$AR14</f>
        <v>0.0558400429017605</v>
      </c>
    </row>
    <row r="15" customFormat="false" ht="12.75" hidden="false" customHeight="false" outlineLevel="0" collapsed="false">
      <c r="A15" s="53" t="n">
        <v>23</v>
      </c>
      <c r="B15" s="54" t="s">
        <v>125</v>
      </c>
      <c r="C15" s="55" t="s">
        <v>126</v>
      </c>
      <c r="D15" s="56" t="n">
        <v>2.21301522008265</v>
      </c>
      <c r="E15" s="56" t="n">
        <v>0.952800340978042</v>
      </c>
      <c r="F15" s="56" t="n">
        <v>0.190984390102514</v>
      </c>
      <c r="G15" s="56" t="n">
        <v>0.141127946943953</v>
      </c>
      <c r="H15" s="56" t="n">
        <v>0.0148960796629232</v>
      </c>
      <c r="I15" s="56" t="n">
        <v>0.0109117879992233</v>
      </c>
      <c r="J15" s="56" t="n">
        <v>0.168285978041311</v>
      </c>
      <c r="K15" s="56" t="n">
        <v>0.44978891269892</v>
      </c>
      <c r="L15" s="56" t="n">
        <v>0.207737916463582</v>
      </c>
      <c r="M15" s="56" t="n">
        <v>0.0450889672094015</v>
      </c>
      <c r="N15" s="56" t="n">
        <v>0.16418378818295</v>
      </c>
      <c r="O15" s="56" t="n">
        <v>1.55552150402164</v>
      </c>
      <c r="P15" s="56" t="n">
        <v>0.121951662091809</v>
      </c>
      <c r="Q15" s="56" t="n">
        <v>0.0276729066034598</v>
      </c>
      <c r="R15" s="56" t="n">
        <v>0.0703442043607104</v>
      </c>
      <c r="S15" s="56" t="n">
        <v>0.0197596006199892</v>
      </c>
      <c r="T15" s="56" t="n">
        <v>1.64046992301449</v>
      </c>
      <c r="U15" s="56" t="n">
        <v>8.66139185269652</v>
      </c>
      <c r="V15" s="56" t="n">
        <v>0.106879365229621</v>
      </c>
      <c r="W15" s="56" t="n">
        <v>0.94616081322609</v>
      </c>
      <c r="X15" s="56" t="n">
        <v>6.59381716437591</v>
      </c>
      <c r="Y15" s="56" t="n">
        <v>0.016129210514517</v>
      </c>
      <c r="Z15" s="56" t="n">
        <v>5.10224926699314</v>
      </c>
      <c r="AA15" s="56" t="n">
        <v>0.0411926713744206</v>
      </c>
      <c r="AB15" s="56" t="n">
        <v>0.220204888293876</v>
      </c>
      <c r="AC15" s="56" t="n">
        <v>1.51968277311299</v>
      </c>
      <c r="AD15" s="56" t="n">
        <v>2.21489892537957</v>
      </c>
      <c r="AE15" s="56" t="n">
        <v>0.0470080903393051</v>
      </c>
      <c r="AF15" s="56" t="n">
        <v>0.377051373860253</v>
      </c>
      <c r="AG15" s="56" t="n">
        <v>0.290349178239612</v>
      </c>
      <c r="AH15" s="56" t="n">
        <v>0.716529126780806</v>
      </c>
      <c r="AI15" s="56" t="n">
        <v>0.0322571437479742</v>
      </c>
      <c r="AJ15" s="56" t="n">
        <v>0.406352806162092</v>
      </c>
      <c r="AK15" s="56" t="n">
        <v>0.198396447389867</v>
      </c>
      <c r="AL15" s="57" t="n">
        <v>30.2501830044623</v>
      </c>
      <c r="AM15" s="57" t="n">
        <v>0.614234190694495</v>
      </c>
      <c r="AN15" s="57" t="n">
        <v>0</v>
      </c>
      <c r="AO15" s="57" t="n">
        <v>7.02518125280146</v>
      </c>
      <c r="AP15" s="57" t="n">
        <v>1.92613303963249</v>
      </c>
      <c r="AQ15" s="57" t="n">
        <v>9.40633504354273</v>
      </c>
      <c r="AR15" s="61" t="n">
        <v>84.7071587579276</v>
      </c>
      <c r="AT15" s="22" t="n">
        <v>49.2220665311335</v>
      </c>
      <c r="AV15" s="43" t="n">
        <v>84.7071587579276</v>
      </c>
      <c r="AW15" s="59" t="n">
        <f aca="false">AV15-AR15</f>
        <v>0</v>
      </c>
      <c r="AY15" s="19" t="n">
        <v>29.5295096869655</v>
      </c>
      <c r="AZ15" s="60" t="n">
        <f aca="false">AY15/$AR15</f>
        <v>0.34860701409374</v>
      </c>
      <c r="BB15" s="19" t="s">
        <v>126</v>
      </c>
      <c r="BC15" s="19" t="s">
        <v>125</v>
      </c>
      <c r="BD15" s="19" t="n">
        <f aca="false">$AY15*BQ15/$BZ15</f>
        <v>1.04749949903087</v>
      </c>
      <c r="BE15" s="19" t="n">
        <f aca="false">$AY15*BR15/$BZ15</f>
        <v>4.22740869251744</v>
      </c>
      <c r="BF15" s="19" t="n">
        <f aca="false">$AY15*BS15/$BZ15</f>
        <v>1.27196367739463</v>
      </c>
      <c r="BG15" s="19" t="n">
        <f aca="false">$AY15*BT15/$BZ15</f>
        <v>0.249404642626398</v>
      </c>
      <c r="BH15" s="19" t="n">
        <f aca="false">$AY15*BU15/$BZ15</f>
        <v>3.13002826496129</v>
      </c>
      <c r="BI15" s="19" t="n">
        <f aca="false">$AY15*BV15/$BZ15</f>
        <v>0.498809285252796</v>
      </c>
      <c r="BJ15" s="19" t="n">
        <f aca="false">$AY15*BW15/$BZ15</f>
        <v>8.97856713455032</v>
      </c>
      <c r="BK15" s="19" t="n">
        <f aca="false">$AY15*BX15/$BZ15</f>
        <v>9.16562061652012</v>
      </c>
      <c r="BL15" s="19" t="n">
        <f aca="false">$AY15*BY15/$BZ15</f>
        <v>0.960207874111631</v>
      </c>
      <c r="BM15" s="19" t="n">
        <f aca="false">SUM(BD15:BL15)</f>
        <v>29.5295096869655</v>
      </c>
      <c r="BO15" s="19" t="s">
        <v>126</v>
      </c>
      <c r="BP15" s="19" t="s">
        <v>125</v>
      </c>
      <c r="BQ15" s="19" t="n">
        <v>222.966963952243</v>
      </c>
      <c r="BR15" s="19" t="n">
        <v>899.830961664409</v>
      </c>
      <c r="BS15" s="19" t="n">
        <v>270.745599084867</v>
      </c>
      <c r="BT15" s="19" t="n">
        <v>53.0873723695817</v>
      </c>
      <c r="BU15" s="19" t="n">
        <v>666.24652323825</v>
      </c>
      <c r="BV15" s="19" t="n">
        <v>106.174744739163</v>
      </c>
      <c r="BW15" s="19" t="n">
        <v>1911.14540530494</v>
      </c>
      <c r="BX15" s="19" t="n">
        <v>1950.96093458213</v>
      </c>
      <c r="BY15" s="19" t="n">
        <v>204.386383622889</v>
      </c>
      <c r="BZ15" s="19" t="n">
        <v>6285.54488855847</v>
      </c>
      <c r="CB15" s="19" t="s">
        <v>126</v>
      </c>
      <c r="CC15" s="19" t="s">
        <v>125</v>
      </c>
      <c r="CD15" s="19" t="n">
        <f aca="false">BQ15/$AR15</f>
        <v>2.63220921609977</v>
      </c>
      <c r="CE15" s="19" t="n">
        <f aca="false">BR15/$AR15</f>
        <v>10.6228443364026</v>
      </c>
      <c r="CF15" s="19" t="n">
        <f aca="false">BS15/$AR15</f>
        <v>3.19625404812114</v>
      </c>
      <c r="CG15" s="19" t="n">
        <f aca="false">BT15/$AR15</f>
        <v>0.626716480023754</v>
      </c>
      <c r="CH15" s="19" t="n">
        <f aca="false">BU15/$AR15</f>
        <v>7.86529182429811</v>
      </c>
      <c r="CI15" s="19" t="n">
        <f aca="false">BV15/$AR15</f>
        <v>1.25343296004751</v>
      </c>
      <c r="CJ15" s="19" t="n">
        <f aca="false">BW15/$AR15</f>
        <v>22.5617932808551</v>
      </c>
      <c r="CK15" s="19" t="n">
        <f aca="false">BX15/$AR15</f>
        <v>23.031830640873</v>
      </c>
      <c r="CL15" s="19" t="n">
        <f aca="false">BY15/$AR15</f>
        <v>2.41285844809145</v>
      </c>
      <c r="CM15" s="19" t="n">
        <f aca="false">BZ15/$AR15</f>
        <v>74.2032312348125</v>
      </c>
      <c r="CO15" s="19" t="n">
        <v>8</v>
      </c>
      <c r="CP15" s="19" t="s">
        <v>215</v>
      </c>
      <c r="CQ15" s="19" t="n">
        <v>8207.63013494229</v>
      </c>
      <c r="CR15" s="19" t="n">
        <v>93.4030206485396</v>
      </c>
      <c r="CS15" s="19" t="n">
        <v>0.118811056631799</v>
      </c>
      <c r="CT15" s="19" t="n">
        <v>0</v>
      </c>
      <c r="CU15" s="19" t="n">
        <v>1.64802468494299</v>
      </c>
      <c r="CW15" s="19" t="n">
        <v>8</v>
      </c>
      <c r="CX15" s="19" t="s">
        <v>215</v>
      </c>
      <c r="CY15" s="60" t="n">
        <f aca="false">CQ15/$AR15</f>
        <v>96.8941734711903</v>
      </c>
      <c r="CZ15" s="60" t="n">
        <f aca="false">CR15/$AR15</f>
        <v>1.10265793373453</v>
      </c>
      <c r="DA15" s="60" t="n">
        <f aca="false">CS15/$AR15</f>
        <v>0.00140260939422289</v>
      </c>
      <c r="DB15" s="60" t="n">
        <f aca="false">CT15/$AR15</f>
        <v>0</v>
      </c>
      <c r="DC15" s="60" t="n">
        <f aca="false">CU15/$AR15</f>
        <v>0.0194555538057019</v>
      </c>
    </row>
    <row r="16" customFormat="false" ht="12.75" hidden="false" customHeight="false" outlineLevel="0" collapsed="false">
      <c r="A16" s="53" t="n">
        <v>24</v>
      </c>
      <c r="B16" s="54" t="s">
        <v>127</v>
      </c>
      <c r="C16" s="55" t="s">
        <v>128</v>
      </c>
      <c r="D16" s="56" t="n">
        <v>1.01222798707358</v>
      </c>
      <c r="E16" s="56" t="n">
        <v>0.484552641388653</v>
      </c>
      <c r="F16" s="56" t="n">
        <v>0.0873558134628296</v>
      </c>
      <c r="G16" s="56" t="n">
        <v>0.0645515929391434</v>
      </c>
      <c r="H16" s="56" t="n">
        <v>0.00681343200699961</v>
      </c>
      <c r="I16" s="56" t="n">
        <v>0.00499102631631018</v>
      </c>
      <c r="J16" s="56" t="n">
        <v>0.0769736128606935</v>
      </c>
      <c r="K16" s="56" t="n">
        <v>0.205732396947653</v>
      </c>
      <c r="L16" s="56" t="n">
        <v>0.0950188372463783</v>
      </c>
      <c r="M16" s="56" t="n">
        <v>0.0206235881721114</v>
      </c>
      <c r="N16" s="56" t="n">
        <v>0.0750972808114413</v>
      </c>
      <c r="O16" s="56" t="n">
        <v>0.711491898734742</v>
      </c>
      <c r="P16" s="56" t="n">
        <v>0.0557804050868024</v>
      </c>
      <c r="Q16" s="56" t="n">
        <v>0.0126575227741312</v>
      </c>
      <c r="R16" s="56" t="n">
        <v>0.0321752745919546</v>
      </c>
      <c r="S16" s="56" t="n">
        <v>0.0090379951206131</v>
      </c>
      <c r="T16" s="56" t="n">
        <v>0.841348283825678</v>
      </c>
      <c r="U16" s="56" t="n">
        <v>3.96170038088717</v>
      </c>
      <c r="V16" s="56" t="n">
        <v>0.0596919695006918</v>
      </c>
      <c r="W16" s="56" t="n">
        <v>0.493146197900451</v>
      </c>
      <c r="X16" s="56" t="n">
        <v>3.39400459495147</v>
      </c>
      <c r="Y16" s="56" t="n">
        <v>0.00737746317514515</v>
      </c>
      <c r="Z16" s="56" t="n">
        <v>2.1860291919151</v>
      </c>
      <c r="AA16" s="56" t="n">
        <v>0.0237462037575682</v>
      </c>
      <c r="AB16" s="56" t="n">
        <v>0.126940787556837</v>
      </c>
      <c r="AC16" s="56" t="n">
        <v>0.635348146754806</v>
      </c>
      <c r="AD16" s="56" t="n">
        <v>1.0130895894718</v>
      </c>
      <c r="AE16" s="56" t="n">
        <v>0.0215013906043315</v>
      </c>
      <c r="AF16" s="56" t="n">
        <v>0.172462416761705</v>
      </c>
      <c r="AG16" s="56" t="n">
        <v>0.1328050352166</v>
      </c>
      <c r="AH16" s="56" t="n">
        <v>0.32773874716227</v>
      </c>
      <c r="AI16" s="56" t="n">
        <v>0.0147543421249201</v>
      </c>
      <c r="AJ16" s="56" t="n">
        <v>0.185864823382368</v>
      </c>
      <c r="AK16" s="56" t="n">
        <v>0.0907460711347904</v>
      </c>
      <c r="AL16" s="57" t="n">
        <v>13.8363629736224</v>
      </c>
      <c r="AM16" s="57" t="n">
        <v>0.280949282587958</v>
      </c>
      <c r="AN16" s="57" t="n">
        <v>0</v>
      </c>
      <c r="AO16" s="57" t="n">
        <v>3.21330147837153</v>
      </c>
      <c r="AP16" s="57" t="n">
        <v>0.881786251483632</v>
      </c>
      <c r="AQ16" s="57" t="n">
        <v>4.29219877872013</v>
      </c>
      <c r="AR16" s="61" t="n">
        <v>39.1479757064034</v>
      </c>
      <c r="AT16" s="22" t="n">
        <v>22.5045987647857</v>
      </c>
      <c r="AV16" s="43" t="n">
        <v>39.1479757064034</v>
      </c>
      <c r="AW16" s="59" t="n">
        <f aca="false">AV16-AR16</f>
        <v>0</v>
      </c>
      <c r="AY16" s="19" t="n">
        <v>13.6548744202851</v>
      </c>
      <c r="AZ16" s="60" t="n">
        <f aca="false">AY16/$AR16</f>
        <v>0.348801545262316</v>
      </c>
      <c r="BB16" s="19" t="s">
        <v>128</v>
      </c>
      <c r="BC16" s="19" t="s">
        <v>263</v>
      </c>
      <c r="BD16" s="19" t="n">
        <f aca="false">$AY16*BQ16/$BZ16</f>
        <v>0.484378991260113</v>
      </c>
      <c r="BE16" s="19" t="n">
        <f aca="false">$AY16*BR16/$BZ16</f>
        <v>1.95481521472831</v>
      </c>
      <c r="BF16" s="19" t="n">
        <f aca="false">$AY16*BS16/$BZ16</f>
        <v>0.588174489387281</v>
      </c>
      <c r="BG16" s="19" t="n">
        <f aca="false">$AY16*BT16/$BZ16</f>
        <v>0.115328331252408</v>
      </c>
      <c r="BH16" s="19" t="n">
        <f aca="false">$AY16*BU16/$BZ16</f>
        <v>1.44737055721772</v>
      </c>
      <c r="BI16" s="19" t="n">
        <f aca="false">$AY16*BV16/$BZ16</f>
        <v>0.230656662504816</v>
      </c>
      <c r="BJ16" s="19" t="n">
        <f aca="false">$AY16*BW16/$BZ16</f>
        <v>4.15181992508669</v>
      </c>
      <c r="BK16" s="19" t="n">
        <f aca="false">$AY16*BX16/$BZ16</f>
        <v>4.23831617352599</v>
      </c>
      <c r="BL16" s="19" t="n">
        <f aca="false">$AY16*BY16/$BZ16</f>
        <v>0.444014075321771</v>
      </c>
      <c r="BM16" s="19" t="n">
        <f aca="false">SUM(BD16:BL16)</f>
        <v>13.6548744202851</v>
      </c>
      <c r="BO16" s="19" t="s">
        <v>128</v>
      </c>
      <c r="BP16" s="19" t="s">
        <v>127</v>
      </c>
      <c r="BQ16" s="19" t="n">
        <v>103.10316442484</v>
      </c>
      <c r="BR16" s="19" t="n">
        <v>416.094913571676</v>
      </c>
      <c r="BS16" s="19" t="n">
        <v>125.196699658734</v>
      </c>
      <c r="BT16" s="19" t="n">
        <v>24.5483724821048</v>
      </c>
      <c r="BU16" s="19" t="n">
        <v>308.082074650415</v>
      </c>
      <c r="BV16" s="19" t="n">
        <v>49.0967449642096</v>
      </c>
      <c r="BW16" s="19" t="n">
        <v>883.741409355772</v>
      </c>
      <c r="BX16" s="19" t="n">
        <v>902.152688717351</v>
      </c>
      <c r="BY16" s="19" t="n">
        <v>94.5112340561034</v>
      </c>
      <c r="BZ16" s="19" t="n">
        <v>2906.52730188121</v>
      </c>
      <c r="CB16" s="19" t="s">
        <v>128</v>
      </c>
      <c r="CC16" s="19" t="s">
        <v>127</v>
      </c>
      <c r="CD16" s="19" t="n">
        <f aca="false">BQ16/$AR16</f>
        <v>2.63367805268091</v>
      </c>
      <c r="CE16" s="19" t="n">
        <f aca="false">BR16/$AR16</f>
        <v>10.6287721411765</v>
      </c>
      <c r="CF16" s="19" t="n">
        <f aca="false">BS16/$AR16</f>
        <v>3.19803763539825</v>
      </c>
      <c r="CG16" s="19" t="n">
        <f aca="false">BT16/$AR16</f>
        <v>0.627066203019265</v>
      </c>
      <c r="CH16" s="19" t="n">
        <f aca="false">BU16/$AR16</f>
        <v>7.86968084789177</v>
      </c>
      <c r="CI16" s="19" t="n">
        <f aca="false">BV16/$AR16</f>
        <v>1.25413240603853</v>
      </c>
      <c r="CJ16" s="19" t="n">
        <f aca="false">BW16/$AR16</f>
        <v>22.5743833086935</v>
      </c>
      <c r="CK16" s="19" t="n">
        <f aca="false">BX16/$AR16</f>
        <v>23.044682960958</v>
      </c>
      <c r="CL16" s="19" t="n">
        <f aca="false">BY16/$AR16</f>
        <v>2.41420488162417</v>
      </c>
      <c r="CM16" s="19" t="n">
        <f aca="false">BZ16/$AR16</f>
        <v>74.2446384374809</v>
      </c>
      <c r="CO16" s="19" t="n">
        <v>9</v>
      </c>
      <c r="CP16" s="19" t="s">
        <v>216</v>
      </c>
      <c r="CQ16" s="19" t="n">
        <v>128.449826904795</v>
      </c>
      <c r="CR16" s="19" t="n">
        <v>39.6099754296402</v>
      </c>
      <c r="CS16" s="19" t="n">
        <v>0.265350461063442</v>
      </c>
      <c r="CT16" s="19" t="n">
        <v>0</v>
      </c>
      <c r="CU16" s="19" t="n">
        <v>3.68066846967603</v>
      </c>
      <c r="CW16" s="19" t="n">
        <v>9</v>
      </c>
      <c r="CX16" s="19" t="s">
        <v>216</v>
      </c>
      <c r="CY16" s="60" t="n">
        <f aca="false">CQ16/$AR16</f>
        <v>3.28113585918529</v>
      </c>
      <c r="CZ16" s="60" t="n">
        <f aca="false">CR16/$AR16</f>
        <v>1.01180136941694</v>
      </c>
      <c r="DA16" s="60" t="n">
        <f aca="false">CS16/$AR16</f>
        <v>0.00677814002576993</v>
      </c>
      <c r="DB16" s="60" t="n">
        <f aca="false">CT16/$AR16</f>
        <v>0</v>
      </c>
      <c r="DC16" s="60" t="n">
        <f aca="false">CU16/$AR16</f>
        <v>0.0940193816732646</v>
      </c>
    </row>
    <row r="17" customFormat="false" ht="12.75" hidden="false" customHeight="false" outlineLevel="0" collapsed="false">
      <c r="A17" s="53" t="n">
        <v>25</v>
      </c>
      <c r="B17" s="54" t="s">
        <v>129</v>
      </c>
      <c r="C17" s="55" t="s">
        <v>130</v>
      </c>
      <c r="D17" s="56" t="n">
        <v>0.101000925210621</v>
      </c>
      <c r="E17" s="56" t="n">
        <v>0.0132165899593687</v>
      </c>
      <c r="F17" s="56" t="n">
        <v>0.789444151961953</v>
      </c>
      <c r="G17" s="56" t="n">
        <v>0.0360635853958687</v>
      </c>
      <c r="H17" s="56" t="n">
        <v>0.00380651779197807</v>
      </c>
      <c r="I17" s="56" t="n">
        <v>0.00016242853119178</v>
      </c>
      <c r="J17" s="56" t="n">
        <v>0.00347038420473098</v>
      </c>
      <c r="K17" s="56" t="n">
        <v>0.016133592629303</v>
      </c>
      <c r="L17" s="56" t="n">
        <v>0.00745140403255579</v>
      </c>
      <c r="M17" s="56" t="n">
        <v>2.10450833727995</v>
      </c>
      <c r="N17" s="56" t="n">
        <v>7.66320837362566</v>
      </c>
      <c r="O17" s="56" t="n">
        <v>0.0433164335877215</v>
      </c>
      <c r="P17" s="56" t="n">
        <v>0.0671438213790062</v>
      </c>
      <c r="Q17" s="56" t="n">
        <v>0.0152360752297235</v>
      </c>
      <c r="R17" s="56" t="n">
        <v>0.0387299247228634</v>
      </c>
      <c r="S17" s="56" t="n">
        <v>0.0104319900710728</v>
      </c>
      <c r="T17" s="56" t="n">
        <v>0.780562369488593</v>
      </c>
      <c r="U17" s="56" t="n">
        <v>28.2216062166198</v>
      </c>
      <c r="V17" s="56" t="n">
        <v>0.000141123576945937</v>
      </c>
      <c r="W17" s="56" t="n">
        <v>1.16013639217002</v>
      </c>
      <c r="X17" s="56" t="n">
        <v>4.45606871008909</v>
      </c>
      <c r="Y17" s="56" t="n">
        <v>0.428115396427512</v>
      </c>
      <c r="Z17" s="56" t="n">
        <v>1.12526515625908</v>
      </c>
      <c r="AA17" s="56" t="n">
        <v>0.0108584503983333</v>
      </c>
      <c r="AB17" s="56" t="n">
        <v>0.0580463411871455</v>
      </c>
      <c r="AC17" s="56" t="n">
        <v>0.341350744319448</v>
      </c>
      <c r="AD17" s="56" t="n">
        <v>0.698473010026045</v>
      </c>
      <c r="AE17" s="56" t="n">
        <v>0.00122621755708395</v>
      </c>
      <c r="AF17" s="56" t="n">
        <v>0.657821402715426</v>
      </c>
      <c r="AG17" s="56" t="n">
        <v>0.50655671069811</v>
      </c>
      <c r="AH17" s="56" t="n">
        <v>0.0416063955671172</v>
      </c>
      <c r="AI17" s="56" t="n">
        <v>0.0555347430090513</v>
      </c>
      <c r="AJ17" s="56" t="n">
        <v>0.00774546518214343</v>
      </c>
      <c r="AK17" s="56" t="n">
        <v>0.100302617026558</v>
      </c>
      <c r="AL17" s="57" t="n">
        <v>13.1131811046724</v>
      </c>
      <c r="AM17" s="57" t="n">
        <v>0.0127061024956263</v>
      </c>
      <c r="AN17" s="57" t="n">
        <v>0</v>
      </c>
      <c r="AO17" s="57" t="n">
        <v>3.38232092535524</v>
      </c>
      <c r="AP17" s="57" t="n">
        <v>0.992706966036593</v>
      </c>
      <c r="AQ17" s="57" t="n">
        <v>9.27416814066761</v>
      </c>
      <c r="AR17" s="61" t="n">
        <v>76.3398252371585</v>
      </c>
      <c r="AT17" s="22" t="n">
        <v>26.7750832392275</v>
      </c>
      <c r="AV17" s="43" t="n">
        <v>76.3398252371584</v>
      </c>
      <c r="AW17" s="59" t="n">
        <f aca="false">AV17-AR17</f>
        <v>0</v>
      </c>
      <c r="AY17" s="19" t="n">
        <v>27.2723558503649</v>
      </c>
      <c r="AZ17" s="60" t="n">
        <f aca="false">AY17/$AR17</f>
        <v>0.357249388057153</v>
      </c>
      <c r="BB17" s="19" t="s">
        <v>130</v>
      </c>
      <c r="BC17" s="19" t="s">
        <v>129</v>
      </c>
      <c r="BD17" s="19" t="n">
        <f aca="false">$AY17*BQ17/$BZ17</f>
        <v>0.967431541989296</v>
      </c>
      <c r="BE17" s="19" t="n">
        <f aca="false">$AY17*BR17/$BZ17</f>
        <v>3.9042772944568</v>
      </c>
      <c r="BF17" s="19" t="n">
        <f aca="false">$AY17*BS17/$BZ17</f>
        <v>1.174738300987</v>
      </c>
      <c r="BG17" s="19" t="n">
        <f aca="false">$AY17*BT17/$BZ17</f>
        <v>0.230340843330785</v>
      </c>
      <c r="BH17" s="19" t="n">
        <f aca="false">$AY17*BU17/$BZ17</f>
        <v>2.89077758380135</v>
      </c>
      <c r="BI17" s="19" t="n">
        <f aca="false">$AY17*BV17/$BZ17</f>
        <v>0.460681686661569</v>
      </c>
      <c r="BJ17" s="19" t="n">
        <f aca="false">$AY17*BW17/$BZ17</f>
        <v>8.29227035990825</v>
      </c>
      <c r="BK17" s="19" t="n">
        <f aca="false">$AY17*BX17/$BZ17</f>
        <v>8.46502599240634</v>
      </c>
      <c r="BL17" s="19" t="n">
        <f aca="false">$AY17*BY17/$BZ17</f>
        <v>0.886812246823521</v>
      </c>
      <c r="BM17" s="19" t="n">
        <f aca="false">SUM(BD17:BL17)</f>
        <v>27.2723558503649</v>
      </c>
      <c r="BO17" s="19" t="s">
        <v>130</v>
      </c>
      <c r="BP17" s="19" t="s">
        <v>129</v>
      </c>
      <c r="BQ17" s="19" t="n">
        <v>205.923987504106</v>
      </c>
      <c r="BR17" s="19" t="n">
        <v>831.05037814157</v>
      </c>
      <c r="BS17" s="19" t="n">
        <v>250.050556254986</v>
      </c>
      <c r="BT17" s="19" t="n">
        <v>49.0295208343109</v>
      </c>
      <c r="BU17" s="19" t="n">
        <v>615.320486470602</v>
      </c>
      <c r="BV17" s="19" t="n">
        <v>98.0590416686218</v>
      </c>
      <c r="BW17" s="19" t="n">
        <v>1765.06275003519</v>
      </c>
      <c r="BX17" s="19" t="n">
        <v>1801.83489066093</v>
      </c>
      <c r="BY17" s="19" t="n">
        <v>188.763655212097</v>
      </c>
      <c r="BZ17" s="19" t="n">
        <v>5805.09526678241</v>
      </c>
      <c r="CB17" s="19" t="s">
        <v>130</v>
      </c>
      <c r="CC17" s="19" t="s">
        <v>129</v>
      </c>
      <c r="CD17" s="19" t="n">
        <f aca="false">BQ17/$AR17</f>
        <v>2.69746474876487</v>
      </c>
      <c r="CE17" s="19" t="n">
        <f aca="false">BR17/$AR17</f>
        <v>10.8861970218011</v>
      </c>
      <c r="CF17" s="19" t="n">
        <f aca="false">BS17/$AR17</f>
        <v>3.27549290921448</v>
      </c>
      <c r="CG17" s="19" t="n">
        <f aca="false">BT17/$AR17</f>
        <v>0.642253511610683</v>
      </c>
      <c r="CH17" s="19" t="n">
        <f aca="false">BU17/$AR17</f>
        <v>8.06028157071407</v>
      </c>
      <c r="CI17" s="19" t="n">
        <f aca="false">BV17/$AR17</f>
        <v>1.28450702322137</v>
      </c>
      <c r="CJ17" s="19" t="n">
        <f aca="false">BW17/$AR17</f>
        <v>23.1211264179846</v>
      </c>
      <c r="CK17" s="19" t="n">
        <f aca="false">BX17/$AR17</f>
        <v>23.6028165516926</v>
      </c>
      <c r="CL17" s="19" t="n">
        <f aca="false">BY17/$AR17</f>
        <v>2.47267601970113</v>
      </c>
      <c r="CM17" s="19" t="n">
        <f aca="false">BZ17/$AR17</f>
        <v>76.0428157747048</v>
      </c>
      <c r="CO17" s="19" t="n">
        <v>10</v>
      </c>
      <c r="CP17" s="19" t="s">
        <v>217</v>
      </c>
      <c r="CQ17" s="19" t="n">
        <v>6052.63658610024</v>
      </c>
      <c r="CR17" s="19" t="n">
        <v>89.7573015697249</v>
      </c>
      <c r="CS17" s="19" t="n">
        <v>0.476994514870646</v>
      </c>
      <c r="CT17" s="19" t="n">
        <v>0</v>
      </c>
      <c r="CU17" s="19" t="n">
        <v>6.61637693809414</v>
      </c>
      <c r="CW17" s="19" t="n">
        <v>10</v>
      </c>
      <c r="CX17" s="19" t="s">
        <v>217</v>
      </c>
      <c r="CY17" s="60" t="n">
        <f aca="false">CQ17/$AR17</f>
        <v>79.2854393797343</v>
      </c>
      <c r="CZ17" s="60" t="n">
        <f aca="false">CR17/$AR17</f>
        <v>1.17575985130806</v>
      </c>
      <c r="DA17" s="60" t="n">
        <f aca="false">CS17/$AR17</f>
        <v>0.00624830504116046</v>
      </c>
      <c r="DB17" s="60" t="n">
        <f aca="false">CT17/$AR17</f>
        <v>0</v>
      </c>
      <c r="DC17" s="60" t="n">
        <f aca="false">CU17/$AR17</f>
        <v>0.0866700561278414</v>
      </c>
    </row>
    <row r="18" customFormat="false" ht="12.75" hidden="false" customHeight="false" outlineLevel="0" collapsed="false">
      <c r="A18" s="53" t="n">
        <v>26</v>
      </c>
      <c r="B18" s="54" t="s">
        <v>131</v>
      </c>
      <c r="C18" s="55" t="s">
        <v>132</v>
      </c>
      <c r="D18" s="56" t="n">
        <v>0.384731129153173</v>
      </c>
      <c r="E18" s="56" t="n">
        <v>0.0503444257368819</v>
      </c>
      <c r="F18" s="56" t="n">
        <v>3.00713819555938</v>
      </c>
      <c r="G18" s="56" t="n">
        <v>0.137372839919347</v>
      </c>
      <c r="H18" s="56" t="n">
        <v>0.0144997274549261</v>
      </c>
      <c r="I18" s="56" t="n">
        <v>0.0006187201956991</v>
      </c>
      <c r="J18" s="56" t="n">
        <v>0.0132193327031136</v>
      </c>
      <c r="K18" s="56" t="n">
        <v>0.0614558262374847</v>
      </c>
      <c r="L18" s="56" t="n">
        <v>0.0283837705569876</v>
      </c>
      <c r="M18" s="56" t="n">
        <v>6.67768523145777</v>
      </c>
      <c r="N18" s="56" t="n">
        <v>26.7531123966802</v>
      </c>
      <c r="O18" s="56" t="n">
        <v>0.165000274703821</v>
      </c>
      <c r="P18" s="56" t="n">
        <v>0.255763183960296</v>
      </c>
      <c r="Q18" s="56" t="n">
        <v>0.0580370171339568</v>
      </c>
      <c r="R18" s="56" t="n">
        <v>0.147529417572878</v>
      </c>
      <c r="S18" s="56" t="n">
        <v>0.0397373718209912</v>
      </c>
      <c r="T18" s="56" t="n">
        <v>2.97330585003636</v>
      </c>
      <c r="U18" s="56" t="n">
        <v>96.6217988927951</v>
      </c>
      <c r="V18" s="56" t="n">
        <v>0.00053756570046584</v>
      </c>
      <c r="W18" s="56" t="n">
        <v>4.41917322242835</v>
      </c>
      <c r="X18" s="56" t="n">
        <v>16.9739865535056</v>
      </c>
      <c r="Y18" s="56" t="n">
        <v>1.63077040662689</v>
      </c>
      <c r="Z18" s="56" t="n">
        <v>4.28634226133563</v>
      </c>
      <c r="AA18" s="56" t="n">
        <v>0.0413618377642862</v>
      </c>
      <c r="AB18" s="56" t="n">
        <v>0.221109206094605</v>
      </c>
      <c r="AC18" s="56" t="n">
        <v>1.30026786413525</v>
      </c>
      <c r="AD18" s="56" t="n">
        <v>2.66061235845074</v>
      </c>
      <c r="AE18" s="56" t="n">
        <v>0.00467088855216494</v>
      </c>
      <c r="AF18" s="56" t="n">
        <v>2.50576289791471</v>
      </c>
      <c r="AG18" s="56" t="n">
        <v>1.92956782208276</v>
      </c>
      <c r="AH18" s="56" t="n">
        <v>0.158486424883239</v>
      </c>
      <c r="AI18" s="56" t="n">
        <v>0.211542065981559</v>
      </c>
      <c r="AJ18" s="56" t="n">
        <v>0.029503903643739</v>
      </c>
      <c r="AK18" s="56" t="n">
        <v>0.382071144647181</v>
      </c>
      <c r="AL18" s="57" t="n">
        <v>49.9505223607612</v>
      </c>
      <c r="AM18" s="57" t="n">
        <v>0.0483998849523829</v>
      </c>
      <c r="AN18" s="57" t="n">
        <v>0</v>
      </c>
      <c r="AO18" s="57" t="n">
        <v>12.8838834501439</v>
      </c>
      <c r="AP18" s="57" t="n">
        <v>3.75629676896674</v>
      </c>
      <c r="AQ18" s="57" t="n">
        <v>39.5040395571996</v>
      </c>
      <c r="AR18" s="61" t="n">
        <v>280.288642049449</v>
      </c>
      <c r="AT18" s="22" t="n">
        <v>106.143142022024</v>
      </c>
      <c r="AV18" s="43" t="n">
        <v>280.288642049449</v>
      </c>
      <c r="AW18" s="59" t="n">
        <f aca="false">AV18-AR18</f>
        <v>0</v>
      </c>
      <c r="AY18" s="19" t="n">
        <v>100.132945851536</v>
      </c>
      <c r="AZ18" s="60" t="n">
        <f aca="false">AY18/$AR18</f>
        <v>0.357249388057152</v>
      </c>
      <c r="BB18" s="19" t="s">
        <v>132</v>
      </c>
      <c r="BC18" s="19" t="s">
        <v>131</v>
      </c>
      <c r="BD18" s="19" t="n">
        <f aca="false">$AY18*BQ18/$BZ18</f>
        <v>3.5520132818957</v>
      </c>
      <c r="BE18" s="19" t="n">
        <f aca="false">$AY18*BR18/$BZ18</f>
        <v>14.3349107447934</v>
      </c>
      <c r="BF18" s="19" t="n">
        <f aca="false">$AY18*BS18/$BZ18</f>
        <v>4.31315898515907</v>
      </c>
      <c r="BG18" s="19" t="n">
        <f aca="false">$AY18*BT18/$BZ18</f>
        <v>0.845717448070405</v>
      </c>
      <c r="BH18" s="19" t="n">
        <f aca="false">$AY18*BU18/$BZ18</f>
        <v>10.6137539732836</v>
      </c>
      <c r="BI18" s="19" t="n">
        <f aca="false">$AY18*BV18/$BZ18</f>
        <v>1.69143489614081</v>
      </c>
      <c r="BJ18" s="19" t="n">
        <f aca="false">$AY18*BW18/$BZ18</f>
        <v>30.4458281305346</v>
      </c>
      <c r="BK18" s="19" t="n">
        <f aca="false">$AY18*BX18/$BZ18</f>
        <v>31.0801162165874</v>
      </c>
      <c r="BL18" s="19" t="n">
        <f aca="false">$AY18*BY18/$BZ18</f>
        <v>3.25601217507106</v>
      </c>
      <c r="BM18" s="19" t="n">
        <f aca="false">SUM(BD18:BL18)</f>
        <v>100.132945851536</v>
      </c>
      <c r="BO18" s="19" t="s">
        <v>132</v>
      </c>
      <c r="BP18" s="19" t="s">
        <v>131</v>
      </c>
      <c r="BQ18" s="19" t="n">
        <v>756.068731407562</v>
      </c>
      <c r="BR18" s="19" t="n">
        <v>3051.27738032338</v>
      </c>
      <c r="BS18" s="19" t="n">
        <v>918.083459566326</v>
      </c>
      <c r="BT18" s="19" t="n">
        <v>180.016364620848</v>
      </c>
      <c r="BU18" s="19" t="n">
        <v>2259.20537599164</v>
      </c>
      <c r="BV18" s="19" t="n">
        <v>360.032729241696</v>
      </c>
      <c r="BW18" s="19" t="n">
        <v>6480.58912635053</v>
      </c>
      <c r="BX18" s="19" t="n">
        <v>6615.60139981617</v>
      </c>
      <c r="BY18" s="19" t="n">
        <v>693.063003790265</v>
      </c>
      <c r="BZ18" s="19" t="n">
        <v>21313.9375711084</v>
      </c>
      <c r="CB18" s="19" t="s">
        <v>132</v>
      </c>
      <c r="CC18" s="19" t="s">
        <v>131</v>
      </c>
      <c r="CD18" s="19" t="n">
        <f aca="false">BQ18/$AR18</f>
        <v>2.69746474876486</v>
      </c>
      <c r="CE18" s="19" t="n">
        <f aca="false">BR18/$AR18</f>
        <v>10.8861970218011</v>
      </c>
      <c r="CF18" s="19" t="n">
        <f aca="false">BS18/$AR18</f>
        <v>3.27549290921448</v>
      </c>
      <c r="CG18" s="19" t="n">
        <f aca="false">BT18/$AR18</f>
        <v>0.642253511610682</v>
      </c>
      <c r="CH18" s="19" t="n">
        <f aca="false">BU18/$AR18</f>
        <v>8.06028157071406</v>
      </c>
      <c r="CI18" s="19" t="n">
        <f aca="false">BV18/$AR18</f>
        <v>1.28450702322136</v>
      </c>
      <c r="CJ18" s="19" t="n">
        <f aca="false">BW18/$AR18</f>
        <v>23.1211264179845</v>
      </c>
      <c r="CK18" s="19" t="n">
        <f aca="false">BX18/$AR18</f>
        <v>23.6028165516926</v>
      </c>
      <c r="CL18" s="19" t="n">
        <f aca="false">BY18/$AR18</f>
        <v>2.47267601970112</v>
      </c>
      <c r="CM18" s="19" t="n">
        <f aca="false">BZ18/$AR18</f>
        <v>76.0428157747047</v>
      </c>
      <c r="CO18" s="19" t="n">
        <v>11</v>
      </c>
      <c r="CP18" s="19" t="s">
        <v>218</v>
      </c>
      <c r="CQ18" s="19" t="n">
        <v>436.365944772958</v>
      </c>
      <c r="CR18" s="19" t="n">
        <v>351.342258695891</v>
      </c>
      <c r="CS18" s="19" t="n">
        <v>0.803487731155202</v>
      </c>
      <c r="CT18" s="19" t="n">
        <v>0</v>
      </c>
      <c r="CU18" s="19" t="n">
        <v>11.1451547737368</v>
      </c>
      <c r="CW18" s="19" t="n">
        <v>11</v>
      </c>
      <c r="CX18" s="19" t="s">
        <v>218</v>
      </c>
      <c r="CY18" s="60" t="n">
        <f aca="false">CQ18/$AR18</f>
        <v>1.55684490667293</v>
      </c>
      <c r="CZ18" s="60" t="n">
        <f aca="false">CR18/$AR18</f>
        <v>1.25350159081332</v>
      </c>
      <c r="DA18" s="60" t="n">
        <f aca="false">CS18/$AR18</f>
        <v>0.0028666439184983</v>
      </c>
      <c r="DB18" s="60" t="n">
        <f aca="false">CT18/$AR18</f>
        <v>0</v>
      </c>
      <c r="DC18" s="60" t="n">
        <f aca="false">CU18/$AR18</f>
        <v>0.0397631337903823</v>
      </c>
    </row>
    <row r="19" customFormat="false" ht="12.75" hidden="false" customHeight="false" outlineLevel="0" collapsed="false">
      <c r="A19" s="53" t="s">
        <v>193</v>
      </c>
      <c r="B19" s="54" t="s">
        <v>133</v>
      </c>
      <c r="C19" s="55" t="s">
        <v>134</v>
      </c>
      <c r="D19" s="56" t="n">
        <v>5.39159212377888</v>
      </c>
      <c r="E19" s="56" t="n">
        <v>0.867363341929287</v>
      </c>
      <c r="F19" s="56" t="n">
        <v>1.02424065749568</v>
      </c>
      <c r="G19" s="56" t="n">
        <v>0.738886800527629</v>
      </c>
      <c r="H19" s="56" t="n">
        <v>0.0779896319678845</v>
      </c>
      <c r="I19" s="56" t="n">
        <v>0.01017056053646</v>
      </c>
      <c r="J19" s="56" t="n">
        <v>0.215189960943695</v>
      </c>
      <c r="K19" s="56" t="n">
        <v>0.31077492789306</v>
      </c>
      <c r="L19" s="56" t="n">
        <v>0.143533409087919</v>
      </c>
      <c r="M19" s="56" t="n">
        <v>1.1610610567683</v>
      </c>
      <c r="N19" s="56" t="n">
        <v>4.22780592260207</v>
      </c>
      <c r="O19" s="56" t="n">
        <v>680.661746933433</v>
      </c>
      <c r="P19" s="56" t="n">
        <v>1.39949139986152</v>
      </c>
      <c r="Q19" s="56" t="n">
        <v>0.31756840486157</v>
      </c>
      <c r="R19" s="56" t="n">
        <v>0.807255164417533</v>
      </c>
      <c r="S19" s="56" t="n">
        <v>0.540632814346779</v>
      </c>
      <c r="T19" s="56" t="n">
        <v>3.51949574595886</v>
      </c>
      <c r="U19" s="56" t="n">
        <v>39.7606388625882</v>
      </c>
      <c r="V19" s="56" t="n">
        <v>0.04074277229</v>
      </c>
      <c r="W19" s="56" t="n">
        <v>0.461171662261675</v>
      </c>
      <c r="X19" s="56" t="n">
        <v>1.082073762954</v>
      </c>
      <c r="Y19" s="56" t="n">
        <v>0.166460974514613</v>
      </c>
      <c r="Z19" s="56" t="n">
        <v>0.291138842252957</v>
      </c>
      <c r="AA19" s="56" t="n">
        <v>0.00280939710969247</v>
      </c>
      <c r="AB19" s="56" t="n">
        <v>0.0150182776710405</v>
      </c>
      <c r="AC19" s="56" t="n">
        <v>0.0883173711996355</v>
      </c>
      <c r="AD19" s="56" t="n">
        <v>0.688212347693374</v>
      </c>
      <c r="AE19" s="56" t="n">
        <v>0.0096207525261943</v>
      </c>
      <c r="AF19" s="56" t="n">
        <v>0.190806270076142</v>
      </c>
      <c r="AG19" s="56" t="n">
        <v>0.146930756815401</v>
      </c>
      <c r="AH19" s="56" t="n">
        <v>0.021620346660196</v>
      </c>
      <c r="AI19" s="56" t="n">
        <v>0.142763413771505</v>
      </c>
      <c r="AJ19" s="56" t="n">
        <v>0.0507854180166529</v>
      </c>
      <c r="AK19" s="56" t="n">
        <v>0.590482273909109</v>
      </c>
      <c r="AL19" s="57" t="n">
        <v>13.1427841891257</v>
      </c>
      <c r="AM19" s="57" t="n">
        <v>0.00428109170770208</v>
      </c>
      <c r="AN19" s="57" t="n">
        <v>0</v>
      </c>
      <c r="AO19" s="57" t="n">
        <v>0.367871732062716</v>
      </c>
      <c r="AP19" s="57" t="n">
        <v>8.98890441073883</v>
      </c>
      <c r="AQ19" s="57" t="n">
        <v>960.722185467585</v>
      </c>
      <c r="AR19" s="61" t="n">
        <v>1728.39041924994</v>
      </c>
      <c r="AT19" s="22" t="n">
        <v>983.22602689122</v>
      </c>
      <c r="AV19" s="43" t="n">
        <v>1728.39041924994</v>
      </c>
      <c r="AW19" s="59" t="n">
        <f aca="false">AV19-AR19</f>
        <v>0</v>
      </c>
      <c r="AY19" s="19" t="n">
        <v>668.722530936475</v>
      </c>
      <c r="AZ19" s="60" t="n">
        <f aca="false">AY19/$AR19</f>
        <v>0.386904789270168</v>
      </c>
      <c r="BB19" s="19" t="s">
        <v>134</v>
      </c>
      <c r="BC19" s="19" t="s">
        <v>133</v>
      </c>
      <c r="BD19" s="19" t="n">
        <f aca="false">$AY19*BQ19/$BZ19</f>
        <v>23.7215762663277</v>
      </c>
      <c r="BE19" s="19" t="n">
        <f aca="false">$AY19*BR19/$BZ19</f>
        <v>95.7335042176795</v>
      </c>
      <c r="BF19" s="19" t="n">
        <f aca="false">$AY19*BS19/$BZ19</f>
        <v>28.8047711805407</v>
      </c>
      <c r="BG19" s="19" t="n">
        <f aca="false">$AY19*BT19/$BZ19</f>
        <v>5.64799434912563</v>
      </c>
      <c r="BH19" s="19" t="n">
        <f aca="false">$AY19*BU19/$BZ19</f>
        <v>70.8823290815267</v>
      </c>
      <c r="BI19" s="19" t="n">
        <f aca="false">$AY19*BV19/$BZ19</f>
        <v>11.2959886982513</v>
      </c>
      <c r="BJ19" s="19" t="n">
        <f aca="false">$AY19*BW19/$BZ19</f>
        <v>203.327796568523</v>
      </c>
      <c r="BK19" s="19" t="n">
        <f aca="false">$AY19*BX19/$BZ19</f>
        <v>207.563792330367</v>
      </c>
      <c r="BL19" s="19" t="n">
        <f aca="false">$AY19*BY19/$BZ19</f>
        <v>21.7447782441337</v>
      </c>
      <c r="BM19" s="19" t="n">
        <f aca="false">SUM(BD19:BL19)</f>
        <v>668.722530936475</v>
      </c>
      <c r="BO19" s="19" t="s">
        <v>134</v>
      </c>
      <c r="BP19" s="19" t="s">
        <v>133</v>
      </c>
      <c r="BQ19" s="19" t="n">
        <v>5049.28913584978</v>
      </c>
      <c r="BR19" s="19" t="n">
        <v>20377.4882982509</v>
      </c>
      <c r="BS19" s="19" t="n">
        <v>6131.27966496045</v>
      </c>
      <c r="BT19" s="19" t="n">
        <v>1202.21169901185</v>
      </c>
      <c r="BU19" s="19" t="n">
        <v>15087.7568225987</v>
      </c>
      <c r="BV19" s="19" t="n">
        <v>2404.4233980237</v>
      </c>
      <c r="BW19" s="19" t="n">
        <v>43279.6211644267</v>
      </c>
      <c r="BX19" s="19" t="n">
        <v>44181.2799386856</v>
      </c>
      <c r="BY19" s="19" t="n">
        <v>4628.51504119563</v>
      </c>
      <c r="BZ19" s="19" t="n">
        <v>142341.865163003</v>
      </c>
      <c r="CB19" s="19" t="s">
        <v>134</v>
      </c>
      <c r="CC19" s="19" t="s">
        <v>133</v>
      </c>
      <c r="CD19" s="19" t="n">
        <f aca="false">BQ19/$AR19</f>
        <v>2.92138227544734</v>
      </c>
      <c r="CE19" s="19" t="n">
        <f aca="false">BR19/$AR19</f>
        <v>11.7898641830554</v>
      </c>
      <c r="CF19" s="19" t="n">
        <f aca="false">BS19/$AR19</f>
        <v>3.5473927630432</v>
      </c>
      <c r="CG19" s="19" t="n">
        <f aca="false">BT19/$AR19</f>
        <v>0.695567208439844</v>
      </c>
      <c r="CH19" s="19" t="n">
        <f aca="false">BU19/$AR19</f>
        <v>8.72936846592004</v>
      </c>
      <c r="CI19" s="19" t="n">
        <f aca="false">BV19/$AR19</f>
        <v>1.39113441687969</v>
      </c>
      <c r="CJ19" s="19" t="n">
        <f aca="false">BW19/$AR19</f>
        <v>25.0404195038344</v>
      </c>
      <c r="CK19" s="19" t="n">
        <f aca="false">BX19/$AR19</f>
        <v>25.5620949101643</v>
      </c>
      <c r="CL19" s="19" t="n">
        <f aca="false">BY19/$AR19</f>
        <v>2.6779337524934</v>
      </c>
      <c r="CM19" s="19" t="n">
        <f aca="false">BZ19/$AR19</f>
        <v>82.3551574792775</v>
      </c>
      <c r="CO19" s="19" t="n">
        <v>12</v>
      </c>
      <c r="CP19" s="19" t="s">
        <v>219</v>
      </c>
      <c r="CQ19" s="19" t="n">
        <v>1297.77363431867</v>
      </c>
      <c r="CR19" s="19" t="n">
        <v>2080.16983781721</v>
      </c>
      <c r="CS19" s="19" t="n">
        <v>1.38342836776183</v>
      </c>
      <c r="CT19" s="19" t="n">
        <v>0</v>
      </c>
      <c r="CU19" s="19" t="n">
        <v>19.1894943497344</v>
      </c>
      <c r="CW19" s="19" t="n">
        <v>12</v>
      </c>
      <c r="CX19" s="19" t="s">
        <v>219</v>
      </c>
      <c r="CY19" s="60" t="n">
        <f aca="false">CQ19/$AR19</f>
        <v>0.750856762375401</v>
      </c>
      <c r="CZ19" s="60" t="n">
        <f aca="false">CR19/$AR19</f>
        <v>1.20353006742535</v>
      </c>
      <c r="DA19" s="60" t="n">
        <f aca="false">CS19/$AR19</f>
        <v>0.000800414276979265</v>
      </c>
      <c r="DB19" s="60" t="n">
        <f aca="false">CT19/$AR19</f>
        <v>0</v>
      </c>
      <c r="DC19" s="60" t="n">
        <f aca="false">CU19/$AR19</f>
        <v>0.0111025229809258</v>
      </c>
    </row>
    <row r="20" customFormat="false" ht="12.75" hidden="false" customHeight="false" outlineLevel="0" collapsed="false">
      <c r="A20" s="53" t="n">
        <v>29</v>
      </c>
      <c r="B20" s="54" t="s">
        <v>135</v>
      </c>
      <c r="C20" s="55" t="s">
        <v>136</v>
      </c>
      <c r="D20" s="56" t="n">
        <v>2.86595369654051</v>
      </c>
      <c r="E20" s="56" t="n">
        <v>0.12127127552652</v>
      </c>
      <c r="F20" s="56" t="n">
        <v>0.143011486979084</v>
      </c>
      <c r="G20" s="56" t="n">
        <v>0.018525717961289</v>
      </c>
      <c r="H20" s="56" t="n">
        <v>0.00195539279455263</v>
      </c>
      <c r="I20" s="56" t="n">
        <v>0.00119336152213944</v>
      </c>
      <c r="J20" s="56" t="n">
        <v>0.0278856117507206</v>
      </c>
      <c r="K20" s="56" t="n">
        <v>0.0337658019357046</v>
      </c>
      <c r="L20" s="56" t="n">
        <v>0.0155949538634817</v>
      </c>
      <c r="M20" s="56" t="n">
        <v>0.0739231347810947</v>
      </c>
      <c r="N20" s="56" t="n">
        <v>0.269178494294456</v>
      </c>
      <c r="O20" s="56" t="n">
        <v>0.599482730632377</v>
      </c>
      <c r="P20" s="56" t="n">
        <v>0.171491065948039</v>
      </c>
      <c r="Q20" s="56" t="n">
        <v>0.0389142400349998</v>
      </c>
      <c r="R20" s="56" t="n">
        <v>0.0989195422363593</v>
      </c>
      <c r="S20" s="56" t="n">
        <v>0.020215163422256</v>
      </c>
      <c r="T20" s="56" t="n">
        <v>1.12896419552055</v>
      </c>
      <c r="U20" s="56" t="n">
        <v>3.53682311455348</v>
      </c>
      <c r="V20" s="56" t="n">
        <v>0.00796124188356178</v>
      </c>
      <c r="W20" s="56" t="n">
        <v>0.316207326842711</v>
      </c>
      <c r="X20" s="56" t="n">
        <v>1.45697037776842</v>
      </c>
      <c r="Y20" s="56" t="n">
        <v>0.334688675200921</v>
      </c>
      <c r="Z20" s="56" t="n">
        <v>1.21091272835597</v>
      </c>
      <c r="AA20" s="56" t="n">
        <v>0.0131142073933632</v>
      </c>
      <c r="AB20" s="56" t="n">
        <v>0.0701050084338916</v>
      </c>
      <c r="AC20" s="56" t="n">
        <v>0.35235485346603</v>
      </c>
      <c r="AD20" s="56" t="n">
        <v>2.24340522063464</v>
      </c>
      <c r="AE20" s="56" t="n">
        <v>0.0280589102731555</v>
      </c>
      <c r="AF20" s="56" t="n">
        <v>0.194731437843665</v>
      </c>
      <c r="AG20" s="56" t="n">
        <v>0.149953340247691</v>
      </c>
      <c r="AH20" s="56" t="n">
        <v>0.333654251039262</v>
      </c>
      <c r="AI20" s="56" t="n">
        <v>0.18939591112986</v>
      </c>
      <c r="AJ20" s="56" t="n">
        <v>0.108554321868075</v>
      </c>
      <c r="AK20" s="56" t="n">
        <v>0.408204003193396</v>
      </c>
      <c r="AL20" s="57" t="n">
        <v>12.9101696389685</v>
      </c>
      <c r="AM20" s="57" t="n">
        <v>0.0379780360363981</v>
      </c>
      <c r="AN20" s="57" t="n">
        <v>0</v>
      </c>
      <c r="AO20" s="57" t="n">
        <v>0.13540936789856</v>
      </c>
      <c r="AP20" s="57" t="n">
        <v>0.0224266283135065</v>
      </c>
      <c r="AQ20" s="57" t="n">
        <v>4.50693799334708</v>
      </c>
      <c r="AR20" s="61" t="n">
        <v>34.1982624604363</v>
      </c>
      <c r="AT20" s="22" t="n">
        <v>17.6129216645641</v>
      </c>
      <c r="AV20" s="43" t="n">
        <v>34.1982624604363</v>
      </c>
      <c r="AW20" s="59" t="n">
        <f aca="false">AV20-AR20</f>
        <v>0</v>
      </c>
      <c r="AY20" s="19" t="n">
        <v>15.466765562723</v>
      </c>
      <c r="AZ20" s="60" t="n">
        <f aca="false">AY20/$AR20</f>
        <v>0.452267584665051</v>
      </c>
      <c r="BB20" s="19" t="s">
        <v>136</v>
      </c>
      <c r="BC20" s="19" t="s">
        <v>135</v>
      </c>
      <c r="BD20" s="19" t="n">
        <f aca="false">$AY20*BQ20/$BZ20</f>
        <v>0.548652156785782</v>
      </c>
      <c r="BE20" s="19" t="n">
        <f aca="false">$AY20*BR20/$BZ20</f>
        <v>2.21420334702834</v>
      </c>
      <c r="BF20" s="19" t="n">
        <f aca="false">$AY20*BS20/$BZ20</f>
        <v>0.666220476097021</v>
      </c>
      <c r="BG20" s="19" t="n">
        <f aca="false">$AY20*BT20/$BZ20</f>
        <v>0.130631465901377</v>
      </c>
      <c r="BH20" s="19" t="n">
        <f aca="false">$AY20*BU20/$BZ20</f>
        <v>1.63942489706228</v>
      </c>
      <c r="BI20" s="19" t="n">
        <f aca="false">$AY20*BV20/$BZ20</f>
        <v>0.261262931802753</v>
      </c>
      <c r="BJ20" s="19" t="n">
        <f aca="false">$AY20*BW20/$BZ20</f>
        <v>4.70273277244956</v>
      </c>
      <c r="BK20" s="19" t="n">
        <f aca="false">$AY20*BX20/$BZ20</f>
        <v>4.80070637187559</v>
      </c>
      <c r="BL20" s="19" t="n">
        <f aca="false">$AY20*BY20/$BZ20</f>
        <v>0.5029311437203</v>
      </c>
      <c r="BM20" s="19" t="n">
        <f aca="false">SUM(BD20:BL20)</f>
        <v>15.466765562723</v>
      </c>
      <c r="BO20" s="19" t="s">
        <v>136</v>
      </c>
      <c r="BP20" s="19" t="s">
        <v>135</v>
      </c>
      <c r="BQ20" s="19" t="n">
        <v>116.784118539011</v>
      </c>
      <c r="BR20" s="19" t="n">
        <v>471.307335532437</v>
      </c>
      <c r="BS20" s="19" t="n">
        <v>141.809286797371</v>
      </c>
      <c r="BT20" s="19" t="n">
        <v>27.8057425092883</v>
      </c>
      <c r="BU20" s="19" t="n">
        <v>348.962068491569</v>
      </c>
      <c r="BV20" s="19" t="n">
        <v>55.6114850185767</v>
      </c>
      <c r="BW20" s="19" t="n">
        <v>1001.00673033438</v>
      </c>
      <c r="BX20" s="19" t="n">
        <v>1021.86103721635</v>
      </c>
      <c r="BY20" s="19" t="n">
        <v>107.05210866076</v>
      </c>
      <c r="BZ20" s="19" t="n">
        <v>3292.19991309974</v>
      </c>
      <c r="CB20" s="19" t="s">
        <v>136</v>
      </c>
      <c r="CC20" s="19" t="s">
        <v>135</v>
      </c>
      <c r="CD20" s="19" t="n">
        <f aca="false">BQ20/$AR20</f>
        <v>3.41491380370911</v>
      </c>
      <c r="CE20" s="19" t="n">
        <f aca="false">BR20/$AR20</f>
        <v>13.7816164221118</v>
      </c>
      <c r="CF20" s="19" t="n">
        <f aca="false">BS20/$AR20</f>
        <v>4.14668104736107</v>
      </c>
      <c r="CG20" s="19" t="n">
        <f aca="false">BT20/$AR20</f>
        <v>0.813074715168836</v>
      </c>
      <c r="CH20" s="19" t="n">
        <f aca="false">BU20/$AR20</f>
        <v>10.2040876753689</v>
      </c>
      <c r="CI20" s="19" t="n">
        <f aca="false">BV20/$AR20</f>
        <v>1.62614943033767</v>
      </c>
      <c r="CJ20" s="19" t="n">
        <f aca="false">BW20/$AR20</f>
        <v>29.2706897460781</v>
      </c>
      <c r="CK20" s="19" t="n">
        <f aca="false">BX20/$AR20</f>
        <v>29.8804957824547</v>
      </c>
      <c r="CL20" s="19" t="n">
        <f aca="false">BY20/$AR20</f>
        <v>3.13033765340002</v>
      </c>
      <c r="CM20" s="19" t="n">
        <f aca="false">BZ20/$AR20</f>
        <v>96.2680462759902</v>
      </c>
      <c r="CO20" s="19" t="n">
        <v>13</v>
      </c>
      <c r="CP20" s="19" t="s">
        <v>135</v>
      </c>
      <c r="CQ20" s="19" t="n">
        <v>4162.26532964067</v>
      </c>
      <c r="CR20" s="19" t="n">
        <v>42.0377457173351</v>
      </c>
      <c r="CS20" s="19" t="n">
        <v>0.0465555715962332</v>
      </c>
      <c r="CT20" s="19" t="n">
        <v>0</v>
      </c>
      <c r="CU20" s="19" t="n">
        <v>0.645770969363538</v>
      </c>
      <c r="CW20" s="19" t="n">
        <v>13</v>
      </c>
      <c r="CX20" s="19" t="s">
        <v>135</v>
      </c>
      <c r="CY20" s="60" t="n">
        <f aca="false">CQ20/$AR20</f>
        <v>121.709848108686</v>
      </c>
      <c r="CZ20" s="60" t="n">
        <f aca="false">CR20/$AR20</f>
        <v>1.22923630304225</v>
      </c>
      <c r="DA20" s="60" t="n">
        <f aca="false">CS20/$AR20</f>
        <v>0.00136134318666315</v>
      </c>
      <c r="DB20" s="60" t="n">
        <f aca="false">CT20/$AR20</f>
        <v>0</v>
      </c>
      <c r="DC20" s="60" t="n">
        <f aca="false">CU20/$AR20</f>
        <v>0.0188831514498909</v>
      </c>
    </row>
    <row r="21" customFormat="false" ht="12.75" hidden="false" customHeight="false" outlineLevel="0" collapsed="false">
      <c r="A21" s="53" t="s">
        <v>194</v>
      </c>
      <c r="B21" s="54" t="s">
        <v>137</v>
      </c>
      <c r="C21" s="55" t="s">
        <v>138</v>
      </c>
      <c r="D21" s="56" t="n">
        <v>0.647641090545069</v>
      </c>
      <c r="E21" s="56" t="n">
        <v>0.0274045813191586</v>
      </c>
      <c r="F21" s="56" t="n">
        <v>0.0323173802491674</v>
      </c>
      <c r="G21" s="56" t="n">
        <v>0.00418639568324583</v>
      </c>
      <c r="H21" s="56" t="n">
        <v>0.000441874801898121</v>
      </c>
      <c r="I21" s="56" t="n">
        <v>0.000269672869644003</v>
      </c>
      <c r="J21" s="56" t="n">
        <v>0.00630152120969474</v>
      </c>
      <c r="K21" s="56" t="n">
        <v>0.00763031196741443</v>
      </c>
      <c r="L21" s="56" t="n">
        <v>0.00352410889936466</v>
      </c>
      <c r="M21" s="56" t="n">
        <v>0.0167049661981382</v>
      </c>
      <c r="N21" s="56" t="n">
        <v>0.0608282868654082</v>
      </c>
      <c r="O21" s="56" t="n">
        <v>0.135469616937059</v>
      </c>
      <c r="P21" s="56" t="n">
        <v>0.0387531246940212</v>
      </c>
      <c r="Q21" s="56" t="n">
        <v>0.00879374320821095</v>
      </c>
      <c r="R21" s="56" t="n">
        <v>0.0223535922047545</v>
      </c>
      <c r="S21" s="56" t="n">
        <v>0.00456817236794174</v>
      </c>
      <c r="T21" s="56" t="n">
        <v>0.279090756360511</v>
      </c>
      <c r="U21" s="56" t="n">
        <v>0.799242493603238</v>
      </c>
      <c r="V21" s="56" t="n">
        <v>0.00179906164631582</v>
      </c>
      <c r="W21" s="56" t="n">
        <v>0.0714557455139472</v>
      </c>
      <c r="X21" s="56" t="n">
        <v>0.329242543411927</v>
      </c>
      <c r="Y21" s="56" t="n">
        <v>0.0756321146646086</v>
      </c>
      <c r="Z21" s="56" t="n">
        <v>0.307110236734588</v>
      </c>
      <c r="AA21" s="56" t="n">
        <v>0.0029635159800817</v>
      </c>
      <c r="AB21" s="56" t="n">
        <v>0.0158421554994425</v>
      </c>
      <c r="AC21" s="56" t="n">
        <v>0.093162315845615</v>
      </c>
      <c r="AD21" s="56" t="n">
        <v>0.540397894488197</v>
      </c>
      <c r="AE21" s="56" t="n">
        <v>0.00634068277891173</v>
      </c>
      <c r="AF21" s="56" t="n">
        <v>0.0440049261510107</v>
      </c>
      <c r="AG21" s="56" t="n">
        <v>0.0338860829908452</v>
      </c>
      <c r="AH21" s="56" t="n">
        <v>0.0753983580645103</v>
      </c>
      <c r="AI21" s="56" t="n">
        <v>0.0427992170902775</v>
      </c>
      <c r="AJ21" s="56" t="n">
        <v>0.0245308357503773</v>
      </c>
      <c r="AK21" s="56" t="n">
        <v>0.0922449256986096</v>
      </c>
      <c r="AL21" s="57" t="n">
        <v>2.91764933134154</v>
      </c>
      <c r="AM21" s="57" t="n">
        <v>0.00858286645343954</v>
      </c>
      <c r="AN21" s="57" t="n">
        <v>0</v>
      </c>
      <c r="AO21" s="57" t="n">
        <v>0.0306019121184713</v>
      </c>
      <c r="AP21" s="57" t="n">
        <v>0.0050667365166185</v>
      </c>
      <c r="AQ21" s="57" t="n">
        <v>1.01295480665018</v>
      </c>
      <c r="AR21" s="61" t="n">
        <v>7.82718795537345</v>
      </c>
      <c r="AT21" s="22" t="n">
        <v>3.97485565308025</v>
      </c>
      <c r="AV21" s="43" t="n">
        <v>7.82718795537346</v>
      </c>
      <c r="AW21" s="59" t="n">
        <f aca="false">AV21-AR21</f>
        <v>0</v>
      </c>
      <c r="AY21" s="19" t="n">
        <v>3.5736685285405</v>
      </c>
      <c r="AZ21" s="60" t="n">
        <f aca="false">AY21/$AR21</f>
        <v>0.456571191201195</v>
      </c>
      <c r="BB21" s="19" t="s">
        <v>138</v>
      </c>
      <c r="BC21" s="19" t="s">
        <v>137</v>
      </c>
      <c r="BD21" s="19" t="n">
        <f aca="false">$AY21*BQ21/$BZ21</f>
        <v>0.126768647127281</v>
      </c>
      <c r="BE21" s="19" t="n">
        <f aca="false">$AY21*BR21/$BZ21</f>
        <v>0.511602040192242</v>
      </c>
      <c r="BF21" s="19" t="n">
        <f aca="false">$AY21*BS21/$BZ21</f>
        <v>0.153933357225984</v>
      </c>
      <c r="BG21" s="19" t="n">
        <f aca="false">$AY21*BT21/$BZ21</f>
        <v>0.0301830112207812</v>
      </c>
      <c r="BH21" s="19" t="n">
        <f aca="false">$AY21*BU21/$BZ21</f>
        <v>0.378796790820805</v>
      </c>
      <c r="BI21" s="19" t="n">
        <f aca="false">$AY21*BV21/$BZ21</f>
        <v>0.0603660224415625</v>
      </c>
      <c r="BJ21" s="19" t="n">
        <f aca="false">$AY21*BW21/$BZ21</f>
        <v>1.08658840394813</v>
      </c>
      <c r="BK21" s="19" t="n">
        <f aca="false">$AY21*BX21/$BZ21</f>
        <v>1.10922566236371</v>
      </c>
      <c r="BL21" s="19" t="n">
        <f aca="false">$AY21*BY21/$BZ21</f>
        <v>0.116204593200008</v>
      </c>
      <c r="BM21" s="19" t="n">
        <f aca="false">SUM(BD21:BL21)</f>
        <v>3.5736685285405</v>
      </c>
      <c r="BO21" s="19" t="s">
        <v>138</v>
      </c>
      <c r="BP21" s="19" t="s">
        <v>137</v>
      </c>
      <c r="BQ21" s="19" t="n">
        <v>26.9835168422072</v>
      </c>
      <c r="BR21" s="19" t="n">
        <v>108.897764398908</v>
      </c>
      <c r="BS21" s="19" t="n">
        <v>32.7656990226802</v>
      </c>
      <c r="BT21" s="19" t="n">
        <v>6.4246468671922</v>
      </c>
      <c r="BU21" s="19" t="n">
        <v>80.6293181832621</v>
      </c>
      <c r="BV21" s="19" t="n">
        <v>12.8492937343844</v>
      </c>
      <c r="BW21" s="19" t="n">
        <v>231.287287218919</v>
      </c>
      <c r="BX21" s="19" t="n">
        <v>236.105772369313</v>
      </c>
      <c r="BY21" s="19" t="n">
        <v>24.73489043869</v>
      </c>
      <c r="BZ21" s="19" t="n">
        <v>760.678189075556</v>
      </c>
      <c r="CB21" s="19" t="s">
        <v>138</v>
      </c>
      <c r="CC21" s="19" t="s">
        <v>137</v>
      </c>
      <c r="CD21" s="19" t="n">
        <f aca="false">BQ21/$AR21</f>
        <v>3.44740882626726</v>
      </c>
      <c r="CE21" s="19" t="n">
        <f aca="false">BR21/$AR21</f>
        <v>13.9127570488643</v>
      </c>
      <c r="CF21" s="19" t="n">
        <f aca="false">BS21/$AR21</f>
        <v>4.18613928903882</v>
      </c>
      <c r="CG21" s="19" t="n">
        <f aca="false">BT21/$AR21</f>
        <v>0.820811625301729</v>
      </c>
      <c r="CH21" s="19" t="n">
        <f aca="false">BU21/$AR21</f>
        <v>10.3011858975367</v>
      </c>
      <c r="CI21" s="19" t="n">
        <f aca="false">BV21/$AR21</f>
        <v>1.64162325060346</v>
      </c>
      <c r="CJ21" s="19" t="n">
        <f aca="false">BW21/$AR21</f>
        <v>29.5492185108622</v>
      </c>
      <c r="CK21" s="19" t="n">
        <f aca="false">BX21/$AR21</f>
        <v>30.1648272298385</v>
      </c>
      <c r="CL21" s="19" t="n">
        <f aca="false">BY21/$AR21</f>
        <v>3.16012475741165</v>
      </c>
      <c r="CM21" s="19" t="n">
        <f aca="false">BZ21/$AR21</f>
        <v>97.1840964357246</v>
      </c>
      <c r="CO21" s="19" t="n">
        <v>14</v>
      </c>
      <c r="CP21" s="19" t="s">
        <v>220</v>
      </c>
      <c r="CQ21" s="19" t="n">
        <v>9.68047751155055</v>
      </c>
      <c r="CR21" s="19" t="n">
        <v>9.04565194723758</v>
      </c>
      <c r="CS21" s="19" t="n">
        <v>0.015848715305113</v>
      </c>
      <c r="CT21" s="19" t="n">
        <v>0</v>
      </c>
      <c r="CU21" s="19" t="n">
        <v>0.21983706557214</v>
      </c>
      <c r="CW21" s="19" t="n">
        <v>14</v>
      </c>
      <c r="CX21" s="19" t="s">
        <v>220</v>
      </c>
      <c r="CY21" s="60" t="n">
        <f aca="false">CQ21/$AR21</f>
        <v>1.23677591067745</v>
      </c>
      <c r="CZ21" s="60" t="n">
        <f aca="false">CR21/$AR21</f>
        <v>1.15567072092956</v>
      </c>
      <c r="DA21" s="60" t="n">
        <f aca="false">CS21/$AR21</f>
        <v>0.00202482876295729</v>
      </c>
      <c r="DB21" s="60" t="n">
        <f aca="false">CT21/$AR21</f>
        <v>0</v>
      </c>
      <c r="DC21" s="60" t="n">
        <f aca="false">CU21/$AR21</f>
        <v>0.0280863404361229</v>
      </c>
    </row>
    <row r="22" customFormat="false" ht="12.75" hidden="false" customHeight="false" outlineLevel="0" collapsed="false">
      <c r="A22" s="53" t="s">
        <v>195</v>
      </c>
      <c r="B22" s="54" t="s">
        <v>139</v>
      </c>
      <c r="C22" s="55" t="s">
        <v>140</v>
      </c>
      <c r="D22" s="56" t="n">
        <v>1.66106263632108</v>
      </c>
      <c r="E22" s="56" t="n">
        <v>0.0702869641192252</v>
      </c>
      <c r="F22" s="56" t="n">
        <v>0.0828872559498865</v>
      </c>
      <c r="G22" s="56" t="n">
        <v>0.0107372208956708</v>
      </c>
      <c r="H22" s="56" t="n">
        <v>0.00113331555715067</v>
      </c>
      <c r="I22" s="56" t="n">
        <v>0.000691653964417449</v>
      </c>
      <c r="J22" s="56" t="n">
        <v>0.0161620712246645</v>
      </c>
      <c r="K22" s="56" t="n">
        <v>0.0195701389204298</v>
      </c>
      <c r="L22" s="56" t="n">
        <v>0.00903859514864093</v>
      </c>
      <c r="M22" s="56" t="n">
        <v>0.0428447107477085</v>
      </c>
      <c r="N22" s="56" t="n">
        <v>0.156011710835876</v>
      </c>
      <c r="O22" s="56" t="n">
        <v>0.347450960626186</v>
      </c>
      <c r="P22" s="56" t="n">
        <v>0.099393581429112</v>
      </c>
      <c r="Q22" s="56" t="n">
        <v>0.0225540943738883</v>
      </c>
      <c r="R22" s="56" t="n">
        <v>0.0573322436469025</v>
      </c>
      <c r="S22" s="56" t="n">
        <v>0.0117163974729833</v>
      </c>
      <c r="T22" s="56" t="n">
        <v>0.715808855091114</v>
      </c>
      <c r="U22" s="56" t="n">
        <v>2.04988822183455</v>
      </c>
      <c r="V22" s="56" t="n">
        <v>0.00461421321895806</v>
      </c>
      <c r="W22" s="56" t="n">
        <v>0.1832688980926</v>
      </c>
      <c r="X22" s="56" t="n">
        <v>0.8444375984368</v>
      </c>
      <c r="Y22" s="56" t="n">
        <v>0.193980403049472</v>
      </c>
      <c r="Z22" s="56" t="n">
        <v>0.787672905439351</v>
      </c>
      <c r="AA22" s="56" t="n">
        <v>0.00760079268983871</v>
      </c>
      <c r="AB22" s="56" t="n">
        <v>0.040631783503368</v>
      </c>
      <c r="AC22" s="56" t="n">
        <v>0.238941667265202</v>
      </c>
      <c r="AD22" s="56" t="n">
        <v>1.24061003950662</v>
      </c>
      <c r="AE22" s="56" t="n">
        <v>0.0162625123800445</v>
      </c>
      <c r="AF22" s="56" t="n">
        <v>0.11286334315507</v>
      </c>
      <c r="AG22" s="56" t="n">
        <v>0.0869106472228249</v>
      </c>
      <c r="AH22" s="56" t="n">
        <v>0.19338086673208</v>
      </c>
      <c r="AI22" s="56" t="n">
        <v>0.109770954021187</v>
      </c>
      <c r="AJ22" s="56" t="n">
        <v>0.0629164135777533</v>
      </c>
      <c r="AK22" s="56" t="n">
        <v>0.23658875526137</v>
      </c>
      <c r="AL22" s="57" t="n">
        <v>7.48256395544689</v>
      </c>
      <c r="AM22" s="57" t="n">
        <v>0.0220115030511195</v>
      </c>
      <c r="AN22" s="57" t="n">
        <v>0</v>
      </c>
      <c r="AO22" s="57" t="n">
        <v>0.0784812493145465</v>
      </c>
      <c r="AP22" s="57" t="n">
        <v>0.0129496618478929</v>
      </c>
      <c r="AQ22" s="57" t="n">
        <v>2.60641630078306</v>
      </c>
      <c r="AR22" s="61" t="n">
        <v>19.9374450921555</v>
      </c>
      <c r="AT22" s="22" t="n">
        <v>10.2024226704435</v>
      </c>
      <c r="AV22" s="43" t="n">
        <v>19.9374450921555</v>
      </c>
      <c r="AW22" s="59" t="n">
        <f aca="false">AV22-AR22</f>
        <v>0</v>
      </c>
      <c r="AY22" s="19" t="n">
        <v>9.12320640891931</v>
      </c>
      <c r="AZ22" s="60" t="n">
        <f aca="false">AY22/$AR22</f>
        <v>0.457591550308965</v>
      </c>
      <c r="BB22" s="19" t="s">
        <v>140</v>
      </c>
      <c r="BC22" s="19" t="s">
        <v>139</v>
      </c>
      <c r="BD22" s="19" t="n">
        <f aca="false">$AY22*BQ22/$BZ22</f>
        <v>0.323627254370449</v>
      </c>
      <c r="BE22" s="19" t="n">
        <f aca="false">$AY22*BR22/$BZ22</f>
        <v>1.30606713370931</v>
      </c>
      <c r="BF22" s="19" t="n">
        <f aca="false">$AY22*BS22/$BZ22</f>
        <v>0.392975951735545</v>
      </c>
      <c r="BG22" s="19" t="n">
        <f aca="false">$AY22*BT22/$BZ22</f>
        <v>0.0770541081834401</v>
      </c>
      <c r="BH22" s="19" t="n">
        <f aca="false">$AY22*BU22/$BZ22</f>
        <v>0.967029057702174</v>
      </c>
      <c r="BI22" s="19" t="n">
        <f aca="false">$AY22*BV22/$BZ22</f>
        <v>0.15410821636688</v>
      </c>
      <c r="BJ22" s="19" t="n">
        <f aca="false">$AY22*BW22/$BZ22</f>
        <v>2.77394789460385</v>
      </c>
      <c r="BK22" s="19" t="n">
        <f aca="false">$AY22*BX22/$BZ22</f>
        <v>2.83173847574143</v>
      </c>
      <c r="BL22" s="19" t="n">
        <f aca="false">$AY22*BY22/$BZ22</f>
        <v>0.296658316506245</v>
      </c>
      <c r="BM22" s="19" t="n">
        <f aca="false">SUM(BD22:BL22)</f>
        <v>9.12320640891931</v>
      </c>
      <c r="BO22" s="19" t="s">
        <v>140</v>
      </c>
      <c r="BP22" s="19" t="s">
        <v>139</v>
      </c>
      <c r="BQ22" s="19" t="n">
        <v>68.8861297078793</v>
      </c>
      <c r="BR22" s="19" t="n">
        <v>278.004737749656</v>
      </c>
      <c r="BS22" s="19" t="n">
        <v>83.6474432167106</v>
      </c>
      <c r="BT22" s="19" t="n">
        <v>16.401459454257</v>
      </c>
      <c r="BU22" s="19" t="n">
        <v>205.838316150925</v>
      </c>
      <c r="BV22" s="19" t="n">
        <v>32.802918908514</v>
      </c>
      <c r="BW22" s="19" t="n">
        <v>590.452540353251</v>
      </c>
      <c r="BX22" s="19" t="n">
        <v>602.753634943944</v>
      </c>
      <c r="BY22" s="19" t="n">
        <v>63.1456188988894</v>
      </c>
      <c r="BZ22" s="19" t="n">
        <v>1941.93279938403</v>
      </c>
      <c r="CB22" s="19" t="s">
        <v>140</v>
      </c>
      <c r="CC22" s="19" t="s">
        <v>139</v>
      </c>
      <c r="CD22" s="19" t="n">
        <f aca="false">BQ22/$AR22</f>
        <v>3.4551131997842</v>
      </c>
      <c r="CE22" s="19" t="n">
        <f aca="false">BR22/$AR22</f>
        <v>13.9438496991291</v>
      </c>
      <c r="CF22" s="19" t="n">
        <f aca="false">BS22/$AR22</f>
        <v>4.19549459973796</v>
      </c>
      <c r="CG22" s="19" t="n">
        <f aca="false">BT22/$AR22</f>
        <v>0.822645999948619</v>
      </c>
      <c r="CH22" s="19" t="n">
        <f aca="false">BU22/$AR22</f>
        <v>10.3242072993552</v>
      </c>
      <c r="CI22" s="19" t="n">
        <f aca="false">BV22/$AR22</f>
        <v>1.64529199989724</v>
      </c>
      <c r="CJ22" s="19" t="n">
        <f aca="false">BW22/$AR22</f>
        <v>29.6152559981503</v>
      </c>
      <c r="CK22" s="19" t="n">
        <f aca="false">BX22/$AR22</f>
        <v>30.2322404981118</v>
      </c>
      <c r="CL22" s="19" t="n">
        <f aca="false">BY22/$AR22</f>
        <v>3.16718709980219</v>
      </c>
      <c r="CM22" s="19" t="n">
        <f aca="false">BZ22/$AR22</f>
        <v>97.4012863939165</v>
      </c>
      <c r="CO22" s="19" t="n">
        <v>15</v>
      </c>
      <c r="CP22" s="19" t="s">
        <v>221</v>
      </c>
      <c r="CQ22" s="19" t="n">
        <v>15.4370268543592</v>
      </c>
      <c r="CR22" s="19" t="n">
        <v>21.6729812300714</v>
      </c>
      <c r="CS22" s="19" t="n">
        <v>0.0198113547521791</v>
      </c>
      <c r="CT22" s="19" t="n">
        <v>0</v>
      </c>
      <c r="CU22" s="19" t="n">
        <v>0.274802721222626</v>
      </c>
      <c r="CW22" s="19" t="n">
        <v>15</v>
      </c>
      <c r="CX22" s="19" t="s">
        <v>221</v>
      </c>
      <c r="CY22" s="60" t="n">
        <f aca="false">CQ22/$AR22</f>
        <v>0.774273071750452</v>
      </c>
      <c r="CZ22" s="60" t="n">
        <f aca="false">CR22/$AR22</f>
        <v>1.08704907423663</v>
      </c>
      <c r="DA22" s="60" t="n">
        <f aca="false">CS22/$AR22</f>
        <v>0.000993675702207902</v>
      </c>
      <c r="DB22" s="60" t="n">
        <f aca="false">CT22/$AR22</f>
        <v>0</v>
      </c>
      <c r="DC22" s="60" t="n">
        <f aca="false">CU22/$AR22</f>
        <v>0.0137832465470086</v>
      </c>
    </row>
    <row r="23" customFormat="false" ht="12.75" hidden="false" customHeight="false" outlineLevel="0" collapsed="false">
      <c r="A23" s="53" t="s">
        <v>196</v>
      </c>
      <c r="B23" s="54" t="s">
        <v>141</v>
      </c>
      <c r="C23" s="55" t="s">
        <v>142</v>
      </c>
      <c r="D23" s="56" t="n">
        <v>0.00171120765485659</v>
      </c>
      <c r="E23" s="56" t="n">
        <v>0.00807126534153927</v>
      </c>
      <c r="F23" s="56" t="n">
        <v>0.307064527765491</v>
      </c>
      <c r="G23" s="56" t="n">
        <v>3.04233220331038</v>
      </c>
      <c r="H23" s="56" t="n">
        <v>0.346150315163461</v>
      </c>
      <c r="I23" s="56" t="n">
        <v>0</v>
      </c>
      <c r="J23" s="56" t="n">
        <v>0.0402625421796574</v>
      </c>
      <c r="K23" s="56" t="n">
        <v>0</v>
      </c>
      <c r="L23" s="56" t="n">
        <v>0</v>
      </c>
      <c r="M23" s="56" t="n">
        <v>0.0585033100262888</v>
      </c>
      <c r="N23" s="56" t="n">
        <v>0.213029830928457</v>
      </c>
      <c r="O23" s="56" t="n">
        <v>0.103253349911452</v>
      </c>
      <c r="P23" s="56" t="n">
        <v>0.0212360059508893</v>
      </c>
      <c r="Q23" s="56" t="n">
        <v>0.00481881098813613</v>
      </c>
      <c r="R23" s="56" t="n">
        <v>0.0122493610729963</v>
      </c>
      <c r="S23" s="56" t="n">
        <v>0.706920284552469</v>
      </c>
      <c r="T23" s="56" t="n">
        <v>0.0366615670151488</v>
      </c>
      <c r="U23" s="56" t="n">
        <v>2.83685060262217</v>
      </c>
      <c r="V23" s="56" t="n">
        <v>0.008650585448927</v>
      </c>
      <c r="W23" s="56" t="n">
        <v>0.256659421947728</v>
      </c>
      <c r="X23" s="56" t="n">
        <v>0.426105764608224</v>
      </c>
      <c r="Y23" s="56" t="n">
        <v>0.424370334642672</v>
      </c>
      <c r="Z23" s="56" t="n">
        <v>0.313845983442722</v>
      </c>
      <c r="AA23" s="56" t="n">
        <v>0.00302851379070365</v>
      </c>
      <c r="AB23" s="56" t="n">
        <v>0.0161896162284945</v>
      </c>
      <c r="AC23" s="56" t="n">
        <v>0.095205613942583</v>
      </c>
      <c r="AD23" s="56" t="n">
        <v>0.307389210887806</v>
      </c>
      <c r="AE23" s="56" t="n">
        <v>0.0133104011099282</v>
      </c>
      <c r="AF23" s="56" t="n">
        <v>0.097376393990137</v>
      </c>
      <c r="AG23" s="56" t="n">
        <v>0.0749848904819319</v>
      </c>
      <c r="AH23" s="56" t="n">
        <v>0.0541851939266232</v>
      </c>
      <c r="AI23" s="56" t="n">
        <v>0.243384952822499</v>
      </c>
      <c r="AJ23" s="56" t="n">
        <v>0.0230796372538638</v>
      </c>
      <c r="AK23" s="56" t="n">
        <v>1.50099013898109</v>
      </c>
      <c r="AL23" s="57" t="n">
        <v>10.1772767780746</v>
      </c>
      <c r="AM23" s="57" t="n">
        <v>0.0407368694748809</v>
      </c>
      <c r="AN23" s="57" t="n">
        <v>0</v>
      </c>
      <c r="AO23" s="57" t="n">
        <v>0.841441223425671</v>
      </c>
      <c r="AP23" s="57" t="n">
        <v>3.63319841010775</v>
      </c>
      <c r="AQ23" s="57" t="n">
        <v>1.85687454466558</v>
      </c>
      <c r="AR23" s="61" t="n">
        <v>28.1473996637378</v>
      </c>
      <c r="AT23" s="22" t="n">
        <v>16.5495278257485</v>
      </c>
      <c r="AV23" s="43" t="n">
        <v>28.1473996637378</v>
      </c>
      <c r="AW23" s="59" t="n">
        <f aca="false">AV23-AR23</f>
        <v>0</v>
      </c>
      <c r="AY23" s="19" t="n">
        <v>10.264208633239</v>
      </c>
      <c r="AZ23" s="60" t="n">
        <f aca="false">AY23/$AR23</f>
        <v>0.364659213847819</v>
      </c>
      <c r="BB23" s="19" t="s">
        <v>142</v>
      </c>
      <c r="BC23" s="19" t="s">
        <v>141</v>
      </c>
      <c r="BD23" s="19" t="n">
        <f aca="false">$AY23*BQ23/$BZ23</f>
        <v>0.364101995435843</v>
      </c>
      <c r="BE23" s="19" t="n">
        <f aca="false">$AY23*BR23/$BZ23</f>
        <v>1.46941162443751</v>
      </c>
      <c r="BF23" s="19" t="n">
        <f aca="false">$AY23*BS23/$BZ23</f>
        <v>0.442123851600666</v>
      </c>
      <c r="BG23" s="19" t="n">
        <f aca="false">$AY23*BT23/$BZ23</f>
        <v>0.0866909512942483</v>
      </c>
      <c r="BH23" s="19" t="n">
        <f aca="false">$AY23*BU23/$BZ23</f>
        <v>1.08797143874282</v>
      </c>
      <c r="BI23" s="19" t="n">
        <f aca="false">$AY23*BV23/$BZ23</f>
        <v>0.173381902588497</v>
      </c>
      <c r="BJ23" s="19" t="n">
        <f aca="false">$AY23*BW23/$BZ23</f>
        <v>3.12087424659294</v>
      </c>
      <c r="BK23" s="19" t="n">
        <f aca="false">$AY23*BX23/$BZ23</f>
        <v>3.18589246006363</v>
      </c>
      <c r="BL23" s="19" t="n">
        <f aca="false">$AY23*BY23/$BZ23</f>
        <v>0.333760162482856</v>
      </c>
      <c r="BM23" s="19" t="n">
        <f aca="false">SUM(BD23:BL23)</f>
        <v>10.264208633239</v>
      </c>
      <c r="BO23" s="19" t="s">
        <v>142</v>
      </c>
      <c r="BP23" s="19" t="s">
        <v>141</v>
      </c>
      <c r="BQ23" s="19" t="n">
        <v>77.5014370569077</v>
      </c>
      <c r="BR23" s="19" t="n">
        <v>312.773656693949</v>
      </c>
      <c r="BS23" s="19" t="n">
        <v>94.1088878548164</v>
      </c>
      <c r="BT23" s="19" t="n">
        <v>18.4527231087875</v>
      </c>
      <c r="BU23" s="19" t="n">
        <v>231.581675015284</v>
      </c>
      <c r="BV23" s="19" t="n">
        <v>36.9054462175751</v>
      </c>
      <c r="BW23" s="19" t="n">
        <v>664.298031916351</v>
      </c>
      <c r="BX23" s="19" t="n">
        <v>678.137574247942</v>
      </c>
      <c r="BY23" s="19" t="n">
        <v>71.042983968832</v>
      </c>
      <c r="BZ23" s="19" t="n">
        <v>2184.80241608045</v>
      </c>
      <c r="CB23" s="19" t="s">
        <v>142</v>
      </c>
      <c r="CC23" s="19" t="s">
        <v>141</v>
      </c>
      <c r="CD23" s="19" t="n">
        <f aca="false">BQ23/$AR23</f>
        <v>2.75341374275338</v>
      </c>
      <c r="CE23" s="19" t="n">
        <f aca="false">BR23/$AR23</f>
        <v>11.1119911761119</v>
      </c>
      <c r="CF23" s="19" t="n">
        <f aca="false">BS23/$AR23</f>
        <v>3.3434309733434</v>
      </c>
      <c r="CG23" s="19" t="n">
        <f aca="false">BT23/$AR23</f>
        <v>0.655574700655568</v>
      </c>
      <c r="CH23" s="19" t="n">
        <f aca="false">BU23/$AR23</f>
        <v>8.22746249322738</v>
      </c>
      <c r="CI23" s="19" t="n">
        <f aca="false">BV23/$AR23</f>
        <v>1.31114940131114</v>
      </c>
      <c r="CJ23" s="19" t="n">
        <f aca="false">BW23/$AR23</f>
        <v>23.6006892236004</v>
      </c>
      <c r="CK23" s="19" t="n">
        <f aca="false">BX23/$AR23</f>
        <v>24.0923702490921</v>
      </c>
      <c r="CL23" s="19" t="n">
        <f aca="false">BY23/$AR23</f>
        <v>2.52396259752394</v>
      </c>
      <c r="CM23" s="19" t="n">
        <f aca="false">BZ23/$AR23</f>
        <v>77.6200445576192</v>
      </c>
      <c r="CO23" s="19" t="n">
        <v>16</v>
      </c>
      <c r="CP23" s="19" t="s">
        <v>222</v>
      </c>
      <c r="CQ23" s="19" t="n">
        <v>2873.83768869872</v>
      </c>
      <c r="CR23" s="19" t="n">
        <v>31.9682495538352</v>
      </c>
      <c r="CS23" s="19" t="n">
        <v>0.0704423524450932</v>
      </c>
      <c r="CT23" s="19" t="n">
        <v>0</v>
      </c>
      <c r="CU23" s="19" t="n">
        <v>0.977103806548395</v>
      </c>
      <c r="CW23" s="19" t="n">
        <v>16</v>
      </c>
      <c r="CX23" s="19" t="s">
        <v>222</v>
      </c>
      <c r="CY23" s="60" t="n">
        <f aca="false">CQ23/$AR23</f>
        <v>102.099580175467</v>
      </c>
      <c r="CZ23" s="60" t="n">
        <f aca="false">CR23/$AR23</f>
        <v>1.13574432934278</v>
      </c>
      <c r="DA23" s="60" t="n">
        <f aca="false">CS23/$AR23</f>
        <v>0.00250262380492091</v>
      </c>
      <c r="DB23" s="60" t="n">
        <f aca="false">CT23/$AR23</f>
        <v>0</v>
      </c>
      <c r="DC23" s="60" t="n">
        <f aca="false">CU23/$AR23</f>
        <v>0.0347138214620654</v>
      </c>
    </row>
    <row r="24" customFormat="false" ht="12.75" hidden="false" customHeight="false" outlineLevel="0" collapsed="false">
      <c r="A24" s="53" t="s">
        <v>197</v>
      </c>
      <c r="B24" s="54" t="s">
        <v>143</v>
      </c>
      <c r="C24" s="55" t="s">
        <v>144</v>
      </c>
      <c r="D24" s="56" t="n">
        <v>0.455086473108941</v>
      </c>
      <c r="E24" s="56" t="n">
        <v>1.71474211539722</v>
      </c>
      <c r="F24" s="56" t="n">
        <v>7.3802835442989</v>
      </c>
      <c r="G24" s="56" t="n">
        <v>1.62566004863496</v>
      </c>
      <c r="H24" s="56" t="n">
        <v>0.171588704531463</v>
      </c>
      <c r="I24" s="56" t="n">
        <v>0.101684157082082</v>
      </c>
      <c r="J24" s="56" t="n">
        <v>2.12218810418136</v>
      </c>
      <c r="K24" s="56" t="n">
        <v>2.37172784870403</v>
      </c>
      <c r="L24" s="56" t="n">
        <v>1.09539783618063</v>
      </c>
      <c r="M24" s="56" t="n">
        <v>1.48926642178393</v>
      </c>
      <c r="N24" s="56" t="n">
        <v>5.42290981309432</v>
      </c>
      <c r="O24" s="56" t="n">
        <v>9.30044686134291</v>
      </c>
      <c r="P24" s="56" t="n">
        <v>2.39986456057272</v>
      </c>
      <c r="Q24" s="56" t="n">
        <v>0.544570092006495</v>
      </c>
      <c r="R24" s="56" t="n">
        <v>1.38429079351015</v>
      </c>
      <c r="S24" s="56" t="n">
        <v>0.333390619397545</v>
      </c>
      <c r="T24" s="56" t="n">
        <v>10.2549901938018</v>
      </c>
      <c r="U24" s="56" t="n">
        <v>14.5227300350517</v>
      </c>
      <c r="V24" s="56" t="n">
        <v>0.102278155412151</v>
      </c>
      <c r="W24" s="56" t="n">
        <v>2.64275011536333</v>
      </c>
      <c r="X24" s="56" t="n">
        <v>5.43603661205263</v>
      </c>
      <c r="Y24" s="56" t="n">
        <v>7.02836985504224</v>
      </c>
      <c r="Z24" s="56" t="n">
        <v>1.44276225609444</v>
      </c>
      <c r="AA24" s="56" t="n">
        <v>0.0139221962994665</v>
      </c>
      <c r="AB24" s="56" t="n">
        <v>0.0744242987560449</v>
      </c>
      <c r="AC24" s="56" t="n">
        <v>0.437663929478725</v>
      </c>
      <c r="AD24" s="56" t="n">
        <v>2.20091259003714</v>
      </c>
      <c r="AE24" s="56" t="n">
        <v>0.861249275735053</v>
      </c>
      <c r="AF24" s="56" t="n">
        <v>2.24185815385047</v>
      </c>
      <c r="AG24" s="56" t="n">
        <v>1.72634743652071</v>
      </c>
      <c r="AH24" s="56" t="n">
        <v>7.29261610831617</v>
      </c>
      <c r="AI24" s="56" t="n">
        <v>7.5921529301162</v>
      </c>
      <c r="AJ24" s="56" t="n">
        <v>6.94215648913445</v>
      </c>
      <c r="AK24" s="56" t="n">
        <v>2.86039078206591</v>
      </c>
      <c r="AL24" s="57" t="n">
        <v>55.1657589699746</v>
      </c>
      <c r="AM24" s="57" t="n">
        <v>0.0161261860363575</v>
      </c>
      <c r="AN24" s="57" t="n">
        <v>0.708021526219879</v>
      </c>
      <c r="AO24" s="57" t="n">
        <v>67.7138241724053</v>
      </c>
      <c r="AP24" s="57" t="n">
        <v>-2.97586834382578</v>
      </c>
      <c r="AQ24" s="57" t="n">
        <v>126.356868589464</v>
      </c>
      <c r="AR24" s="61" t="n">
        <v>358.57144050723</v>
      </c>
      <c r="AT24" s="22" t="n">
        <v>246.984731100274</v>
      </c>
      <c r="AV24" s="43" t="n">
        <v>358.57144050723</v>
      </c>
      <c r="AW24" s="59" t="n">
        <f aca="false">AV24-AR24</f>
        <v>0</v>
      </c>
      <c r="AY24" s="19" t="n">
        <v>158.319981109117</v>
      </c>
      <c r="AZ24" s="60" t="n">
        <f aca="false">AY24/$AR24</f>
        <v>0.441529813097105</v>
      </c>
      <c r="BB24" s="19" t="s">
        <v>144</v>
      </c>
      <c r="BC24" s="19" t="s">
        <v>143</v>
      </c>
      <c r="BD24" s="19" t="n">
        <f aca="false">$AY24*BQ24/$BZ24</f>
        <v>8.97690614536231</v>
      </c>
      <c r="BE24" s="19" t="n">
        <f aca="false">$AY24*BR24/$BZ24</f>
        <v>21.2181417981291</v>
      </c>
      <c r="BF24" s="19" t="n">
        <f aca="false">$AY24*BS24/$BZ24</f>
        <v>9.38494733378786</v>
      </c>
      <c r="BG24" s="19" t="n">
        <f aca="false">$AY24*BT24/$BZ24</f>
        <v>5.30453544953227</v>
      </c>
      <c r="BH24" s="19" t="n">
        <f aca="false">$AY24*BU24/$BZ24</f>
        <v>35.9076245814492</v>
      </c>
      <c r="BI24" s="19" t="n">
        <f aca="false">$AY24*BV24/$BZ24</f>
        <v>7.34474139166007</v>
      </c>
      <c r="BJ24" s="19" t="n">
        <f aca="false">$AY24*BW24/$BZ24</f>
        <v>24.8905124939591</v>
      </c>
      <c r="BK24" s="19" t="n">
        <f aca="false">$AY24*BX24/$BZ24</f>
        <v>37.947830523577</v>
      </c>
      <c r="BL24" s="19" t="n">
        <f aca="false">$AY24*BY24/$BZ24</f>
        <v>7.34474139166007</v>
      </c>
      <c r="BM24" s="19" t="n">
        <f aca="false">SUM(BD24:BL24)</f>
        <v>158.319981109117</v>
      </c>
      <c r="BO24" s="19" t="s">
        <v>144</v>
      </c>
      <c r="BP24" s="19" t="s">
        <v>143</v>
      </c>
      <c r="BQ24" s="19" t="n">
        <v>2200</v>
      </c>
      <c r="BR24" s="19" t="n">
        <v>5200</v>
      </c>
      <c r="BS24" s="19" t="n">
        <v>2300</v>
      </c>
      <c r="BT24" s="19" t="n">
        <v>1300</v>
      </c>
      <c r="BU24" s="19" t="n">
        <v>8800</v>
      </c>
      <c r="BV24" s="19" t="n">
        <v>1800</v>
      </c>
      <c r="BW24" s="19" t="n">
        <v>6100</v>
      </c>
      <c r="BX24" s="19" t="n">
        <v>9300</v>
      </c>
      <c r="BY24" s="19" t="n">
        <v>1800</v>
      </c>
      <c r="BZ24" s="19" t="n">
        <v>38800</v>
      </c>
      <c r="CB24" s="19" t="s">
        <v>144</v>
      </c>
      <c r="CC24" s="19" t="s">
        <v>143</v>
      </c>
      <c r="CD24" s="19" t="n">
        <f aca="false">BQ24/$AR24</f>
        <v>6.1354579630991</v>
      </c>
      <c r="CE24" s="19" t="n">
        <f aca="false">BR24/$AR24</f>
        <v>14.5019915491433</v>
      </c>
      <c r="CF24" s="19" t="n">
        <f aca="false">BS24/$AR24</f>
        <v>6.41434241596724</v>
      </c>
      <c r="CG24" s="19" t="n">
        <f aca="false">BT24/$AR24</f>
        <v>3.62549788728583</v>
      </c>
      <c r="CH24" s="19" t="n">
        <f aca="false">BU24/$AR24</f>
        <v>24.5418318523964</v>
      </c>
      <c r="CI24" s="19" t="n">
        <f aca="false">BV24/$AR24</f>
        <v>5.01992015162653</v>
      </c>
      <c r="CJ24" s="19" t="n">
        <f aca="false">BW24/$AR24</f>
        <v>17.0119516249566</v>
      </c>
      <c r="CK24" s="19" t="n">
        <f aca="false">BX24/$AR24</f>
        <v>25.9362541167371</v>
      </c>
      <c r="CL24" s="19" t="n">
        <f aca="false">BY24/$AR24</f>
        <v>5.01992015162653</v>
      </c>
      <c r="CM24" s="19" t="n">
        <f aca="false">BZ24/$AR24</f>
        <v>108.207167712839</v>
      </c>
      <c r="CO24" s="19" t="n">
        <v>17</v>
      </c>
      <c r="CP24" s="19" t="s">
        <v>223</v>
      </c>
      <c r="CQ24" s="19" t="n">
        <v>252288.190670197</v>
      </c>
      <c r="CR24" s="19" t="n">
        <v>2977.62194344532</v>
      </c>
      <c r="CS24" s="19" t="n">
        <v>0.685187416360441</v>
      </c>
      <c r="CT24" s="19" t="n">
        <v>0</v>
      </c>
      <c r="CU24" s="19" t="n">
        <v>9.50421457384879</v>
      </c>
      <c r="CW24" s="19" t="n">
        <v>17</v>
      </c>
      <c r="CX24" s="19" t="s">
        <v>223</v>
      </c>
      <c r="CY24" s="60" t="n">
        <f aca="false">CQ24/$AR24</f>
        <v>703.59254020151</v>
      </c>
      <c r="CZ24" s="60" t="n">
        <f aca="false">CR24/$AR24</f>
        <v>8.30412466545919</v>
      </c>
      <c r="DA24" s="60" t="n">
        <f aca="false">CS24/$AR24</f>
        <v>0.00191088117723817</v>
      </c>
      <c r="DB24" s="60" t="n">
        <f aca="false">CT24/$AR24</f>
        <v>0</v>
      </c>
      <c r="DC24" s="60" t="n">
        <f aca="false">CU24/$AR24</f>
        <v>0.0265057768136923</v>
      </c>
    </row>
    <row r="25" customFormat="false" ht="12.75" hidden="false" customHeight="false" outlineLevel="0" collapsed="false">
      <c r="A25" s="53" t="s">
        <v>198</v>
      </c>
      <c r="B25" s="54" t="s">
        <v>145</v>
      </c>
      <c r="C25" s="55" t="s">
        <v>146</v>
      </c>
      <c r="D25" s="56" t="n">
        <v>0.00414501613441672</v>
      </c>
      <c r="E25" s="56" t="n">
        <v>0.0284443879952657</v>
      </c>
      <c r="F25" s="56" t="n">
        <v>2.28263760630738</v>
      </c>
      <c r="G25" s="56" t="n">
        <v>0.744509217135388</v>
      </c>
      <c r="H25" s="56" t="n">
        <v>0.0785830790313537</v>
      </c>
      <c r="I25" s="56" t="n">
        <v>0</v>
      </c>
      <c r="J25" s="56" t="n">
        <v>0.475813368665136</v>
      </c>
      <c r="K25" s="56" t="n">
        <v>0.0834506304521316</v>
      </c>
      <c r="L25" s="56" t="n">
        <v>0.0385422130431715</v>
      </c>
      <c r="M25" s="56" t="n">
        <v>0.75559166451399</v>
      </c>
      <c r="N25" s="56" t="n">
        <v>2.75135824742286</v>
      </c>
      <c r="O25" s="56" t="n">
        <v>2.88265211779037</v>
      </c>
      <c r="P25" s="56" t="n">
        <v>0.023293337620832</v>
      </c>
      <c r="Q25" s="56" t="n">
        <v>0.00528565454055781</v>
      </c>
      <c r="R25" s="56" t="n">
        <v>0.0134360719135527</v>
      </c>
      <c r="S25" s="56" t="n">
        <v>0.0164781612047314</v>
      </c>
      <c r="T25" s="56" t="n">
        <v>0.671591423999326</v>
      </c>
      <c r="U25" s="56" t="n">
        <v>300.024335875581</v>
      </c>
      <c r="V25" s="56" t="n">
        <v>0</v>
      </c>
      <c r="W25" s="56" t="n">
        <v>5.85378263995446</v>
      </c>
      <c r="X25" s="56" t="n">
        <v>31.0986439250993</v>
      </c>
      <c r="Y25" s="56" t="n">
        <v>2.77079794761583</v>
      </c>
      <c r="Z25" s="56" t="n">
        <v>1.5173742815817</v>
      </c>
      <c r="AA25" s="56" t="n">
        <v>0.0146421785839674</v>
      </c>
      <c r="AB25" s="56" t="n">
        <v>0.0782731294640848</v>
      </c>
      <c r="AC25" s="56" t="n">
        <v>0.460297590792764</v>
      </c>
      <c r="AD25" s="56" t="n">
        <v>0.384911575388957</v>
      </c>
      <c r="AE25" s="56" t="n">
        <v>0.212414302377362</v>
      </c>
      <c r="AF25" s="56" t="n">
        <v>9.60819162095267</v>
      </c>
      <c r="AG25" s="56" t="n">
        <v>7.39880752309971</v>
      </c>
      <c r="AH25" s="56" t="n">
        <v>0</v>
      </c>
      <c r="AI25" s="56" t="n">
        <v>15.543908712034</v>
      </c>
      <c r="AJ25" s="56" t="n">
        <v>0.806632699322543</v>
      </c>
      <c r="AK25" s="56" t="n">
        <v>5.1031497240366</v>
      </c>
      <c r="AL25" s="57" t="n">
        <v>0.167363327616033</v>
      </c>
      <c r="AM25" s="57" t="n">
        <v>0</v>
      </c>
      <c r="AN25" s="57" t="n">
        <v>0.309887968670434</v>
      </c>
      <c r="AO25" s="57" t="n">
        <v>1425.30240516298</v>
      </c>
      <c r="AP25" s="57" t="n">
        <v>34.8460359137258</v>
      </c>
      <c r="AQ25" s="57" t="n">
        <v>120.029618461398</v>
      </c>
      <c r="AR25" s="61" t="n">
        <v>1972.38728675805</v>
      </c>
      <c r="AT25" s="22" t="n">
        <v>1580.65531083439</v>
      </c>
      <c r="AV25" s="43" t="n">
        <v>1972.38728675804</v>
      </c>
      <c r="AW25" s="59" t="n">
        <f aca="false">AV25-AR25</f>
        <v>0</v>
      </c>
      <c r="AY25" s="19" t="n">
        <v>607.031349301701</v>
      </c>
      <c r="AZ25" s="60" t="n">
        <f aca="false">AY25/$AR25</f>
        <v>0.30776478502833</v>
      </c>
      <c r="BB25" s="19" t="s">
        <v>146</v>
      </c>
      <c r="BC25" s="19" t="s">
        <v>145</v>
      </c>
      <c r="BD25" s="19" t="n">
        <f aca="false">$AY25*BQ25/$BZ25</f>
        <v>66.9729422938496</v>
      </c>
      <c r="BE25" s="19" t="n">
        <f aca="false">$AY25*BR25/$BZ25</f>
        <v>95.9470520805505</v>
      </c>
      <c r="BF25" s="19" t="n">
        <f aca="false">$AY25*BS25/$BZ25</f>
        <v>41.5612230546939</v>
      </c>
      <c r="BG25" s="19" t="n">
        <f aca="false">$AY25*BT25/$BZ25</f>
        <v>8.78723001727814</v>
      </c>
      <c r="BH25" s="19" t="n">
        <f aca="false">$AY25*BU25/$BZ25</f>
        <v>153.895271653952</v>
      </c>
      <c r="BI25" s="19" t="n">
        <f aca="false">$AY25*BV25/$BZ25</f>
        <v>17.811952737726</v>
      </c>
      <c r="BJ25" s="19" t="n">
        <f aca="false">$AY25*BW25/$BZ25</f>
        <v>83.8349242188969</v>
      </c>
      <c r="BK25" s="19" t="n">
        <f aca="false">$AY25*BX25/$BZ25</f>
        <v>86.4473439537634</v>
      </c>
      <c r="BL25" s="19" t="n">
        <f aca="false">$AY25*BY25/$BZ25</f>
        <v>51.7734092909901</v>
      </c>
      <c r="BM25" s="19" t="n">
        <f aca="false">SUM(BD25:BL25)</f>
        <v>607.031349301701</v>
      </c>
      <c r="BO25" s="19" t="s">
        <v>146</v>
      </c>
      <c r="BP25" s="19" t="s">
        <v>145</v>
      </c>
      <c r="BQ25" s="19" t="n">
        <v>28200</v>
      </c>
      <c r="BR25" s="19" t="n">
        <v>40400</v>
      </c>
      <c r="BS25" s="19" t="n">
        <v>17500</v>
      </c>
      <c r="BT25" s="19" t="n">
        <v>3700</v>
      </c>
      <c r="BU25" s="19" t="n">
        <v>64800</v>
      </c>
      <c r="BV25" s="19" t="n">
        <v>7500</v>
      </c>
      <c r="BW25" s="19" t="n">
        <v>35300</v>
      </c>
      <c r="BX25" s="19" t="n">
        <v>36400</v>
      </c>
      <c r="BY25" s="19" t="n">
        <v>21800</v>
      </c>
      <c r="BZ25" s="19" t="n">
        <v>255600</v>
      </c>
      <c r="CB25" s="19" t="s">
        <v>146</v>
      </c>
      <c r="CC25" s="19" t="s">
        <v>145</v>
      </c>
      <c r="CD25" s="19" t="n">
        <f aca="false">BQ25/$AR25</f>
        <v>14.2973949331987</v>
      </c>
      <c r="CE25" s="19" t="n">
        <f aca="false">BR25/$AR25</f>
        <v>20.4827927411783</v>
      </c>
      <c r="CF25" s="19" t="n">
        <f aca="false">BS25/$AR25</f>
        <v>8.87249685570841</v>
      </c>
      <c r="CG25" s="19" t="n">
        <f aca="false">BT25/$AR25</f>
        <v>1.87589933520692</v>
      </c>
      <c r="CH25" s="19" t="n">
        <f aca="false">BU25/$AR25</f>
        <v>32.8535883571374</v>
      </c>
      <c r="CI25" s="19" t="n">
        <f aca="false">BV25/$AR25</f>
        <v>3.80249865244646</v>
      </c>
      <c r="CJ25" s="19" t="n">
        <f aca="false">BW25/$AR25</f>
        <v>17.8970936575147</v>
      </c>
      <c r="CK25" s="19" t="n">
        <f aca="false">BX25/$AR25</f>
        <v>18.4547934598735</v>
      </c>
      <c r="CL25" s="19" t="n">
        <f aca="false">BY25/$AR25</f>
        <v>11.052596083111</v>
      </c>
      <c r="CM25" s="19" t="n">
        <f aca="false">BZ25/$AR25</f>
        <v>129.589154075375</v>
      </c>
      <c r="CO25" s="19" t="n">
        <v>18</v>
      </c>
      <c r="CP25" s="19" t="s">
        <v>145</v>
      </c>
      <c r="CQ25" s="19" t="n">
        <v>1428.78795070217</v>
      </c>
      <c r="CR25" s="19" t="n">
        <v>12556.8711398412</v>
      </c>
      <c r="CS25" s="19" t="n">
        <v>2.08604526784442</v>
      </c>
      <c r="CT25" s="19" t="n">
        <v>0</v>
      </c>
      <c r="CU25" s="19" t="n">
        <v>28.9354727815457</v>
      </c>
      <c r="CW25" s="19" t="n">
        <v>18</v>
      </c>
      <c r="CX25" s="19" t="s">
        <v>145</v>
      </c>
      <c r="CY25" s="60" t="n">
        <f aca="false">CQ25/$AR25</f>
        <v>0.72439523429023</v>
      </c>
      <c r="CZ25" s="60" t="n">
        <f aca="false">CR25/$AR25</f>
        <v>6.36633141175864</v>
      </c>
      <c r="DA25" s="60" t="n">
        <f aca="false">CS25/$AR25</f>
        <v>0.00105762457598943</v>
      </c>
      <c r="DB25" s="60" t="n">
        <f aca="false">CT25/$AR25</f>
        <v>0</v>
      </c>
      <c r="DC25" s="60" t="n">
        <f aca="false">CU25/$AR25</f>
        <v>0.0146702795012972</v>
      </c>
    </row>
    <row r="26" customFormat="false" ht="12.75" hidden="false" customHeight="false" outlineLevel="0" collapsed="false">
      <c r="A26" s="53" t="n">
        <v>50</v>
      </c>
      <c r="B26" s="54" t="s">
        <v>147</v>
      </c>
      <c r="C26" s="55" t="s">
        <v>148</v>
      </c>
      <c r="D26" s="56" t="n">
        <v>7.72809418497533</v>
      </c>
      <c r="E26" s="56" t="n">
        <v>0.983035831425413</v>
      </c>
      <c r="F26" s="56" t="n">
        <v>0.217246631073918</v>
      </c>
      <c r="G26" s="56" t="n">
        <v>0.238000810244332</v>
      </c>
      <c r="H26" s="56" t="n">
        <v>0.0251210274506991</v>
      </c>
      <c r="I26" s="56" t="n">
        <v>0.0132333963897884</v>
      </c>
      <c r="J26" s="56" t="n">
        <v>0.205858591973322</v>
      </c>
      <c r="K26" s="56" t="n">
        <v>0.304147024909267</v>
      </c>
      <c r="L26" s="56" t="n">
        <v>0.140472269256539</v>
      </c>
      <c r="M26" s="56" t="n">
        <v>0.202761323732523</v>
      </c>
      <c r="N26" s="56" t="n">
        <v>0.738320797475563</v>
      </c>
      <c r="O26" s="56" t="n">
        <v>0.279105476398328</v>
      </c>
      <c r="P26" s="56" t="n">
        <v>0.090935023758395</v>
      </c>
      <c r="Q26" s="56" t="n">
        <v>0.020634703752992</v>
      </c>
      <c r="R26" s="56" t="n">
        <v>0.0524531751768244</v>
      </c>
      <c r="S26" s="56" t="n">
        <v>0.0207513576938663</v>
      </c>
      <c r="T26" s="56" t="n">
        <v>0.755733318784353</v>
      </c>
      <c r="U26" s="56" t="n">
        <v>0.190895804943522</v>
      </c>
      <c r="V26" s="56" t="n">
        <v>0.0778446547140149</v>
      </c>
      <c r="W26" s="56" t="n">
        <v>0.888995293486978</v>
      </c>
      <c r="X26" s="56" t="n">
        <v>0.498217076746558</v>
      </c>
      <c r="Y26" s="56" t="n">
        <v>0.218210579668382</v>
      </c>
      <c r="Z26" s="56" t="n">
        <v>0.943647626137037</v>
      </c>
      <c r="AA26" s="56" t="n">
        <v>0.00910589907180482</v>
      </c>
      <c r="AB26" s="56" t="n">
        <v>0.048677675446105</v>
      </c>
      <c r="AC26" s="56" t="n">
        <v>0.286256814907537</v>
      </c>
      <c r="AD26" s="56" t="n">
        <v>1.74598037976743</v>
      </c>
      <c r="AE26" s="56" t="n">
        <v>0.0687853560816294</v>
      </c>
      <c r="AF26" s="56" t="n">
        <v>0.291786252744595</v>
      </c>
      <c r="AG26" s="56" t="n">
        <v>0.224690598097142</v>
      </c>
      <c r="AH26" s="56" t="n">
        <v>1.55980731436787</v>
      </c>
      <c r="AI26" s="56" t="n">
        <v>0.178969671639461</v>
      </c>
      <c r="AJ26" s="56" t="n">
        <v>0.452589769427692</v>
      </c>
      <c r="AK26" s="56" t="n">
        <v>0.669764809685958</v>
      </c>
      <c r="AL26" s="57" t="n">
        <v>4.31472243073808</v>
      </c>
      <c r="AM26" s="57" t="n">
        <v>0</v>
      </c>
      <c r="AN26" s="57" t="n">
        <v>0</v>
      </c>
      <c r="AO26" s="57" t="n">
        <v>0.809864657004309</v>
      </c>
      <c r="AP26" s="57" t="n">
        <v>0</v>
      </c>
      <c r="AQ26" s="57" t="n">
        <v>0.631120700979198</v>
      </c>
      <c r="AR26" s="61" t="n">
        <v>26.1258383101268</v>
      </c>
      <c r="AT26" s="22" t="n">
        <v>5.75570778872159</v>
      </c>
      <c r="AV26" s="43" t="n">
        <v>26.1258383101268</v>
      </c>
      <c r="AW26" s="59" t="n">
        <f aca="false">AV26-AR26</f>
        <v>0</v>
      </c>
      <c r="AY26" s="19" t="n">
        <v>19.9321699822008</v>
      </c>
      <c r="AZ26" s="60" t="n">
        <f aca="false">AY26/$AR26</f>
        <v>0.762929393713457</v>
      </c>
      <c r="BB26" s="19" t="s">
        <v>148</v>
      </c>
      <c r="BC26" s="19" t="s">
        <v>264</v>
      </c>
      <c r="BD26" s="19" t="n">
        <f aca="false">$AY26*BQ26/$BZ26</f>
        <v>1.36006535934376</v>
      </c>
      <c r="BE26" s="19" t="n">
        <f aca="false">$AY26*BR26/$BZ26</f>
        <v>2.40587319247552</v>
      </c>
      <c r="BF26" s="19" t="n">
        <f aca="false">$AY26*BS26/$BZ26</f>
        <v>0.989138443159099</v>
      </c>
      <c r="BG26" s="19" t="n">
        <f aca="false">$AY26*BT26/$BZ26</f>
        <v>0.226677559890627</v>
      </c>
      <c r="BH26" s="19" t="n">
        <f aca="false">$AY26*BU26/$BZ26</f>
        <v>5.33207442015452</v>
      </c>
      <c r="BI26" s="19" t="n">
        <f aca="false">$AY26*BV26/$BZ26</f>
        <v>0.576997425176141</v>
      </c>
      <c r="BJ26" s="19" t="n">
        <f aca="false">$AY26*BW26/$BZ26</f>
        <v>2.48314963334732</v>
      </c>
      <c r="BK26" s="19" t="n">
        <f aca="false">$AY26*BX26/$BZ26</f>
        <v>5.25479797928271</v>
      </c>
      <c r="BL26" s="19" t="n">
        <f aca="false">$AY26*BY26/$BZ26</f>
        <v>1.3033959693711</v>
      </c>
      <c r="BM26" s="19" t="n">
        <f aca="false">SUM(BD26:BL26)</f>
        <v>19.9321699822008</v>
      </c>
      <c r="BO26" s="19" t="s">
        <v>148</v>
      </c>
      <c r="BP26" s="19" t="s">
        <v>147</v>
      </c>
      <c r="BQ26" s="19" t="n">
        <v>399.172275441783</v>
      </c>
      <c r="BR26" s="19" t="n">
        <v>706.111562997397</v>
      </c>
      <c r="BS26" s="19" t="n">
        <v>290.307109412206</v>
      </c>
      <c r="BT26" s="19" t="n">
        <v>66.5287125736306</v>
      </c>
      <c r="BU26" s="19" t="n">
        <v>1564.93676167517</v>
      </c>
      <c r="BV26" s="19" t="n">
        <v>169.345813823787</v>
      </c>
      <c r="BW26" s="19" t="n">
        <v>728.791805920226</v>
      </c>
      <c r="BX26" s="19" t="n">
        <v>1542.25651875235</v>
      </c>
      <c r="BY26" s="19" t="n">
        <v>382.540097298376</v>
      </c>
      <c r="BZ26" s="19" t="n">
        <v>5849.99065789493</v>
      </c>
      <c r="CB26" s="19" t="s">
        <v>148</v>
      </c>
      <c r="CC26" s="19" t="s">
        <v>147</v>
      </c>
      <c r="CD26" s="19" t="n">
        <f aca="false">BQ26/$AR26</f>
        <v>15.2788312743656</v>
      </c>
      <c r="CE26" s="19" t="n">
        <f aca="false">BR26/$AR26</f>
        <v>27.0273265345785</v>
      </c>
      <c r="CF26" s="19" t="n">
        <f aca="false">BS26/$AR26</f>
        <v>11.1118772904477</v>
      </c>
      <c r="CG26" s="19" t="n">
        <f aca="false">BT26/$AR26</f>
        <v>2.54647187906093</v>
      </c>
      <c r="CH26" s="19" t="n">
        <f aca="false">BU26/$AR26</f>
        <v>59.8999635188197</v>
      </c>
      <c r="CI26" s="19" t="n">
        <f aca="false">BV26/$AR26</f>
        <v>6.48192841942783</v>
      </c>
      <c r="CJ26" s="19" t="n">
        <f aca="false">BW26/$AR26</f>
        <v>27.8954419478948</v>
      </c>
      <c r="CK26" s="19" t="n">
        <f aca="false">BX26/$AR26</f>
        <v>59.0318481055034</v>
      </c>
      <c r="CL26" s="19" t="n">
        <f aca="false">BY26/$AR26</f>
        <v>14.6422133046004</v>
      </c>
      <c r="CM26" s="19" t="n">
        <f aca="false">BZ26/$AR26</f>
        <v>223.915902274699</v>
      </c>
      <c r="CO26" s="19" t="n">
        <v>19</v>
      </c>
      <c r="CP26" s="19" t="s">
        <v>224</v>
      </c>
      <c r="CQ26" s="19" t="n">
        <v>53.2328811134959</v>
      </c>
      <c r="CR26" s="19" t="n">
        <v>11.498623083081</v>
      </c>
      <c r="CS26" s="19" t="n">
        <v>0.106367366763695</v>
      </c>
      <c r="CT26" s="19" t="n">
        <v>0</v>
      </c>
      <c r="CU26" s="19" t="n">
        <v>1.47541862742796</v>
      </c>
      <c r="CW26" s="19" t="n">
        <v>19</v>
      </c>
      <c r="CX26" s="19" t="s">
        <v>224</v>
      </c>
      <c r="CY26" s="60" t="n">
        <f aca="false">CQ26/$AR26</f>
        <v>2.03755686158641</v>
      </c>
      <c r="CZ26" s="60" t="n">
        <f aca="false">CR26/$AR26</f>
        <v>0.440124559701649</v>
      </c>
      <c r="DA26" s="60" t="n">
        <f aca="false">CS26/$AR26</f>
        <v>0.00407134751050135</v>
      </c>
      <c r="DB26" s="60" t="n">
        <f aca="false">CT26/$AR26</f>
        <v>0</v>
      </c>
      <c r="DC26" s="60" t="n">
        <f aca="false">CU26/$AR26</f>
        <v>0.0564735420128535</v>
      </c>
    </row>
    <row r="27" customFormat="false" ht="12.75" hidden="false" customHeight="false" outlineLevel="0" collapsed="false">
      <c r="A27" s="53" t="n">
        <v>51</v>
      </c>
      <c r="B27" s="54" t="s">
        <v>149</v>
      </c>
      <c r="C27" s="55" t="s">
        <v>150</v>
      </c>
      <c r="D27" s="56" t="n">
        <v>84.7724092363855</v>
      </c>
      <c r="E27" s="56" t="n">
        <v>0.674056219529078</v>
      </c>
      <c r="F27" s="56" t="n">
        <v>19.5889892233637</v>
      </c>
      <c r="G27" s="56" t="n">
        <v>1.89297882674429</v>
      </c>
      <c r="H27" s="56" t="n">
        <v>0.19980424865536</v>
      </c>
      <c r="I27" s="56" t="n">
        <v>0.0100583107141853</v>
      </c>
      <c r="J27" s="56" t="n">
        <v>0.180183516560076</v>
      </c>
      <c r="K27" s="56" t="n">
        <v>0.910034856815705</v>
      </c>
      <c r="L27" s="56" t="n">
        <v>0.420305480474738</v>
      </c>
      <c r="M27" s="56" t="n">
        <v>0.421557557464952</v>
      </c>
      <c r="N27" s="56" t="n">
        <v>1.53502998638912</v>
      </c>
      <c r="O27" s="56" t="n">
        <v>14.7743606952014</v>
      </c>
      <c r="P27" s="56" t="n">
        <v>0.316265743833238</v>
      </c>
      <c r="Q27" s="56" t="n">
        <v>0.071766077155899</v>
      </c>
      <c r="R27" s="56" t="n">
        <v>0.182428527294271</v>
      </c>
      <c r="S27" s="56" t="n">
        <v>0.148133352182749</v>
      </c>
      <c r="T27" s="56" t="n">
        <v>1.70501473843644</v>
      </c>
      <c r="U27" s="56" t="n">
        <v>12.2267438228034</v>
      </c>
      <c r="V27" s="56" t="n">
        <v>0.028480710625387</v>
      </c>
      <c r="W27" s="56" t="n">
        <v>1.30475146647685</v>
      </c>
      <c r="X27" s="56" t="n">
        <v>13.7890320161089</v>
      </c>
      <c r="Y27" s="56" t="n">
        <v>6.14335600211605</v>
      </c>
      <c r="Z27" s="56" t="n">
        <v>1.64730182547346</v>
      </c>
      <c r="AA27" s="56" t="n">
        <v>0.0158959380049168</v>
      </c>
      <c r="AB27" s="56" t="n">
        <v>0.0849753884831248</v>
      </c>
      <c r="AC27" s="56" t="n">
        <v>0.499711291260033</v>
      </c>
      <c r="AD27" s="56" t="n">
        <v>1.8183549914487</v>
      </c>
      <c r="AE27" s="56" t="n">
        <v>0.116412113238819</v>
      </c>
      <c r="AF27" s="56" t="n">
        <v>1.24627055324281</v>
      </c>
      <c r="AG27" s="56" t="n">
        <v>0.959693177334478</v>
      </c>
      <c r="AH27" s="56" t="n">
        <v>6.12228215683509</v>
      </c>
      <c r="AI27" s="56" t="n">
        <v>3.16073764763647</v>
      </c>
      <c r="AJ27" s="56" t="n">
        <v>2.35673703977555</v>
      </c>
      <c r="AK27" s="56" t="n">
        <v>0.901211792971783</v>
      </c>
      <c r="AL27" s="57" t="n">
        <v>143.480054615269</v>
      </c>
      <c r="AM27" s="57" t="n">
        <v>0.205784274411336</v>
      </c>
      <c r="AN27" s="57" t="n">
        <v>0.62410364896167</v>
      </c>
      <c r="AO27" s="57" t="n">
        <v>8.29492342277755</v>
      </c>
      <c r="AP27" s="57" t="n">
        <v>3.5399523134218</v>
      </c>
      <c r="AQ27" s="57" t="n">
        <v>35.4427004224425</v>
      </c>
      <c r="AR27" s="61" t="n">
        <v>371.81284322832</v>
      </c>
      <c r="AT27" s="22" t="n">
        <v>191.587518697284</v>
      </c>
      <c r="AV27" s="43" t="n">
        <v>371.812843228321</v>
      </c>
      <c r="AW27" s="59" t="n">
        <f aca="false">AV27-AR27</f>
        <v>0</v>
      </c>
      <c r="AY27" s="19" t="n">
        <v>247.099276089851</v>
      </c>
      <c r="AZ27" s="60" t="n">
        <f aca="false">AY27/$AR27</f>
        <v>0.66457972227203</v>
      </c>
      <c r="BB27" s="19" t="s">
        <v>150</v>
      </c>
      <c r="BC27" s="19" t="s">
        <v>265</v>
      </c>
      <c r="BD27" s="19" t="n">
        <f aca="false">$AY27*BQ27/$BZ27</f>
        <v>16.8607415062602</v>
      </c>
      <c r="BE27" s="19" t="n">
        <f aca="false">$AY27*BR27/$BZ27</f>
        <v>29.8256298614527</v>
      </c>
      <c r="BF27" s="19" t="n">
        <f aca="false">$AY27*BS27/$BZ27</f>
        <v>12.2623574590983</v>
      </c>
      <c r="BG27" s="19" t="n">
        <f aca="false">$AY27*BT27/$BZ27</f>
        <v>2.8101235843767</v>
      </c>
      <c r="BH27" s="19" t="n">
        <f aca="false">$AY27*BU27/$BZ27</f>
        <v>66.1017706779519</v>
      </c>
      <c r="BI27" s="19" t="n">
        <f aca="false">$AY27*BV27/$BZ27</f>
        <v>7.15304185114069</v>
      </c>
      <c r="BJ27" s="19" t="n">
        <f aca="false">$AY27*BW27/$BZ27</f>
        <v>30.7836265379447</v>
      </c>
      <c r="BK27" s="19" t="n">
        <f aca="false">$AY27*BX27/$BZ27</f>
        <v>65.1437740014598</v>
      </c>
      <c r="BL27" s="19" t="n">
        <f aca="false">$AY27*BY27/$BZ27</f>
        <v>16.158210610166</v>
      </c>
      <c r="BM27" s="19" t="n">
        <f aca="false">SUM(BD27:BL27)</f>
        <v>247.099276089851</v>
      </c>
      <c r="BO27" s="19" t="s">
        <v>150</v>
      </c>
      <c r="BP27" s="19" t="s">
        <v>149</v>
      </c>
      <c r="BQ27" s="19" t="n">
        <v>4948.54199943525</v>
      </c>
      <c r="BR27" s="19" t="n">
        <v>8753.67088536463</v>
      </c>
      <c r="BS27" s="19" t="n">
        <v>3598.93963595291</v>
      </c>
      <c r="BT27" s="19" t="n">
        <v>824.756999905876</v>
      </c>
      <c r="BU27" s="19" t="n">
        <v>19400.5339750587</v>
      </c>
      <c r="BV27" s="19" t="n">
        <v>2099.38145430587</v>
      </c>
      <c r="BW27" s="19" t="n">
        <v>9034.83804442346</v>
      </c>
      <c r="BX27" s="19" t="n">
        <v>19119.3668159998</v>
      </c>
      <c r="BY27" s="19" t="n">
        <v>4742.35274945878</v>
      </c>
      <c r="BZ27" s="19" t="n">
        <v>72522.3825599053</v>
      </c>
      <c r="CB27" s="19" t="s">
        <v>150</v>
      </c>
      <c r="CC27" s="19" t="s">
        <v>149</v>
      </c>
      <c r="CD27" s="19" t="n">
        <f aca="false">BQ27/$AR27</f>
        <v>13.3092282570683</v>
      </c>
      <c r="CE27" s="19" t="n">
        <f aca="false">BR27/$AR27</f>
        <v>23.5432181668594</v>
      </c>
      <c r="CF27" s="19" t="n">
        <f aca="false">BS27/$AR27</f>
        <v>9.67943873241328</v>
      </c>
      <c r="CG27" s="19" t="n">
        <f aca="false">BT27/$AR27</f>
        <v>2.21820470951138</v>
      </c>
      <c r="CH27" s="19" t="n">
        <f aca="false">BU27/$AR27</f>
        <v>52.1782244169154</v>
      </c>
      <c r="CI27" s="19" t="n">
        <f aca="false">BV27/$AR27</f>
        <v>5.64633926057442</v>
      </c>
      <c r="CJ27" s="19" t="n">
        <f aca="false">BW27/$AR27</f>
        <v>24.2994243178292</v>
      </c>
      <c r="CK27" s="19" t="n">
        <f aca="false">BX27/$AR27</f>
        <v>51.4220182659456</v>
      </c>
      <c r="CL27" s="19" t="n">
        <f aca="false">BY27/$AR27</f>
        <v>12.7546770796904</v>
      </c>
      <c r="CM27" s="19" t="n">
        <f aca="false">BZ27/$AR27</f>
        <v>195.050773206807</v>
      </c>
      <c r="CO27" s="19" t="n">
        <v>20</v>
      </c>
      <c r="CP27" s="19" t="s">
        <v>225</v>
      </c>
      <c r="CQ27" s="19" t="n">
        <v>785.16850691413</v>
      </c>
      <c r="CR27" s="19" t="n">
        <v>144.60640407898</v>
      </c>
      <c r="CS27" s="19" t="n">
        <v>1.66012539542001</v>
      </c>
      <c r="CT27" s="19" t="n">
        <v>0</v>
      </c>
      <c r="CU27" s="19" t="n">
        <v>23.0275507121503</v>
      </c>
      <c r="CW27" s="19" t="n">
        <v>20</v>
      </c>
      <c r="CX27" s="19" t="s">
        <v>225</v>
      </c>
      <c r="CY27" s="60" t="n">
        <f aca="false">CQ27/$AR27</f>
        <v>2.11173046120943</v>
      </c>
      <c r="CZ27" s="60" t="n">
        <f aca="false">CR27/$AR27</f>
        <v>0.388922563361214</v>
      </c>
      <c r="DA27" s="60" t="n">
        <f aca="false">CS27/$AR27</f>
        <v>0.00446494903458881</v>
      </c>
      <c r="DB27" s="60" t="n">
        <f aca="false">CT27/$AR27</f>
        <v>0</v>
      </c>
      <c r="DC27" s="60" t="n">
        <f aca="false">CU27/$AR27</f>
        <v>0.0619331772195123</v>
      </c>
    </row>
    <row r="28" customFormat="false" ht="12.75" hidden="false" customHeight="false" outlineLevel="0" collapsed="false">
      <c r="A28" s="53" t="n">
        <v>52</v>
      </c>
      <c r="B28" s="54" t="s">
        <v>151</v>
      </c>
      <c r="C28" s="55" t="s">
        <v>152</v>
      </c>
      <c r="D28" s="56" t="n">
        <v>323.682628271824</v>
      </c>
      <c r="E28" s="56" t="n">
        <v>4.83829158999108</v>
      </c>
      <c r="F28" s="56" t="n">
        <v>77.412788245685</v>
      </c>
      <c r="G28" s="56" t="n">
        <v>10.4954910693624</v>
      </c>
      <c r="H28" s="56" t="n">
        <v>1.10780093139746</v>
      </c>
      <c r="I28" s="56" t="n">
        <v>0.0824373322614605</v>
      </c>
      <c r="J28" s="56" t="n">
        <v>1.17714119838263</v>
      </c>
      <c r="K28" s="56" t="n">
        <v>5.37261622526709</v>
      </c>
      <c r="L28" s="56" t="n">
        <v>2.48137752862423</v>
      </c>
      <c r="M28" s="56" t="n">
        <v>2.16439429526769</v>
      </c>
      <c r="N28" s="56" t="n">
        <v>7.88127288141823</v>
      </c>
      <c r="O28" s="56" t="n">
        <v>28.7227084369938</v>
      </c>
      <c r="P28" s="56" t="n">
        <v>1.22037922040849</v>
      </c>
      <c r="Q28" s="56" t="n">
        <v>0.276924804532331</v>
      </c>
      <c r="R28" s="56" t="n">
        <v>0.703939608574999</v>
      </c>
      <c r="S28" s="56" t="n">
        <v>0.835346314546292</v>
      </c>
      <c r="T28" s="56" t="n">
        <v>10.367664734786</v>
      </c>
      <c r="U28" s="56" t="n">
        <v>81.9464254640063</v>
      </c>
      <c r="V28" s="56" t="n">
        <v>0.498347935833483</v>
      </c>
      <c r="W28" s="56" t="n">
        <v>8.87120920733829</v>
      </c>
      <c r="X28" s="56" t="n">
        <v>72.9846593318541</v>
      </c>
      <c r="Y28" s="56" t="n">
        <v>23.9956265865213</v>
      </c>
      <c r="Z28" s="56" t="n">
        <v>19.4584988741743</v>
      </c>
      <c r="AA28" s="56" t="n">
        <v>0.222412840106679</v>
      </c>
      <c r="AB28" s="56" t="n">
        <v>1.18895893314722</v>
      </c>
      <c r="AC28" s="56" t="n">
        <v>6.99186216555086</v>
      </c>
      <c r="AD28" s="56" t="n">
        <v>13.5093385250746</v>
      </c>
      <c r="AE28" s="56" t="n">
        <v>0.541538180979323</v>
      </c>
      <c r="AF28" s="56" t="n">
        <v>6.43847654763655</v>
      </c>
      <c r="AG28" s="56" t="n">
        <v>4.95796197632778</v>
      </c>
      <c r="AH28" s="56" t="n">
        <v>26.1452677477241</v>
      </c>
      <c r="AI28" s="56" t="n">
        <v>12.9446067179556</v>
      </c>
      <c r="AJ28" s="56" t="n">
        <v>10.658817851997</v>
      </c>
      <c r="AK28" s="56" t="n">
        <v>4.08038193445025</v>
      </c>
      <c r="AL28" s="57" t="n">
        <v>710.279834354485</v>
      </c>
      <c r="AM28" s="57" t="n">
        <v>0.59280509145337</v>
      </c>
      <c r="AN28" s="57" t="n">
        <v>0.183408358181898</v>
      </c>
      <c r="AO28" s="57" t="n">
        <v>24.2206626134148</v>
      </c>
      <c r="AP28" s="57" t="n">
        <v>2.92507877536472</v>
      </c>
      <c r="AQ28" s="57" t="n">
        <v>174.386804809756</v>
      </c>
      <c r="AR28" s="61" t="n">
        <v>1686.84618751266</v>
      </c>
      <c r="AT28" s="22" t="n">
        <v>912.588594002656</v>
      </c>
      <c r="AV28" s="43" t="n">
        <v>1686.84618751266</v>
      </c>
      <c r="AW28" s="59" t="n">
        <f aca="false">AV28-AR28</f>
        <v>0</v>
      </c>
      <c r="AY28" s="19" t="n">
        <v>1051.21964475764</v>
      </c>
      <c r="AZ28" s="60" t="n">
        <f aca="false">AY28/$AR28</f>
        <v>0.623186424784656</v>
      </c>
      <c r="BB28" s="19" t="s">
        <v>152</v>
      </c>
      <c r="BC28" s="19" t="s">
        <v>266</v>
      </c>
      <c r="BD28" s="19" t="n">
        <f aca="false">$AY28*BQ28/$BZ28</f>
        <v>71.7296423406609</v>
      </c>
      <c r="BE28" s="19" t="n">
        <f aca="false">$AY28*BR28/$BZ28</f>
        <v>126.885390049578</v>
      </c>
      <c r="BF28" s="19" t="n">
        <f aca="false">$AY28*BS28/$BZ28</f>
        <v>52.1670126113897</v>
      </c>
      <c r="BG28" s="19" t="n">
        <f aca="false">$AY28*BT28/$BZ28</f>
        <v>11.9549403901101</v>
      </c>
      <c r="BH28" s="19" t="n">
        <f aca="false">$AY28*BU28/$BZ28</f>
        <v>281.212802358273</v>
      </c>
      <c r="BI28" s="19" t="n">
        <f aca="false">$AY28*BV28/$BZ28</f>
        <v>30.430757356644</v>
      </c>
      <c r="BJ28" s="19" t="n">
        <f aca="false">$AY28*BW28/$BZ28</f>
        <v>130.960937909843</v>
      </c>
      <c r="BK28" s="19" t="n">
        <f aca="false">$AY28*BX28/$BZ28</f>
        <v>277.137254498008</v>
      </c>
      <c r="BL28" s="19" t="n">
        <f aca="false">$AY28*BY28/$BZ28</f>
        <v>68.7409072431333</v>
      </c>
      <c r="BM28" s="19" t="n">
        <f aca="false">SUM(BD28:BL28)</f>
        <v>1051.21964475764</v>
      </c>
      <c r="BO28" s="19" t="s">
        <v>152</v>
      </c>
      <c r="BP28" s="19" t="s">
        <v>151</v>
      </c>
      <c r="BQ28" s="19" t="n">
        <v>21052.285725123</v>
      </c>
      <c r="BR28" s="19" t="n">
        <v>37240.217551638</v>
      </c>
      <c r="BS28" s="19" t="n">
        <v>15310.7532546349</v>
      </c>
      <c r="BT28" s="19" t="n">
        <v>3508.71428752049</v>
      </c>
      <c r="BU28" s="19" t="n">
        <v>82534.5292632662</v>
      </c>
      <c r="BV28" s="19" t="n">
        <v>8931.27273187035</v>
      </c>
      <c r="BW28" s="19" t="n">
        <v>38436.3701496563</v>
      </c>
      <c r="BX28" s="19" t="n">
        <v>81338.3766652478</v>
      </c>
      <c r="BY28" s="19" t="n">
        <v>20175.1071532428</v>
      </c>
      <c r="BZ28" s="19" t="n">
        <v>308527.6267822</v>
      </c>
      <c r="CB28" s="19" t="s">
        <v>152</v>
      </c>
      <c r="CC28" s="19" t="s">
        <v>151</v>
      </c>
      <c r="CD28" s="19" t="n">
        <f aca="false">BQ28/$AR28</f>
        <v>12.4802639867039</v>
      </c>
      <c r="CE28" s="19" t="n">
        <f aca="false">BR28/$AR28</f>
        <v>22.0768306128436</v>
      </c>
      <c r="CF28" s="19" t="n">
        <f aca="false">BS28/$AR28</f>
        <v>9.07655562669374</v>
      </c>
      <c r="CG28" s="19" t="n">
        <f aca="false">BT28/$AR28</f>
        <v>2.08004399778398</v>
      </c>
      <c r="CH28" s="19" t="n">
        <f aca="false">BU28/$AR28</f>
        <v>48.9283076751459</v>
      </c>
      <c r="CI28" s="19" t="n">
        <f aca="false">BV28/$AR28</f>
        <v>5.29465744890468</v>
      </c>
      <c r="CJ28" s="19" t="n">
        <f aca="false">BW28/$AR28</f>
        <v>22.7859365211791</v>
      </c>
      <c r="CK28" s="19" t="n">
        <f aca="false">BX28/$AR28</f>
        <v>48.2192017668105</v>
      </c>
      <c r="CL28" s="19" t="n">
        <f aca="false">BY28/$AR28</f>
        <v>11.9602529872579</v>
      </c>
      <c r="CM28" s="19" t="n">
        <f aca="false">BZ28/$AR28</f>
        <v>182.902050623323</v>
      </c>
      <c r="CO28" s="19" t="n">
        <v>21</v>
      </c>
      <c r="CP28" s="19" t="s">
        <v>226</v>
      </c>
      <c r="CQ28" s="19" t="n">
        <v>863.195860819132</v>
      </c>
      <c r="CR28" s="19" t="n">
        <v>621.457122863625</v>
      </c>
      <c r="CS28" s="19" t="n">
        <v>1.6753642007115</v>
      </c>
      <c r="CT28" s="19" t="n">
        <v>0</v>
      </c>
      <c r="CU28" s="19" t="n">
        <v>23.2389277337961</v>
      </c>
      <c r="CW28" s="19" t="n">
        <v>21</v>
      </c>
      <c r="CX28" s="19" t="s">
        <v>226</v>
      </c>
      <c r="CY28" s="60" t="n">
        <f aca="false">CQ28/$AR28</f>
        <v>0.511721736818198</v>
      </c>
      <c r="CZ28" s="60" t="n">
        <f aca="false">CR28/$AR28</f>
        <v>0.368413627433333</v>
      </c>
      <c r="DA28" s="60" t="n">
        <f aca="false">CS28/$AR28</f>
        <v>0.000993193222425285</v>
      </c>
      <c r="DB28" s="60" t="n">
        <f aca="false">CT28/$AR28</f>
        <v>0</v>
      </c>
      <c r="DC28" s="60" t="n">
        <f aca="false">CU28/$AR28</f>
        <v>0.0137765540840823</v>
      </c>
    </row>
    <row r="29" customFormat="false" ht="12.75" hidden="false" customHeight="false" outlineLevel="0" collapsed="false">
      <c r="A29" s="53" t="s">
        <v>199</v>
      </c>
      <c r="B29" s="54" t="s">
        <v>153</v>
      </c>
      <c r="C29" s="55" t="s">
        <v>154</v>
      </c>
      <c r="D29" s="56" t="n">
        <v>22.2221172033587</v>
      </c>
      <c r="E29" s="56" t="n">
        <v>0.487863890097431</v>
      </c>
      <c r="F29" s="56" t="n">
        <v>15.1162653548172</v>
      </c>
      <c r="G29" s="56" t="n">
        <v>0.827742643731663</v>
      </c>
      <c r="H29" s="56" t="n">
        <v>0.0873683818721059</v>
      </c>
      <c r="I29" s="56" t="n">
        <v>0.00203095936088243</v>
      </c>
      <c r="J29" s="56" t="n">
        <v>0.112532471310634</v>
      </c>
      <c r="K29" s="56" t="n">
        <v>0.455477656041493</v>
      </c>
      <c r="L29" s="56" t="n">
        <v>0.210365299344568</v>
      </c>
      <c r="M29" s="56" t="n">
        <v>0.242097865175168</v>
      </c>
      <c r="N29" s="56" t="n">
        <v>0.881558107793074</v>
      </c>
      <c r="O29" s="56" t="n">
        <v>0.537412414931085</v>
      </c>
      <c r="P29" s="56" t="n">
        <v>0.00833816363277842</v>
      </c>
      <c r="Q29" s="56" t="n">
        <v>0.00189207116570935</v>
      </c>
      <c r="R29" s="56" t="n">
        <v>0.00480962273507709</v>
      </c>
      <c r="S29" s="56" t="n">
        <v>0.0140477428631118</v>
      </c>
      <c r="T29" s="56" t="n">
        <v>0.489245809969051</v>
      </c>
      <c r="U29" s="56" t="n">
        <v>7.85768630170663</v>
      </c>
      <c r="V29" s="56" t="n">
        <v>0.0487387617446283</v>
      </c>
      <c r="W29" s="56" t="n">
        <v>1.20988300735805</v>
      </c>
      <c r="X29" s="56" t="n">
        <v>14.8170122912262</v>
      </c>
      <c r="Y29" s="56" t="n">
        <v>6.84771391456249</v>
      </c>
      <c r="Z29" s="56" t="n">
        <v>0.741921979768557</v>
      </c>
      <c r="AA29" s="56" t="n">
        <v>0.00715931082726537</v>
      </c>
      <c r="AB29" s="56" t="n">
        <v>0.0382717407824655</v>
      </c>
      <c r="AC29" s="56" t="n">
        <v>0.225063060570451</v>
      </c>
      <c r="AD29" s="56" t="n">
        <v>1.37032931144468</v>
      </c>
      <c r="AE29" s="56" t="n">
        <v>1.00820346045857</v>
      </c>
      <c r="AF29" s="56" t="n">
        <v>1.42291484378681</v>
      </c>
      <c r="AG29" s="56" t="n">
        <v>1.09571847297278</v>
      </c>
      <c r="AH29" s="56" t="n">
        <v>8.87028981491052</v>
      </c>
      <c r="AI29" s="56" t="n">
        <v>3.08863404734729</v>
      </c>
      <c r="AJ29" s="56" t="n">
        <v>2.36397601189117</v>
      </c>
      <c r="AK29" s="56" t="n">
        <v>0.951456252036563</v>
      </c>
      <c r="AL29" s="57" t="n">
        <v>206.109595431935</v>
      </c>
      <c r="AM29" s="57" t="n">
        <v>0</v>
      </c>
      <c r="AN29" s="57" t="n">
        <v>0</v>
      </c>
      <c r="AO29" s="57" t="n">
        <v>5.39303848281039</v>
      </c>
      <c r="AP29" s="57" t="n">
        <v>-0.0311389134219742</v>
      </c>
      <c r="AQ29" s="57" t="n">
        <v>3.96785165530716</v>
      </c>
      <c r="AR29" s="61" t="n">
        <v>309.105484898225</v>
      </c>
      <c r="AT29" s="22" t="n">
        <v>215.439346656631</v>
      </c>
      <c r="AV29" s="43" t="n">
        <v>309.105484898226</v>
      </c>
      <c r="AW29" s="59" t="n">
        <f aca="false">AV29-AR29</f>
        <v>0</v>
      </c>
      <c r="AY29" s="19" t="n">
        <v>126.219380524158</v>
      </c>
      <c r="AZ29" s="60" t="n">
        <f aca="false">AY29/$AR29</f>
        <v>0.408337563358723</v>
      </c>
      <c r="BB29" s="19" t="s">
        <v>154</v>
      </c>
      <c r="BC29" s="19" t="s">
        <v>153</v>
      </c>
      <c r="BD29" s="19" t="n">
        <f aca="false">$AY29*BQ29/$BZ29</f>
        <v>11.1273784040312</v>
      </c>
      <c r="BE29" s="19" t="n">
        <f aca="false">$AY29*BR29/$BZ29</f>
        <v>11.8910220199941</v>
      </c>
      <c r="BF29" s="19" t="n">
        <f aca="false">$AY29*BS29/$BZ29</f>
        <v>13.2001253616449</v>
      </c>
      <c r="BG29" s="19" t="n">
        <f aca="false">$AY29*BT29/$BZ29</f>
        <v>0.327275835412683</v>
      </c>
      <c r="BH29" s="19" t="n">
        <f aca="false">$AY29*BU29/$BZ29</f>
        <v>39.4912841397971</v>
      </c>
      <c r="BI29" s="19" t="n">
        <f aca="false">$AY29*BV29/$BZ29</f>
        <v>2.61820668330146</v>
      </c>
      <c r="BJ29" s="19" t="n">
        <f aca="false">$AY29*BW29/$BZ29</f>
        <v>17.2365273317346</v>
      </c>
      <c r="BK29" s="19" t="n">
        <f aca="false">$AY29*BX29/$BZ29</f>
        <v>23.1274923691629</v>
      </c>
      <c r="BL29" s="19" t="n">
        <f aca="false">$AY29*BY29/$BZ29</f>
        <v>7.20006837907902</v>
      </c>
      <c r="BM29" s="19" t="n">
        <f aca="false">SUM(BD29:BL29)</f>
        <v>126.219380524158</v>
      </c>
      <c r="BO29" s="19" t="s">
        <v>154</v>
      </c>
      <c r="BP29" s="19" t="s">
        <v>153</v>
      </c>
      <c r="BQ29" s="19" t="n">
        <v>10200</v>
      </c>
      <c r="BR29" s="19" t="n">
        <v>10900</v>
      </c>
      <c r="BS29" s="19" t="n">
        <v>12100</v>
      </c>
      <c r="BT29" s="19" t="n">
        <v>300</v>
      </c>
      <c r="BU29" s="19" t="n">
        <v>36200</v>
      </c>
      <c r="BV29" s="19" t="n">
        <v>2400</v>
      </c>
      <c r="BW29" s="19" t="n">
        <v>15800</v>
      </c>
      <c r="BX29" s="19" t="n">
        <v>21200</v>
      </c>
      <c r="BY29" s="19" t="n">
        <v>6600</v>
      </c>
      <c r="BZ29" s="19" t="n">
        <v>115700</v>
      </c>
      <c r="CB29" s="19" t="s">
        <v>154</v>
      </c>
      <c r="CC29" s="19" t="s">
        <v>153</v>
      </c>
      <c r="CD29" s="19" t="n">
        <f aca="false">BQ29/$AR29</f>
        <v>32.9984438916003</v>
      </c>
      <c r="CE29" s="19" t="n">
        <f aca="false">BR29/$AR29</f>
        <v>35.2630429822003</v>
      </c>
      <c r="CF29" s="19" t="n">
        <f aca="false">BS29/$AR29</f>
        <v>39.1452128518004</v>
      </c>
      <c r="CG29" s="19" t="n">
        <f aca="false">BT29/$AR29</f>
        <v>0.970542467400009</v>
      </c>
      <c r="CH29" s="19" t="n">
        <f aca="false">BU29/$AR29</f>
        <v>117.112124399601</v>
      </c>
      <c r="CI29" s="19" t="n">
        <f aca="false">BV29/$AR29</f>
        <v>7.76433973920008</v>
      </c>
      <c r="CJ29" s="19" t="n">
        <f aca="false">BW29/$AR29</f>
        <v>51.1152366164005</v>
      </c>
      <c r="CK29" s="19" t="n">
        <f aca="false">BX29/$AR29</f>
        <v>68.5850010296007</v>
      </c>
      <c r="CL29" s="19" t="n">
        <f aca="false">BY29/$AR29</f>
        <v>21.3519342828002</v>
      </c>
      <c r="CM29" s="19" t="n">
        <f aca="false">BZ29/$AR29</f>
        <v>374.305878260604</v>
      </c>
      <c r="CO29" s="19" t="n">
        <v>22</v>
      </c>
      <c r="CP29" s="19" t="s">
        <v>227</v>
      </c>
      <c r="CQ29" s="19" t="n">
        <v>450.569042246066</v>
      </c>
      <c r="CR29" s="19" t="n">
        <v>146.667661686704</v>
      </c>
      <c r="CS29" s="19" t="n">
        <v>0.929197850188004</v>
      </c>
      <c r="CT29" s="19" t="n">
        <v>0</v>
      </c>
      <c r="CU29" s="19" t="n">
        <v>12.8888761510765</v>
      </c>
      <c r="CW29" s="19" t="n">
        <v>22</v>
      </c>
      <c r="CX29" s="19" t="s">
        <v>227</v>
      </c>
      <c r="CY29" s="60" t="n">
        <f aca="false">CQ29/$AR29</f>
        <v>1.45765463331852</v>
      </c>
      <c r="CZ29" s="60" t="n">
        <f aca="false">CR29/$AR29</f>
        <v>0.474490647537345</v>
      </c>
      <c r="DA29" s="60" t="n">
        <f aca="false">CS29/$AR29</f>
        <v>0.0030060865807475</v>
      </c>
      <c r="DB29" s="60" t="n">
        <f aca="false">CT29/$AR29</f>
        <v>0</v>
      </c>
      <c r="DC29" s="60" t="n">
        <f aca="false">CU29/$AR29</f>
        <v>0.041697338872263</v>
      </c>
    </row>
    <row r="30" customFormat="false" ht="12.75" hidden="false" customHeight="false" outlineLevel="0" collapsed="false">
      <c r="A30" s="53" t="n">
        <v>60</v>
      </c>
      <c r="B30" s="54" t="s">
        <v>155</v>
      </c>
      <c r="C30" s="55" t="s">
        <v>156</v>
      </c>
      <c r="D30" s="56" t="n">
        <v>23.5709656783781</v>
      </c>
      <c r="E30" s="56" t="n">
        <v>3.09885736796124</v>
      </c>
      <c r="F30" s="56" t="n">
        <v>8.8379125677077</v>
      </c>
      <c r="G30" s="56" t="n">
        <v>3.59157348286132</v>
      </c>
      <c r="H30" s="56" t="n">
        <v>0.379091213855694</v>
      </c>
      <c r="I30" s="56" t="n">
        <v>0.0405349580900383</v>
      </c>
      <c r="J30" s="56" t="n">
        <v>0.578390746924332</v>
      </c>
      <c r="K30" s="56" t="n">
        <v>1.43632976601362</v>
      </c>
      <c r="L30" s="56" t="n">
        <v>0.663378185904785</v>
      </c>
      <c r="M30" s="56" t="n">
        <v>1.74034383158144</v>
      </c>
      <c r="N30" s="56" t="n">
        <v>6.33716540196753</v>
      </c>
      <c r="O30" s="56" t="n">
        <v>16.1172885533545</v>
      </c>
      <c r="P30" s="56" t="n">
        <v>0.110570159331642</v>
      </c>
      <c r="Q30" s="56" t="n">
        <v>0.0250902500206241</v>
      </c>
      <c r="R30" s="56" t="n">
        <v>0.0637791215864346</v>
      </c>
      <c r="S30" s="56" t="n">
        <v>0.547685661072087</v>
      </c>
      <c r="T30" s="56" t="n">
        <v>6.72725767707503</v>
      </c>
      <c r="U30" s="56" t="n">
        <v>29.5110030466551</v>
      </c>
      <c r="V30" s="56" t="n">
        <v>0.19661269710561</v>
      </c>
      <c r="W30" s="56" t="n">
        <v>4.19566793039496</v>
      </c>
      <c r="X30" s="56" t="n">
        <v>12.3146373459739</v>
      </c>
      <c r="Y30" s="56" t="n">
        <v>2.52165669445095</v>
      </c>
      <c r="Z30" s="56" t="n">
        <v>9.35825202046724</v>
      </c>
      <c r="AA30" s="56" t="n">
        <v>0.0903041517051554</v>
      </c>
      <c r="AB30" s="56" t="n">
        <v>0.482741589103523</v>
      </c>
      <c r="AC30" s="56" t="n">
        <v>2.83883871720985</v>
      </c>
      <c r="AD30" s="56" t="n">
        <v>5.38963883650477</v>
      </c>
      <c r="AE30" s="56" t="n">
        <v>0.216245918035004</v>
      </c>
      <c r="AF30" s="56" t="n">
        <v>1.31777026550076</v>
      </c>
      <c r="AG30" s="56" t="n">
        <v>1.01475167635525</v>
      </c>
      <c r="AH30" s="56" t="n">
        <v>3.94309371118792</v>
      </c>
      <c r="AI30" s="56" t="n">
        <v>2.02389077142485</v>
      </c>
      <c r="AJ30" s="56" t="n">
        <v>2.81386650098855</v>
      </c>
      <c r="AK30" s="56" t="n">
        <v>2.29683685211649</v>
      </c>
      <c r="AL30" s="57" t="n">
        <v>112.598436844636</v>
      </c>
      <c r="AM30" s="57" t="n">
        <v>0.0617670314913597</v>
      </c>
      <c r="AN30" s="57" t="n">
        <v>0.902537927921648</v>
      </c>
      <c r="AO30" s="57" t="n">
        <v>48.2031780786917</v>
      </c>
      <c r="AP30" s="57" t="n">
        <v>0.10132248787241</v>
      </c>
      <c r="AQ30" s="57" t="n">
        <v>178.72719773115</v>
      </c>
      <c r="AR30" s="61" t="n">
        <v>494.986463450629</v>
      </c>
      <c r="AT30" s="22" t="n">
        <v>340.594440101763</v>
      </c>
      <c r="AV30" s="43" t="n">
        <v>494.986463450629</v>
      </c>
      <c r="AW30" s="59" t="n">
        <f aca="false">AV30-AR30</f>
        <v>0</v>
      </c>
      <c r="AY30" s="19" t="n">
        <v>208.293833306349</v>
      </c>
      <c r="AZ30" s="60" t="n">
        <f aca="false">AY30/$AR30</f>
        <v>0.420807130470397</v>
      </c>
      <c r="BB30" s="19" t="s">
        <v>156</v>
      </c>
      <c r="BC30" s="19" t="s">
        <v>155</v>
      </c>
      <c r="BD30" s="19" t="n">
        <f aca="false">$AY30*BQ30/$BZ30</f>
        <v>17.1200410936725</v>
      </c>
      <c r="BE30" s="19" t="n">
        <f aca="false">$AY30*BR30/$BZ30</f>
        <v>27.7651948506356</v>
      </c>
      <c r="BF30" s="19" t="n">
        <f aca="false">$AY30*BS30/$BZ30</f>
        <v>9.54771522531737</v>
      </c>
      <c r="BG30" s="19" t="n">
        <f aca="false">$AY30*BT30/$BZ30</f>
        <v>3.07282788860789</v>
      </c>
      <c r="BH30" s="19" t="n">
        <f aca="false">$AY30*BU30/$BZ30</f>
        <v>47.6288322734223</v>
      </c>
      <c r="BI30" s="19" t="n">
        <f aca="false">$AY30*BV30/$BZ30</f>
        <v>5.59693651139294</v>
      </c>
      <c r="BJ30" s="19" t="n">
        <f aca="false">$AY30*BW30/$BZ30</f>
        <v>42.361127321523</v>
      </c>
      <c r="BK30" s="19" t="n">
        <f aca="false">$AY30*BX30/$BZ30</f>
        <v>44.9949797974726</v>
      </c>
      <c r="BL30" s="19" t="n">
        <f aca="false">$AY30*BY30/$BZ30</f>
        <v>10.2061783443048</v>
      </c>
      <c r="BM30" s="19" t="n">
        <f aca="false">SUM(BD30:BL30)</f>
        <v>208.293833306349</v>
      </c>
      <c r="BO30" s="19" t="s">
        <v>156</v>
      </c>
      <c r="BP30" s="19" t="s">
        <v>155</v>
      </c>
      <c r="BQ30" s="19" t="n">
        <v>11390.4293439159</v>
      </c>
      <c r="BR30" s="19" t="n">
        <v>18472.9398975046</v>
      </c>
      <c r="BS30" s="19" t="n">
        <v>6352.35482641463</v>
      </c>
      <c r="BT30" s="19" t="n">
        <v>2044.43603608747</v>
      </c>
      <c r="BU30" s="19" t="n">
        <v>31688.7585593558</v>
      </c>
      <c r="BV30" s="19" t="n">
        <v>3723.79420858789</v>
      </c>
      <c r="BW30" s="19" t="n">
        <v>28184.0110689201</v>
      </c>
      <c r="BX30" s="19" t="n">
        <v>29936.3848141379</v>
      </c>
      <c r="BY30" s="19" t="n">
        <v>6790.44826271909</v>
      </c>
      <c r="BZ30" s="19" t="n">
        <v>138583.557017643</v>
      </c>
      <c r="CB30" s="19" t="s">
        <v>156</v>
      </c>
      <c r="CC30" s="19" t="s">
        <v>155</v>
      </c>
      <c r="CD30" s="19" t="n">
        <f aca="false">BQ30/$AR30</f>
        <v>23.0115976596843</v>
      </c>
      <c r="CE30" s="19" t="n">
        <f aca="false">BR30/$AR30</f>
        <v>37.3200910762829</v>
      </c>
      <c r="CF30" s="19" t="n">
        <f aca="false">BS30/$AR30</f>
        <v>12.8333910025162</v>
      </c>
      <c r="CG30" s="19" t="n">
        <f aca="false">BT30/$AR30</f>
        <v>4.13028675943051</v>
      </c>
      <c r="CH30" s="19" t="n">
        <f aca="false">BU30/$AR30</f>
        <v>64.019444771173</v>
      </c>
      <c r="CI30" s="19" t="n">
        <f aca="false">BV30/$AR30</f>
        <v>7.52302231181986</v>
      </c>
      <c r="CJ30" s="19" t="n">
        <f aca="false">BW30/$AR30</f>
        <v>56.9389531835778</v>
      </c>
      <c r="CK30" s="19" t="n">
        <f aca="false">BX30/$AR30</f>
        <v>60.4791989773754</v>
      </c>
      <c r="CL30" s="19" t="n">
        <f aca="false">BY30/$AR30</f>
        <v>13.7184524509656</v>
      </c>
      <c r="CM30" s="19" t="n">
        <f aca="false">BZ30/$AR30</f>
        <v>279.974438192826</v>
      </c>
      <c r="CO30" s="19" t="n">
        <v>23</v>
      </c>
      <c r="CP30" s="19" t="s">
        <v>228</v>
      </c>
      <c r="CQ30" s="19" t="n">
        <v>260.49153068138</v>
      </c>
      <c r="CR30" s="19" t="n">
        <v>46.3110483762786</v>
      </c>
      <c r="CS30" s="19" t="n">
        <v>0.309242771089945</v>
      </c>
      <c r="CT30" s="19" t="n">
        <v>0</v>
      </c>
      <c r="CU30" s="19" t="n">
        <v>4.28949741584911</v>
      </c>
      <c r="CW30" s="19" t="n">
        <v>23</v>
      </c>
      <c r="CX30" s="19" t="s">
        <v>228</v>
      </c>
      <c r="CY30" s="60" t="n">
        <f aca="false">CQ30/$AR30</f>
        <v>0.526259907928496</v>
      </c>
      <c r="CZ30" s="60" t="n">
        <f aca="false">CR30/$AR30</f>
        <v>0.0935602320383409</v>
      </c>
      <c r="DA30" s="60" t="n">
        <f aca="false">CS30/$AR30</f>
        <v>0.000624749955653665</v>
      </c>
      <c r="DB30" s="60" t="n">
        <f aca="false">CT30/$AR30</f>
        <v>0</v>
      </c>
      <c r="DC30" s="60" t="n">
        <f aca="false">CU30/$AR30</f>
        <v>0.00866588832742282</v>
      </c>
    </row>
    <row r="31" customFormat="false" ht="12.75" hidden="false" customHeight="false" outlineLevel="0" collapsed="false">
      <c r="A31" s="53" t="n">
        <v>61</v>
      </c>
      <c r="B31" s="54" t="s">
        <v>157</v>
      </c>
      <c r="C31" s="55" t="s">
        <v>158</v>
      </c>
      <c r="D31" s="56" t="n">
        <v>0.204928144134511</v>
      </c>
      <c r="E31" s="56" t="n">
        <v>0.0269417510516502</v>
      </c>
      <c r="F31" s="56" t="n">
        <v>0.0768376249508001</v>
      </c>
      <c r="G31" s="56" t="n">
        <v>0.0312254702844289</v>
      </c>
      <c r="H31" s="56" t="n">
        <v>0.00329585388961847</v>
      </c>
      <c r="I31" s="56" t="n">
        <v>0.000352414654847239</v>
      </c>
      <c r="J31" s="56" t="n">
        <v>0.00502858236565607</v>
      </c>
      <c r="K31" s="56" t="n">
        <v>0.0124875831279297</v>
      </c>
      <c r="L31" s="56" t="n">
        <v>0.00576747097898876</v>
      </c>
      <c r="M31" s="56" t="n">
        <v>0.0151307093832427</v>
      </c>
      <c r="N31" s="56" t="n">
        <v>0.0550958990233444</v>
      </c>
      <c r="O31" s="56" t="n">
        <v>0.14012518947194</v>
      </c>
      <c r="P31" s="56" t="n">
        <v>0.000961307137673858</v>
      </c>
      <c r="Q31" s="56" t="n">
        <v>0.000218136941980019</v>
      </c>
      <c r="R31" s="56" t="n">
        <v>0.000554501550745826</v>
      </c>
      <c r="S31" s="56" t="n">
        <v>0.00476162952439157</v>
      </c>
      <c r="T31" s="56" t="n">
        <v>0.0584873971515827</v>
      </c>
      <c r="U31" s="56" t="n">
        <v>0.256571375497206</v>
      </c>
      <c r="V31" s="56" t="n">
        <v>0.00170936887698636</v>
      </c>
      <c r="W31" s="56" t="n">
        <v>0.0443488416180228</v>
      </c>
      <c r="X31" s="56" t="n">
        <v>0.10706459003141</v>
      </c>
      <c r="Y31" s="56" t="n">
        <v>0.0219235152937422</v>
      </c>
      <c r="Z31" s="56" t="n">
        <v>0.0813615040242738</v>
      </c>
      <c r="AA31" s="56" t="n">
        <v>0.000785112602898336</v>
      </c>
      <c r="AB31" s="56" t="n">
        <v>0.00419699978784817</v>
      </c>
      <c r="AC31" s="56" t="n">
        <v>0.0246811249803253</v>
      </c>
      <c r="AD31" s="56" t="n">
        <v>0.0468580158908537</v>
      </c>
      <c r="AE31" s="56" t="n">
        <v>0.00188006190600104</v>
      </c>
      <c r="AF31" s="56" t="n">
        <v>0.0114568159230078</v>
      </c>
      <c r="AG31" s="56" t="n">
        <v>0.00882234443129416</v>
      </c>
      <c r="AH31" s="56" t="n">
        <v>0.0342816194893293</v>
      </c>
      <c r="AI31" s="56" t="n">
        <v>0.0175958925645338</v>
      </c>
      <c r="AJ31" s="56" t="n">
        <v>0.0244640142350558</v>
      </c>
      <c r="AK31" s="56" t="n">
        <v>0.0199689109010816</v>
      </c>
      <c r="AL31" s="57" t="n">
        <v>0.978948466240122</v>
      </c>
      <c r="AM31" s="57" t="n">
        <v>0.000537012257338032</v>
      </c>
      <c r="AN31" s="57" t="n">
        <v>0.0078468062703352</v>
      </c>
      <c r="AO31" s="57" t="n">
        <v>0.419085988850321</v>
      </c>
      <c r="AP31" s="57" t="n">
        <v>0.000880913597718844</v>
      </c>
      <c r="AQ31" s="57" t="n">
        <v>1.86747282994351</v>
      </c>
      <c r="AR31" s="61" t="n">
        <v>4.62494179083654</v>
      </c>
      <c r="AT31" s="22" t="n">
        <v>3.27477201715934</v>
      </c>
      <c r="AV31" s="43" t="n">
        <v>4.62494179083654</v>
      </c>
      <c r="AW31" s="59" t="n">
        <f aca="false">AV31-AR31</f>
        <v>0</v>
      </c>
      <c r="AY31" s="19" t="n">
        <v>1.87570858538118</v>
      </c>
      <c r="AZ31" s="60" t="n">
        <f aca="false">AY31/$AR31</f>
        <v>0.405563717385059</v>
      </c>
      <c r="BB31" s="19" t="s">
        <v>158</v>
      </c>
      <c r="BC31" s="19" t="s">
        <v>157</v>
      </c>
      <c r="BD31" s="19" t="n">
        <f aca="false">$AY31*BQ31/$BZ31</f>
        <v>0.154167828935439</v>
      </c>
      <c r="BE31" s="19" t="n">
        <f aca="false">$AY31*BR31/$BZ31</f>
        <v>0.250028594363245</v>
      </c>
      <c r="BF31" s="19" t="n">
        <f aca="false">$AY31*BS31/$BZ31</f>
        <v>0.0859782122909182</v>
      </c>
      <c r="BG31" s="19" t="n">
        <f aca="false">$AY31*BT31/$BZ31</f>
        <v>0.027671148783284</v>
      </c>
      <c r="BH31" s="19" t="n">
        <f aca="false">$AY31*BU31/$BZ31</f>
        <v>0.428902806140902</v>
      </c>
      <c r="BI31" s="19" t="n">
        <f aca="false">$AY31*BV31/$BZ31</f>
        <v>0.0504010209981244</v>
      </c>
      <c r="BJ31" s="19" t="n">
        <f aca="false">$AY31*BW31/$BZ31</f>
        <v>0.381466551083844</v>
      </c>
      <c r="BK31" s="19" t="n">
        <f aca="false">$AY31*BX31/$BZ31</f>
        <v>0.405184678612373</v>
      </c>
      <c r="BL31" s="19" t="n">
        <f aca="false">$AY31*BY31/$BZ31</f>
        <v>0.0919077441730505</v>
      </c>
      <c r="BM31" s="19" t="n">
        <f aca="false">SUM(BD31:BL31)</f>
        <v>1.87570858538118</v>
      </c>
      <c r="BO31" s="19" t="s">
        <v>158</v>
      </c>
      <c r="BP31" s="19" t="s">
        <v>157</v>
      </c>
      <c r="BQ31" s="19" t="n">
        <v>102.572053010028</v>
      </c>
      <c r="BR31" s="19" t="n">
        <v>166.350829561135</v>
      </c>
      <c r="BS31" s="19" t="n">
        <v>57.2036449479002</v>
      </c>
      <c r="BT31" s="19" t="n">
        <v>18.4103684889794</v>
      </c>
      <c r="BU31" s="19" t="n">
        <v>285.36071157918</v>
      </c>
      <c r="BV31" s="19" t="n">
        <v>33.5331711763553</v>
      </c>
      <c r="BW31" s="19" t="n">
        <v>253.800079883787</v>
      </c>
      <c r="BX31" s="19" t="n">
        <v>269.580395731484</v>
      </c>
      <c r="BY31" s="19" t="n">
        <v>61.1487239098244</v>
      </c>
      <c r="BZ31" s="19" t="n">
        <v>1247.95997828867</v>
      </c>
      <c r="CB31" s="19" t="s">
        <v>158</v>
      </c>
      <c r="CC31" s="19" t="s">
        <v>157</v>
      </c>
      <c r="CD31" s="19" t="n">
        <f aca="false">BQ31/$AR31</f>
        <v>22.1780203187109</v>
      </c>
      <c r="CE31" s="19" t="n">
        <f aca="false">BR31/$AR31</f>
        <v>35.9681996194478</v>
      </c>
      <c r="CF31" s="19" t="n">
        <f aca="false">BS31/$AR31</f>
        <v>12.3685113315888</v>
      </c>
      <c r="CG31" s="19" t="n">
        <f aca="false">BT31/$AR31</f>
        <v>3.98067031361477</v>
      </c>
      <c r="CH31" s="19" t="n">
        <f aca="false">BU31/$AR31</f>
        <v>61.700389861029</v>
      </c>
      <c r="CI31" s="19" t="n">
        <f aca="false">BV31/$AR31</f>
        <v>7.25050664265548</v>
      </c>
      <c r="CJ31" s="19" t="n">
        <f aca="false">BW31/$AR31</f>
        <v>54.876383609118</v>
      </c>
      <c r="CK31" s="19" t="n">
        <f aca="false">BX31/$AR31</f>
        <v>58.2883867350735</v>
      </c>
      <c r="CL31" s="19" t="n">
        <f aca="false">BY31/$AR31</f>
        <v>13.2215121130776</v>
      </c>
      <c r="CM31" s="19" t="n">
        <f aca="false">BZ31/$AR31</f>
        <v>269.832580544316</v>
      </c>
      <c r="CO31" s="19" t="n">
        <v>24</v>
      </c>
      <c r="CP31" s="19" t="s">
        <v>229</v>
      </c>
      <c r="CQ31" s="19" t="n">
        <v>2685.54735782267</v>
      </c>
      <c r="CR31" s="19" t="n">
        <v>0.445181075238628</v>
      </c>
      <c r="CS31" s="19" t="n">
        <v>0.0187029390159049</v>
      </c>
      <c r="CT31" s="19" t="n">
        <v>0</v>
      </c>
      <c r="CU31" s="19" t="n">
        <v>0.259427919025384</v>
      </c>
      <c r="CW31" s="19" t="n">
        <v>24</v>
      </c>
      <c r="CX31" s="19" t="s">
        <v>229</v>
      </c>
      <c r="CY31" s="60" t="n">
        <f aca="false">CQ31/$AR31</f>
        <v>580.666196306206</v>
      </c>
      <c r="CZ31" s="60" t="n">
        <f aca="false">CR31/$AR31</f>
        <v>0.0962565790818538</v>
      </c>
      <c r="DA31" s="60" t="n">
        <f aca="false">CS31/$AR31</f>
        <v>0.00404392960208954</v>
      </c>
      <c r="DB31" s="60" t="n">
        <f aca="false">CT31/$AR31</f>
        <v>0</v>
      </c>
      <c r="DC31" s="60" t="n">
        <f aca="false">CU31/$AR31</f>
        <v>0.0560932290087179</v>
      </c>
    </row>
    <row r="32" customFormat="false" ht="12.75" hidden="false" customHeight="false" outlineLevel="0" collapsed="false">
      <c r="A32" s="53" t="n">
        <v>62</v>
      </c>
      <c r="B32" s="54" t="s">
        <v>159</v>
      </c>
      <c r="C32" s="55" t="s">
        <v>160</v>
      </c>
      <c r="D32" s="56" t="n">
        <v>1.22048385800145</v>
      </c>
      <c r="E32" s="56" t="n">
        <v>0.160456107206288</v>
      </c>
      <c r="F32" s="56" t="n">
        <v>0.457619334502277</v>
      </c>
      <c r="G32" s="56" t="n">
        <v>0.185968513995984</v>
      </c>
      <c r="H32" s="56" t="n">
        <v>0.0196290094149798</v>
      </c>
      <c r="I32" s="56" t="n">
        <v>0.0020988644550545</v>
      </c>
      <c r="J32" s="56" t="n">
        <v>0.0299485638336021</v>
      </c>
      <c r="K32" s="56" t="n">
        <v>0.0743718911692569</v>
      </c>
      <c r="L32" s="56" t="n">
        <v>0.0343491386264999</v>
      </c>
      <c r="M32" s="56" t="n">
        <v>0.0901134719213463</v>
      </c>
      <c r="N32" s="56" t="n">
        <v>0.32813284716975</v>
      </c>
      <c r="O32" s="56" t="n">
        <v>0.834539016454683</v>
      </c>
      <c r="P32" s="56" t="n">
        <v>0.00572522553731039</v>
      </c>
      <c r="Q32" s="56" t="n">
        <v>0.00129915106411965</v>
      </c>
      <c r="R32" s="56" t="n">
        <v>0.00330242678369177</v>
      </c>
      <c r="S32" s="56" t="n">
        <v>0.0283586815117425</v>
      </c>
      <c r="T32" s="56" t="n">
        <v>0.348331481854306</v>
      </c>
      <c r="U32" s="56" t="n">
        <v>1.52805376509939</v>
      </c>
      <c r="V32" s="56" t="n">
        <v>0.010180432417143</v>
      </c>
      <c r="W32" s="56" t="n">
        <v>0.264126948225971</v>
      </c>
      <c r="X32" s="56" t="n">
        <v>0.637641083652762</v>
      </c>
      <c r="Y32" s="56" t="n">
        <v>0.130569164326679</v>
      </c>
      <c r="Z32" s="56" t="n">
        <v>0.484562053415016</v>
      </c>
      <c r="AA32" s="56" t="n">
        <v>0.00467586949853979</v>
      </c>
      <c r="AB32" s="56" t="n">
        <v>0.0249959346225378</v>
      </c>
      <c r="AC32" s="56" t="n">
        <v>0.146992570312995</v>
      </c>
      <c r="AD32" s="56" t="n">
        <v>0.279070755528945</v>
      </c>
      <c r="AE32" s="56" t="n">
        <v>0.0111970233176542</v>
      </c>
      <c r="AF32" s="56" t="n">
        <v>0.0682329845770085</v>
      </c>
      <c r="AG32" s="56" t="n">
        <v>0.0525429487179464</v>
      </c>
      <c r="AH32" s="56" t="n">
        <v>0.204169922045513</v>
      </c>
      <c r="AI32" s="56" t="n">
        <v>0.104795282916559</v>
      </c>
      <c r="AJ32" s="56" t="n">
        <v>0.145699530935123</v>
      </c>
      <c r="AK32" s="56" t="n">
        <v>0.118928190754717</v>
      </c>
      <c r="AL32" s="57" t="n">
        <v>5.83029142193921</v>
      </c>
      <c r="AM32" s="57" t="n">
        <v>0.003198266369893</v>
      </c>
      <c r="AN32" s="57" t="n">
        <v>0.046732967939839</v>
      </c>
      <c r="AO32" s="57" t="n">
        <v>2.49593674244503</v>
      </c>
      <c r="AP32" s="57" t="n">
        <v>0.00524642835590099</v>
      </c>
      <c r="AQ32" s="57" t="n">
        <v>9.26896090802269</v>
      </c>
      <c r="AR32" s="61" t="n">
        <v>25.6915287789394</v>
      </c>
      <c r="AT32" s="22" t="n">
        <v>17.6503667350726</v>
      </c>
      <c r="AV32" s="43" t="n">
        <v>25.6915287789395</v>
      </c>
      <c r="AW32" s="59" t="n">
        <f aca="false">AV32-AR32</f>
        <v>0</v>
      </c>
      <c r="AY32" s="19" t="n">
        <v>10.9316014826562</v>
      </c>
      <c r="AZ32" s="60" t="n">
        <f aca="false">AY32/$AR32</f>
        <v>0.425494394542117</v>
      </c>
      <c r="BB32" s="19" t="s">
        <v>160</v>
      </c>
      <c r="BC32" s="19" t="s">
        <v>159</v>
      </c>
      <c r="BD32" s="19" t="n">
        <f aca="false">$AY32*BQ32/$BZ32</f>
        <v>0.89848779309503</v>
      </c>
      <c r="BE32" s="19" t="n">
        <f aca="false">$AY32*BR32/$BZ32</f>
        <v>1.45716289521181</v>
      </c>
      <c r="BF32" s="19" t="n">
        <f aca="false">$AY32*BS32/$BZ32</f>
        <v>0.501079730764536</v>
      </c>
      <c r="BG32" s="19" t="n">
        <f aca="false">$AY32*BT32/$BZ32</f>
        <v>0.161267039786287</v>
      </c>
      <c r="BH32" s="19" t="n">
        <f aca="false">$AY32*BU32/$BZ32</f>
        <v>2.49963911668746</v>
      </c>
      <c r="BI32" s="19" t="n">
        <f aca="false">$AY32*BV32/$BZ32</f>
        <v>0.293736393896452</v>
      </c>
      <c r="BJ32" s="19" t="n">
        <f aca="false">$AY32*BW32/$BZ32</f>
        <v>2.22318133419668</v>
      </c>
      <c r="BK32" s="19" t="n">
        <f aca="false">$AY32*BX32/$BZ32</f>
        <v>2.36141022544207</v>
      </c>
      <c r="BL32" s="19" t="n">
        <f aca="false">$AY32*BY32/$BZ32</f>
        <v>0.535636953575883</v>
      </c>
      <c r="BM32" s="19" t="n">
        <f aca="false">SUM(BD32:BL32)</f>
        <v>10.9316014826562</v>
      </c>
      <c r="BO32" s="19" t="s">
        <v>160</v>
      </c>
      <c r="BP32" s="19" t="s">
        <v>159</v>
      </c>
      <c r="BQ32" s="19" t="n">
        <v>597.788385414703</v>
      </c>
      <c r="BR32" s="19" t="n">
        <v>969.490137884102</v>
      </c>
      <c r="BS32" s="19" t="n">
        <v>333.381984173584</v>
      </c>
      <c r="BT32" s="19" t="n">
        <v>107.29535122828</v>
      </c>
      <c r="BU32" s="19" t="n">
        <v>1663.07794403834</v>
      </c>
      <c r="BV32" s="19" t="n">
        <v>195.430818308653</v>
      </c>
      <c r="BW32" s="19" t="n">
        <v>1479.14305621843</v>
      </c>
      <c r="BX32" s="19" t="n">
        <v>1571.11050012839</v>
      </c>
      <c r="BY32" s="19" t="n">
        <v>356.373845151073</v>
      </c>
      <c r="BZ32" s="19" t="n">
        <v>7273.09202254555</v>
      </c>
      <c r="CB32" s="19" t="s">
        <v>160</v>
      </c>
      <c r="CC32" s="19" t="s">
        <v>159</v>
      </c>
      <c r="CD32" s="19" t="n">
        <f aca="false">BQ32/$AR32</f>
        <v>23.2679180191386</v>
      </c>
      <c r="CE32" s="19" t="n">
        <f aca="false">BR32/$AR32</f>
        <v>37.7357901207825</v>
      </c>
      <c r="CF32" s="19" t="n">
        <f aca="false">BS32/$AR32</f>
        <v>12.9763388952889</v>
      </c>
      <c r="CG32" s="19" t="n">
        <f aca="false">BT32/$AR32</f>
        <v>4.17629297779412</v>
      </c>
      <c r="CH32" s="19" t="n">
        <f aca="false">BU32/$AR32</f>
        <v>64.7325411558088</v>
      </c>
      <c r="CI32" s="19" t="n">
        <f aca="false">BV32/$AR32</f>
        <v>7.60681935241071</v>
      </c>
      <c r="CJ32" s="19" t="n">
        <f aca="false">BW32/$AR32</f>
        <v>57.5731817653046</v>
      </c>
      <c r="CK32" s="19" t="n">
        <f aca="false">BX32/$AR32</f>
        <v>61.1528614605567</v>
      </c>
      <c r="CL32" s="19" t="n">
        <f aca="false">BY32/$AR32</f>
        <v>13.8712588191019</v>
      </c>
      <c r="CM32" s="19" t="n">
        <f aca="false">BZ32/$AR32</f>
        <v>283.093002566187</v>
      </c>
      <c r="CO32" s="19" t="n">
        <v>25</v>
      </c>
      <c r="CP32" s="19" t="s">
        <v>230</v>
      </c>
      <c r="CQ32" s="19" t="n">
        <v>2514.51338506226</v>
      </c>
      <c r="CR32" s="19" t="n">
        <v>2.44684332889905</v>
      </c>
      <c r="CS32" s="19" t="n">
        <v>0.0933863967875077</v>
      </c>
      <c r="CT32" s="19" t="n">
        <v>0</v>
      </c>
      <c r="CU32" s="19" t="n">
        <v>1.29535997327796</v>
      </c>
      <c r="CW32" s="19" t="n">
        <v>25</v>
      </c>
      <c r="CX32" s="19" t="s">
        <v>230</v>
      </c>
      <c r="CY32" s="60" t="n">
        <f aca="false">CQ32/$AR32</f>
        <v>97.8732486765651</v>
      </c>
      <c r="CZ32" s="60" t="n">
        <f aca="false">CR32/$AR32</f>
        <v>0.0952393043618659</v>
      </c>
      <c r="DA32" s="60" t="n">
        <f aca="false">CS32/$AR32</f>
        <v>0.00363491007448576</v>
      </c>
      <c r="DB32" s="60" t="n">
        <f aca="false">CT32/$AR32</f>
        <v>0</v>
      </c>
      <c r="DC32" s="60" t="n">
        <f aca="false">CU32/$AR32</f>
        <v>0.0504197311270877</v>
      </c>
    </row>
    <row r="33" customFormat="false" ht="12.75" hidden="false" customHeight="false" outlineLevel="0" collapsed="false">
      <c r="A33" s="53" t="n">
        <v>63</v>
      </c>
      <c r="B33" s="54" t="s">
        <v>161</v>
      </c>
      <c r="C33" s="55" t="s">
        <v>162</v>
      </c>
      <c r="D33" s="56" t="n">
        <v>7.17525604543335</v>
      </c>
      <c r="E33" s="56" t="n">
        <v>0.943325588217031</v>
      </c>
      <c r="F33" s="56" t="n">
        <v>2.69035585752969</v>
      </c>
      <c r="G33" s="56" t="n">
        <v>1.09331368502896</v>
      </c>
      <c r="H33" s="56" t="n">
        <v>0.115399452067586</v>
      </c>
      <c r="I33" s="56" t="n">
        <v>0.0123392782058875</v>
      </c>
      <c r="J33" s="56" t="n">
        <v>0.176068378365102</v>
      </c>
      <c r="K33" s="56" t="n">
        <v>0.437234264282982</v>
      </c>
      <c r="L33" s="56" t="n">
        <v>0.201939470947862</v>
      </c>
      <c r="M33" s="56" t="n">
        <v>0.52977942308669</v>
      </c>
      <c r="N33" s="56" t="n">
        <v>1.92910146244408</v>
      </c>
      <c r="O33" s="56" t="n">
        <v>4.90627637859287</v>
      </c>
      <c r="P33" s="56" t="n">
        <v>0.0336587484371356</v>
      </c>
      <c r="Q33" s="56" t="n">
        <v>0.00763774257696453</v>
      </c>
      <c r="R33" s="56" t="n">
        <v>0.0194150521442267</v>
      </c>
      <c r="S33" s="56" t="n">
        <v>0.166721419233556</v>
      </c>
      <c r="T33" s="56" t="n">
        <v>2.04784975614719</v>
      </c>
      <c r="U33" s="56" t="n">
        <v>8.98346745341675</v>
      </c>
      <c r="V33" s="56" t="n">
        <v>0.0598510244665141</v>
      </c>
      <c r="W33" s="56" t="n">
        <v>1.55280913352151</v>
      </c>
      <c r="X33" s="56" t="n">
        <v>3.74870835882097</v>
      </c>
      <c r="Y33" s="56" t="n">
        <v>0.767619481028048</v>
      </c>
      <c r="Z33" s="56" t="n">
        <v>2.84875279616319</v>
      </c>
      <c r="AA33" s="56" t="n">
        <v>0.0274895572498549</v>
      </c>
      <c r="AB33" s="56" t="n">
        <v>0.146951743634947</v>
      </c>
      <c r="AC33" s="56" t="n">
        <v>0.864173107950139</v>
      </c>
      <c r="AD33" s="56" t="n">
        <v>1.64066416166425</v>
      </c>
      <c r="AE33" s="56" t="n">
        <v>0.0658275885618148</v>
      </c>
      <c r="AF33" s="56" t="n">
        <v>0.401143474265888</v>
      </c>
      <c r="AG33" s="56" t="n">
        <v>0.308901349216278</v>
      </c>
      <c r="AH33" s="56" t="n">
        <v>1.20032023188869</v>
      </c>
      <c r="AI33" s="56" t="n">
        <v>0.616094168186075</v>
      </c>
      <c r="AJ33" s="56" t="n">
        <v>0.856571296134089</v>
      </c>
      <c r="AK33" s="56" t="n">
        <v>0.69918189748333</v>
      </c>
      <c r="AL33" s="57" t="n">
        <v>34.2764334797595</v>
      </c>
      <c r="AM33" s="57" t="n">
        <v>0.0188026903879408</v>
      </c>
      <c r="AN33" s="57" t="n">
        <v>0.274744322534882</v>
      </c>
      <c r="AO33" s="57" t="n">
        <v>14.6736764135282</v>
      </c>
      <c r="AP33" s="57" t="n">
        <v>0.0308438874720103</v>
      </c>
      <c r="AQ33" s="57" t="n">
        <v>54.4222250771121</v>
      </c>
      <c r="AR33" s="61" t="n">
        <v>150.970924697188</v>
      </c>
      <c r="AT33" s="22" t="n">
        <v>103.696725870795</v>
      </c>
      <c r="AV33" s="43" t="n">
        <v>150.970924697188</v>
      </c>
      <c r="AW33" s="59" t="n">
        <f aca="false">AV33-AR33</f>
        <v>0</v>
      </c>
      <c r="AY33" s="19" t="n">
        <v>64.1720189857907</v>
      </c>
      <c r="AZ33" s="60" t="n">
        <f aca="false">AY33/$AR33</f>
        <v>0.425062104603946</v>
      </c>
      <c r="BB33" s="19" t="s">
        <v>162</v>
      </c>
      <c r="BC33" s="19" t="s">
        <v>267</v>
      </c>
      <c r="BD33" s="19" t="n">
        <f aca="false">$AY33*BQ33/$BZ33</f>
        <v>5.27441251938006</v>
      </c>
      <c r="BE33" s="19" t="n">
        <f aca="false">$AY33*BR33/$BZ33</f>
        <v>8.55401517566125</v>
      </c>
      <c r="BF33" s="19" t="n">
        <f aca="false">$AY33*BS33/$BZ33</f>
        <v>2.94149928965426</v>
      </c>
      <c r="BG33" s="19" t="n">
        <f aca="false">$AY33*BT33/$BZ33</f>
        <v>0.946689426555395</v>
      </c>
      <c r="BH33" s="19" t="n">
        <f aca="false">$AY33*BU33/$BZ33</f>
        <v>14.6736861116086</v>
      </c>
      <c r="BI33" s="19" t="n">
        <f aca="false">$AY33*BV33/$BZ33</f>
        <v>1.72432716979733</v>
      </c>
      <c r="BJ33" s="19" t="n">
        <f aca="false">$AY33*BW33/$BZ33</f>
        <v>13.0507899517994</v>
      </c>
      <c r="BK33" s="19" t="n">
        <f aca="false">$AY33*BX33/$BZ33</f>
        <v>13.862238031704</v>
      </c>
      <c r="BL33" s="19" t="n">
        <f aca="false">$AY33*BY33/$BZ33</f>
        <v>3.14436130963042</v>
      </c>
      <c r="BM33" s="19" t="n">
        <f aca="false">SUM(BD33:BL33)</f>
        <v>64.1720189857907</v>
      </c>
      <c r="BO33" s="19" t="s">
        <v>162</v>
      </c>
      <c r="BP33" s="19" t="s">
        <v>161</v>
      </c>
      <c r="BQ33" s="19" t="n">
        <v>3509.21021765937</v>
      </c>
      <c r="BR33" s="19" t="n">
        <v>5691.21913505014</v>
      </c>
      <c r="BS33" s="19" t="n">
        <v>1957.05954446388</v>
      </c>
      <c r="BT33" s="19" t="n">
        <v>629.858244195272</v>
      </c>
      <c r="BU33" s="19" t="n">
        <v>9762.80278502672</v>
      </c>
      <c r="BV33" s="19" t="n">
        <v>1147.2418019271</v>
      </c>
      <c r="BW33" s="19" t="n">
        <v>8683.04579497768</v>
      </c>
      <c r="BX33" s="19" t="n">
        <v>9222.9242900022</v>
      </c>
      <c r="BY33" s="19" t="n">
        <v>2092.02916822001</v>
      </c>
      <c r="BZ33" s="19" t="n">
        <v>42695.3909815224</v>
      </c>
      <c r="CB33" s="19" t="s">
        <v>162</v>
      </c>
      <c r="CC33" s="19" t="s">
        <v>161</v>
      </c>
      <c r="CD33" s="19" t="n">
        <f aca="false">BQ33/$AR33</f>
        <v>23.2442784906962</v>
      </c>
      <c r="CE33" s="19" t="n">
        <f aca="false">BR33/$AR33</f>
        <v>37.697451654783</v>
      </c>
      <c r="CF33" s="19" t="n">
        <f aca="false">BS33/$AR33</f>
        <v>12.9631553121191</v>
      </c>
      <c r="CG33" s="19" t="n">
        <f aca="false">BT33/$AR33</f>
        <v>4.17204998550958</v>
      </c>
      <c r="CH33" s="19" t="n">
        <f aca="false">BU33/$AR33</f>
        <v>64.6667747753985</v>
      </c>
      <c r="CI33" s="19" t="n">
        <f aca="false">BV33/$AR33</f>
        <v>7.59909104503531</v>
      </c>
      <c r="CJ33" s="19" t="n">
        <f aca="false">BW33/$AR33</f>
        <v>57.5146890859535</v>
      </c>
      <c r="CK33" s="19" t="n">
        <f aca="false">BX33/$AR33</f>
        <v>61.090731930676</v>
      </c>
      <c r="CL33" s="19" t="n">
        <f aca="false">BY33/$AR33</f>
        <v>13.8571660232997</v>
      </c>
      <c r="CM33" s="19" t="n">
        <f aca="false">BZ33/$AR33</f>
        <v>282.805388303471</v>
      </c>
      <c r="CO33" s="19" t="n">
        <v>26</v>
      </c>
      <c r="CP33" s="19" t="s">
        <v>231</v>
      </c>
      <c r="CQ33" s="19" t="n">
        <v>217.011895729467</v>
      </c>
      <c r="CR33" s="19" t="n">
        <v>70.6429192114115</v>
      </c>
      <c r="CS33" s="19" t="n">
        <v>0.416584527142996</v>
      </c>
      <c r="CT33" s="19" t="n">
        <v>0</v>
      </c>
      <c r="CU33" s="19" t="n">
        <v>5.77843176855656</v>
      </c>
      <c r="CW33" s="19" t="n">
        <v>26</v>
      </c>
      <c r="CX33" s="19" t="s">
        <v>231</v>
      </c>
      <c r="CY33" s="60" t="n">
        <f aca="false">CQ33/$AR33</f>
        <v>1.43744165417772</v>
      </c>
      <c r="CZ33" s="60" t="n">
        <f aca="false">CR33/$AR33</f>
        <v>0.46792400161226</v>
      </c>
      <c r="DA33" s="60" t="n">
        <f aca="false">CS33/$AR33</f>
        <v>0.00275936924926813</v>
      </c>
      <c r="DB33" s="60" t="n">
        <f aca="false">CT33/$AR33</f>
        <v>0</v>
      </c>
      <c r="DC33" s="60" t="n">
        <f aca="false">CU33/$AR33</f>
        <v>0.038275129997029</v>
      </c>
    </row>
    <row r="34" customFormat="false" ht="12.75" hidden="false" customHeight="false" outlineLevel="0" collapsed="false">
      <c r="A34" s="53" t="n">
        <v>64</v>
      </c>
      <c r="B34" s="54" t="s">
        <v>163</v>
      </c>
      <c r="C34" s="55" t="s">
        <v>164</v>
      </c>
      <c r="D34" s="56" t="n">
        <v>11.2549896537189</v>
      </c>
      <c r="E34" s="56" t="n">
        <v>1.74145654235679</v>
      </c>
      <c r="F34" s="56" t="n">
        <v>10.0341534849575</v>
      </c>
      <c r="G34" s="56" t="n">
        <v>3.30616821910995</v>
      </c>
      <c r="H34" s="56" t="n">
        <v>0.348966637985923</v>
      </c>
      <c r="I34" s="56" t="n">
        <v>0.0195911465171383</v>
      </c>
      <c r="J34" s="56" t="n">
        <v>0.382047755011651</v>
      </c>
      <c r="K34" s="56" t="n">
        <v>1.7684163536697</v>
      </c>
      <c r="L34" s="56" t="n">
        <v>0.816754522798524</v>
      </c>
      <c r="M34" s="56" t="n">
        <v>3.86204891044734</v>
      </c>
      <c r="N34" s="56" t="n">
        <v>11.3966073755081</v>
      </c>
      <c r="O34" s="56" t="n">
        <v>7.38832437376077</v>
      </c>
      <c r="P34" s="56" t="n">
        <v>0.130667239125143</v>
      </c>
      <c r="Q34" s="56" t="n">
        <v>0.0296506192897955</v>
      </c>
      <c r="R34" s="56" t="n">
        <v>0.0753715268378138</v>
      </c>
      <c r="S34" s="56" t="n">
        <v>0.301764004047458</v>
      </c>
      <c r="T34" s="56" t="n">
        <v>3.54211850467774</v>
      </c>
      <c r="U34" s="56" t="n">
        <v>33.4361625866859</v>
      </c>
      <c r="V34" s="56" t="n">
        <v>0.104052080773215</v>
      </c>
      <c r="W34" s="56" t="n">
        <v>5.03830725917467</v>
      </c>
      <c r="X34" s="56" t="n">
        <v>11.6617585755801</v>
      </c>
      <c r="Y34" s="56" t="n">
        <v>2.83834739953728</v>
      </c>
      <c r="Z34" s="56" t="n">
        <v>6.48173356640228</v>
      </c>
      <c r="AA34" s="56" t="n">
        <v>0.062546664698988</v>
      </c>
      <c r="AB34" s="56" t="n">
        <v>0.334357565402953</v>
      </c>
      <c r="AC34" s="56" t="n">
        <v>1.96624285846309</v>
      </c>
      <c r="AD34" s="56" t="n">
        <v>19.306123224708</v>
      </c>
      <c r="AE34" s="56" t="n">
        <v>0.523663967900251</v>
      </c>
      <c r="AF34" s="56" t="n">
        <v>8.05155912590629</v>
      </c>
      <c r="AG34" s="56" t="n">
        <v>6.20011950048216</v>
      </c>
      <c r="AH34" s="56" t="n">
        <v>17.2508515966332</v>
      </c>
      <c r="AI34" s="56" t="n">
        <v>1.54305899162005</v>
      </c>
      <c r="AJ34" s="56" t="n">
        <v>2.05033884164625</v>
      </c>
      <c r="AK34" s="56" t="n">
        <v>8.23295595430832</v>
      </c>
      <c r="AL34" s="57" t="n">
        <v>189.778053206173</v>
      </c>
      <c r="AM34" s="57" t="n">
        <v>0.0267343320993478</v>
      </c>
      <c r="AN34" s="57" t="n">
        <v>0.490542972813418</v>
      </c>
      <c r="AO34" s="57" t="n">
        <v>65.8848092295553</v>
      </c>
      <c r="AP34" s="57" t="n">
        <v>-0.299387458237731</v>
      </c>
      <c r="AQ34" s="57" t="n">
        <v>80.9920401476522</v>
      </c>
      <c r="AR34" s="61" t="n">
        <v>518.354069059799</v>
      </c>
      <c r="AT34" s="22" t="n">
        <v>336.872792430056</v>
      </c>
      <c r="AV34" s="43" t="n">
        <v>518.354069059799</v>
      </c>
      <c r="AW34" s="59" t="n">
        <f aca="false">AV34-AR34</f>
        <v>0</v>
      </c>
      <c r="AY34" s="19" t="n">
        <v>265.071727319749</v>
      </c>
      <c r="AZ34" s="60" t="n">
        <f aca="false">AY34/$AR34</f>
        <v>0.511371942735091</v>
      </c>
      <c r="BB34" s="19" t="s">
        <v>164</v>
      </c>
      <c r="BC34" s="19" t="s">
        <v>163</v>
      </c>
      <c r="BD34" s="19" t="n">
        <f aca="false">$AY34*BQ34/$BZ34</f>
        <v>11.4832517250433</v>
      </c>
      <c r="BE34" s="19" t="n">
        <f aca="false">$AY34*BR34/$BZ34</f>
        <v>29.6650669563618</v>
      </c>
      <c r="BF34" s="19" t="n">
        <f aca="false">$AY34*BS34/$BZ34</f>
        <v>18.1818152313185</v>
      </c>
      <c r="BG34" s="19" t="n">
        <f aca="false">$AY34*BT34/$BZ34</f>
        <v>4.78468821876803</v>
      </c>
      <c r="BH34" s="19" t="n">
        <f aca="false">$AY34*BU34/$BZ34</f>
        <v>37.3205681063907</v>
      </c>
      <c r="BI34" s="19" t="n">
        <f aca="false">$AY34*BV34/$BZ34</f>
        <v>2.87081293126082</v>
      </c>
      <c r="BJ34" s="19" t="n">
        <f aca="false">$AY34*BW34/$BZ34</f>
        <v>25.8373163813474</v>
      </c>
      <c r="BK34" s="19" t="n">
        <f aca="false">$AY34*BX34/$BZ34</f>
        <v>121.531080756708</v>
      </c>
      <c r="BL34" s="19" t="n">
        <f aca="false">$AY34*BY34/$BZ34</f>
        <v>13.3971270125505</v>
      </c>
      <c r="BM34" s="19" t="n">
        <f aca="false">SUM(BD34:BL34)</f>
        <v>265.071727319749</v>
      </c>
      <c r="BO34" s="19" t="s">
        <v>164</v>
      </c>
      <c r="BP34" s="19" t="s">
        <v>163</v>
      </c>
      <c r="BQ34" s="19" t="n">
        <v>1200</v>
      </c>
      <c r="BR34" s="19" t="n">
        <v>3100</v>
      </c>
      <c r="BS34" s="19" t="n">
        <v>1900</v>
      </c>
      <c r="BT34" s="19" t="n">
        <v>500</v>
      </c>
      <c r="BU34" s="19" t="n">
        <v>3900</v>
      </c>
      <c r="BV34" s="19" t="n">
        <v>300</v>
      </c>
      <c r="BW34" s="19" t="n">
        <v>2700</v>
      </c>
      <c r="BX34" s="19" t="n">
        <v>12700</v>
      </c>
      <c r="BY34" s="19" t="n">
        <v>1400</v>
      </c>
      <c r="BZ34" s="19" t="n">
        <v>27700</v>
      </c>
      <c r="CB34" s="19" t="s">
        <v>164</v>
      </c>
      <c r="CC34" s="19" t="s">
        <v>163</v>
      </c>
      <c r="CD34" s="19" t="n">
        <f aca="false">BQ34/$AR34</f>
        <v>2.31501992870739</v>
      </c>
      <c r="CE34" s="19" t="n">
        <f aca="false">BR34/$AR34</f>
        <v>5.98046814916075</v>
      </c>
      <c r="CF34" s="19" t="n">
        <f aca="false">BS34/$AR34</f>
        <v>3.66544822045336</v>
      </c>
      <c r="CG34" s="19" t="n">
        <f aca="false">BT34/$AR34</f>
        <v>0.964591636961412</v>
      </c>
      <c r="CH34" s="19" t="n">
        <f aca="false">BU34/$AR34</f>
        <v>7.52381476829901</v>
      </c>
      <c r="CI34" s="19" t="n">
        <f aca="false">BV34/$AR34</f>
        <v>0.578754982176847</v>
      </c>
      <c r="CJ34" s="19" t="n">
        <f aca="false">BW34/$AR34</f>
        <v>5.20879483959162</v>
      </c>
      <c r="CK34" s="19" t="n">
        <f aca="false">BX34/$AR34</f>
        <v>24.5006275788199</v>
      </c>
      <c r="CL34" s="19" t="n">
        <f aca="false">BY34/$AR34</f>
        <v>2.70085658349195</v>
      </c>
      <c r="CM34" s="19" t="n">
        <f aca="false">BZ34/$AR34</f>
        <v>53.4383766876622</v>
      </c>
      <c r="CO34" s="19" t="n">
        <v>27</v>
      </c>
      <c r="CP34" s="19" t="s">
        <v>232</v>
      </c>
      <c r="CQ34" s="19" t="n">
        <v>480.983717193427</v>
      </c>
      <c r="CR34" s="19" t="n">
        <v>227.955051981186</v>
      </c>
      <c r="CS34" s="19" t="n">
        <v>0.905967285515791</v>
      </c>
      <c r="CT34" s="19" t="n">
        <v>0</v>
      </c>
      <c r="CU34" s="19" t="n">
        <v>12.5666456692484</v>
      </c>
      <c r="CW34" s="19" t="n">
        <v>27</v>
      </c>
      <c r="CX34" s="19" t="s">
        <v>232</v>
      </c>
      <c r="CY34" s="60" t="n">
        <f aca="false">CQ34/$AR34</f>
        <v>0.927905742238785</v>
      </c>
      <c r="CZ34" s="60" t="n">
        <f aca="false">CR34/$AR34</f>
        <v>0.439767073488311</v>
      </c>
      <c r="DA34" s="60" t="n">
        <f aca="false">CS34/$AR34</f>
        <v>0.00174777693393833</v>
      </c>
      <c r="DB34" s="60" t="n">
        <f aca="false">CT34/$AR34</f>
        <v>0</v>
      </c>
      <c r="DC34" s="60" t="n">
        <f aca="false">CU34/$AR34</f>
        <v>0.0242433626344286</v>
      </c>
    </row>
    <row r="35" customFormat="false" ht="12.75" hidden="false" customHeight="false" outlineLevel="0" collapsed="false">
      <c r="A35" s="53" t="s">
        <v>200</v>
      </c>
      <c r="B35" s="54" t="s">
        <v>165</v>
      </c>
      <c r="C35" s="55" t="s">
        <v>166</v>
      </c>
      <c r="D35" s="56" t="n">
        <v>0.266170850208683</v>
      </c>
      <c r="E35" s="56" t="n">
        <v>0.392385650065853</v>
      </c>
      <c r="F35" s="56" t="n">
        <v>11.5593377456638</v>
      </c>
      <c r="G35" s="56" t="n">
        <v>0.191540123983398</v>
      </c>
      <c r="H35" s="56" t="n">
        <v>0.0202170938307208</v>
      </c>
      <c r="I35" s="56" t="n">
        <v>0.00921842523212043</v>
      </c>
      <c r="J35" s="56" t="n">
        <v>0.478234819362307</v>
      </c>
      <c r="K35" s="56" t="n">
        <v>0.272534712888412</v>
      </c>
      <c r="L35" s="56" t="n">
        <v>0.125871918628944</v>
      </c>
      <c r="M35" s="56" t="n">
        <v>0.257750774438648</v>
      </c>
      <c r="N35" s="56" t="n">
        <v>0.938555508665591</v>
      </c>
      <c r="O35" s="56" t="n">
        <v>0.17441133102853</v>
      </c>
      <c r="P35" s="56" t="n">
        <v>0.202552732933281</v>
      </c>
      <c r="Q35" s="56" t="n">
        <v>0.0459626606525332</v>
      </c>
      <c r="R35" s="56" t="n">
        <v>0.11683654486441</v>
      </c>
      <c r="S35" s="56" t="n">
        <v>0.270046072273724</v>
      </c>
      <c r="T35" s="56" t="n">
        <v>3.28537393596299</v>
      </c>
      <c r="U35" s="56" t="n">
        <v>0.0931189526285063</v>
      </c>
      <c r="V35" s="56" t="n">
        <v>0.381942996904064</v>
      </c>
      <c r="W35" s="56" t="n">
        <v>4.00206228188649</v>
      </c>
      <c r="X35" s="56" t="n">
        <v>4.166560911226</v>
      </c>
      <c r="Y35" s="56" t="n">
        <v>4.74966135126512</v>
      </c>
      <c r="Z35" s="56" t="n">
        <v>8.25424830711335</v>
      </c>
      <c r="AA35" s="56" t="n">
        <v>0.0796508674597938</v>
      </c>
      <c r="AB35" s="56" t="n">
        <v>0.425792010721252</v>
      </c>
      <c r="AC35" s="56" t="n">
        <v>2.50393766105556</v>
      </c>
      <c r="AD35" s="56" t="n">
        <v>5.81129278578434</v>
      </c>
      <c r="AE35" s="56" t="n">
        <v>1306.6953538492</v>
      </c>
      <c r="AF35" s="56" t="n">
        <v>2.64676857624404</v>
      </c>
      <c r="AG35" s="56" t="n">
        <v>2.03814953181343</v>
      </c>
      <c r="AH35" s="56" t="n">
        <v>3.93285144317409</v>
      </c>
      <c r="AI35" s="56" t="n">
        <v>2.9876474359764</v>
      </c>
      <c r="AJ35" s="56" t="n">
        <v>0</v>
      </c>
      <c r="AK35" s="56" t="n">
        <v>7.04542042493441</v>
      </c>
      <c r="AL35" s="57" t="n">
        <v>75.6273184319656</v>
      </c>
      <c r="AM35" s="57" t="n">
        <v>0</v>
      </c>
      <c r="AN35" s="57" t="n">
        <v>26.7441668228883</v>
      </c>
      <c r="AO35" s="57" t="n">
        <v>32.5982197240998</v>
      </c>
      <c r="AP35" s="57" t="n">
        <v>2.23641798854256</v>
      </c>
      <c r="AQ35" s="57" t="n">
        <v>81.0385913000312</v>
      </c>
      <c r="AR35" s="61" t="n">
        <v>1592.6661745556</v>
      </c>
      <c r="AT35" s="22" t="n">
        <v>218.244714267527</v>
      </c>
      <c r="AV35" s="43" t="n">
        <v>1592.6661745556</v>
      </c>
      <c r="AW35" s="59" t="n">
        <f aca="false">AV35-AR35</f>
        <v>0</v>
      </c>
      <c r="AY35" s="19" t="n">
        <v>213.814544752513</v>
      </c>
      <c r="AZ35" s="60" t="n">
        <f aca="false">AY35/$AR35</f>
        <v>0.13424944170248</v>
      </c>
      <c r="BB35" s="19" t="s">
        <v>166</v>
      </c>
      <c r="BC35" s="19" t="s">
        <v>165</v>
      </c>
      <c r="BD35" s="19" t="n">
        <f aca="false">$AY35*BQ35/$BZ35</f>
        <v>6.74493832026855</v>
      </c>
      <c r="BE35" s="19" t="n">
        <f aca="false">$AY35*BR35/$BZ35</f>
        <v>43.1676052497187</v>
      </c>
      <c r="BF35" s="19" t="n">
        <f aca="false">$AY35*BS35/$BZ35</f>
        <v>39.1206422575576</v>
      </c>
      <c r="BG35" s="19" t="n">
        <f aca="false">$AY35*BT35/$BZ35</f>
        <v>2.69797532810742</v>
      </c>
      <c r="BH35" s="19" t="n">
        <f aca="false">$AY35*BU35/$BZ35</f>
        <v>18.8858272967519</v>
      </c>
      <c r="BI35" s="19" t="n">
        <f aca="false">$AY35*BV35/$BZ35</f>
        <v>4.72145682418798</v>
      </c>
      <c r="BJ35" s="19" t="n">
        <f aca="false">$AY35*BW35/$BZ35</f>
        <v>10.1174074804028</v>
      </c>
      <c r="BK35" s="19" t="n">
        <f aca="false">$AY35*BX35/$BZ35</f>
        <v>66.7748893706586</v>
      </c>
      <c r="BL35" s="19" t="n">
        <f aca="false">$AY35*BY35/$BZ35</f>
        <v>21.5838026248594</v>
      </c>
      <c r="BM35" s="19" t="n">
        <f aca="false">SUM(BD35:BL35)</f>
        <v>213.814544752513</v>
      </c>
      <c r="BO35" s="19" t="s">
        <v>166</v>
      </c>
      <c r="BP35" s="19" t="s">
        <v>165</v>
      </c>
      <c r="BQ35" s="19" t="n">
        <v>1000</v>
      </c>
      <c r="BR35" s="19" t="n">
        <v>6400</v>
      </c>
      <c r="BS35" s="19" t="n">
        <v>5800</v>
      </c>
      <c r="BT35" s="19" t="n">
        <v>400</v>
      </c>
      <c r="BU35" s="19" t="n">
        <v>2800</v>
      </c>
      <c r="BV35" s="19" t="n">
        <v>700</v>
      </c>
      <c r="BW35" s="19" t="n">
        <v>1500</v>
      </c>
      <c r="BX35" s="19" t="n">
        <v>9900</v>
      </c>
      <c r="BY35" s="19" t="n">
        <v>3200</v>
      </c>
      <c r="BZ35" s="19" t="n">
        <v>31700</v>
      </c>
      <c r="CB35" s="19" t="s">
        <v>166</v>
      </c>
      <c r="CC35" s="19" t="s">
        <v>165</v>
      </c>
      <c r="CD35" s="19" t="n">
        <f aca="false">BQ35/$AR35</f>
        <v>0.627877967132083</v>
      </c>
      <c r="CE35" s="19" t="n">
        <f aca="false">BR35/$AR35</f>
        <v>4.01841898964533</v>
      </c>
      <c r="CF35" s="19" t="n">
        <f aca="false">BS35/$AR35</f>
        <v>3.64169220936608</v>
      </c>
      <c r="CG35" s="19" t="n">
        <f aca="false">BT35/$AR35</f>
        <v>0.251151186852833</v>
      </c>
      <c r="CH35" s="19" t="n">
        <f aca="false">BU35/$AR35</f>
        <v>1.75805830796983</v>
      </c>
      <c r="CI35" s="19" t="n">
        <f aca="false">BV35/$AR35</f>
        <v>0.439514576992458</v>
      </c>
      <c r="CJ35" s="19" t="n">
        <f aca="false">BW35/$AR35</f>
        <v>0.941816950698124</v>
      </c>
      <c r="CK35" s="19" t="n">
        <f aca="false">BX35/$AR35</f>
        <v>6.21599187460762</v>
      </c>
      <c r="CL35" s="19" t="n">
        <f aca="false">BY35/$AR35</f>
        <v>2.00920949482267</v>
      </c>
      <c r="CM35" s="19" t="n">
        <f aca="false">BZ35/$AR35</f>
        <v>19.903731558087</v>
      </c>
      <c r="CO35" s="19" t="n">
        <v>28</v>
      </c>
      <c r="CP35" s="19" t="s">
        <v>233</v>
      </c>
      <c r="CQ35" s="19" t="n">
        <v>556813.447289637</v>
      </c>
      <c r="CR35" s="19" t="n">
        <v>729.259857791374</v>
      </c>
      <c r="CS35" s="19" t="n">
        <v>2.39361097013002</v>
      </c>
      <c r="CT35" s="19" t="n">
        <v>0</v>
      </c>
      <c r="CU35" s="19" t="n">
        <v>33.201707625154</v>
      </c>
      <c r="CW35" s="19" t="n">
        <v>28</v>
      </c>
      <c r="CX35" s="19" t="s">
        <v>233</v>
      </c>
      <c r="CY35" s="60" t="n">
        <f aca="false">CQ35/$AR35</f>
        <v>349.610895356024</v>
      </c>
      <c r="CZ35" s="60" t="n">
        <f aca="false">CR35/$AR35</f>
        <v>0.457886197021079</v>
      </c>
      <c r="DA35" s="60" t="n">
        <f aca="false">CS35/$AR35</f>
        <v>0.00150289559003029</v>
      </c>
      <c r="DB35" s="60" t="n">
        <f aca="false">CT35/$AR35</f>
        <v>0</v>
      </c>
      <c r="DC35" s="60" t="n">
        <f aca="false">CU35/$AR35</f>
        <v>0.0208466206889955</v>
      </c>
    </row>
    <row r="36" customFormat="false" ht="12.75" hidden="false" customHeight="false" outlineLevel="0" collapsed="false">
      <c r="A36" s="53" t="n">
        <v>70</v>
      </c>
      <c r="B36" s="54" t="s">
        <v>167</v>
      </c>
      <c r="C36" s="55" t="s">
        <v>168</v>
      </c>
      <c r="D36" s="56" t="n">
        <v>1.07906658920535</v>
      </c>
      <c r="E36" s="56" t="n">
        <v>9.73424184214339</v>
      </c>
      <c r="F36" s="56" t="n">
        <v>6.80119322634767</v>
      </c>
      <c r="G36" s="56" t="n">
        <v>2.38999364397687</v>
      </c>
      <c r="H36" s="56" t="n">
        <v>0.252264250175045</v>
      </c>
      <c r="I36" s="56" t="n">
        <v>0.0115380407947159</v>
      </c>
      <c r="J36" s="56" t="n">
        <v>1.84397872114042</v>
      </c>
      <c r="K36" s="56" t="n">
        <v>0.593254189813334</v>
      </c>
      <c r="L36" s="56" t="n">
        <v>0.273998281962118</v>
      </c>
      <c r="M36" s="56" t="n">
        <v>1.92216726133335</v>
      </c>
      <c r="N36" s="56" t="n">
        <v>6.99924442760688</v>
      </c>
      <c r="O36" s="56" t="n">
        <v>3.08016272154255</v>
      </c>
      <c r="P36" s="56" t="n">
        <v>0.214303219317575</v>
      </c>
      <c r="Q36" s="56" t="n">
        <v>0.0486290458963279</v>
      </c>
      <c r="R36" s="56" t="n">
        <v>0.12361446491385</v>
      </c>
      <c r="S36" s="56" t="n">
        <v>0.143112548367858</v>
      </c>
      <c r="T36" s="56" t="n">
        <v>0.660058647378227</v>
      </c>
      <c r="U36" s="56" t="n">
        <v>4.98533613122102</v>
      </c>
      <c r="V36" s="56" t="n">
        <v>0.0694014406665908</v>
      </c>
      <c r="W36" s="56" t="n">
        <v>6.34216668952451</v>
      </c>
      <c r="X36" s="56" t="n">
        <v>8.76650293476911</v>
      </c>
      <c r="Y36" s="56" t="n">
        <v>7.05359520355167</v>
      </c>
      <c r="Z36" s="56" t="n">
        <v>10.0126791674373</v>
      </c>
      <c r="AA36" s="56" t="n">
        <v>0.0966191652601117</v>
      </c>
      <c r="AB36" s="56" t="n">
        <v>0.516499944850926</v>
      </c>
      <c r="AC36" s="56" t="n">
        <v>3.03736009901794</v>
      </c>
      <c r="AD36" s="56" t="n">
        <v>4.32797696412159</v>
      </c>
      <c r="AE36" s="56" t="n">
        <v>0</v>
      </c>
      <c r="AF36" s="56" t="n">
        <v>8.82624114449359</v>
      </c>
      <c r="AG36" s="56" t="n">
        <v>6.79666496639841</v>
      </c>
      <c r="AH36" s="56" t="n">
        <v>0.60437906262363</v>
      </c>
      <c r="AI36" s="56" t="n">
        <v>4.23684495225119</v>
      </c>
      <c r="AJ36" s="56" t="n">
        <v>5.58190082856739</v>
      </c>
      <c r="AK36" s="56" t="n">
        <v>7.80921926159885</v>
      </c>
      <c r="AL36" s="57" t="n">
        <v>95.3418101788202</v>
      </c>
      <c r="AM36" s="57" t="n">
        <v>0</v>
      </c>
      <c r="AN36" s="57" t="n">
        <v>50.4644684998757</v>
      </c>
      <c r="AO36" s="57" t="n">
        <v>11.9909967931491</v>
      </c>
      <c r="AP36" s="57" t="n">
        <v>0.000279940744996918</v>
      </c>
      <c r="AQ36" s="57" t="n">
        <v>0.699847234914849</v>
      </c>
      <c r="AR36" s="61" t="n">
        <v>273.731611725774</v>
      </c>
      <c r="AT36" s="22" t="n">
        <v>158.497402647505</v>
      </c>
      <c r="AV36" s="43" t="n">
        <v>273.731611725775</v>
      </c>
      <c r="AW36" s="59" t="n">
        <f aca="false">AV36-AR36</f>
        <v>0</v>
      </c>
      <c r="AY36" s="19" t="n">
        <v>168.012088976008</v>
      </c>
      <c r="AZ36" s="60" t="n">
        <f aca="false">AY36/$AR36</f>
        <v>0.613784019743848</v>
      </c>
      <c r="BB36" s="19" t="s">
        <v>168</v>
      </c>
      <c r="BC36" s="19" t="s">
        <v>167</v>
      </c>
      <c r="BD36" s="19" t="n">
        <f aca="false">$AY36*BQ36/$BZ36</f>
        <v>3.73360197724462</v>
      </c>
      <c r="BE36" s="19" t="n">
        <f aca="false">$AY36*BR36/$BZ36</f>
        <v>9.33400494311155</v>
      </c>
      <c r="BF36" s="19" t="n">
        <f aca="false">$AY36*BS36/$BZ36</f>
        <v>0</v>
      </c>
      <c r="BG36" s="19" t="n">
        <f aca="false">$AY36*BT36/$BZ36</f>
        <v>0</v>
      </c>
      <c r="BH36" s="19" t="n">
        <f aca="false">$AY36*BU36/$BZ36</f>
        <v>0</v>
      </c>
      <c r="BI36" s="19" t="n">
        <f aca="false">$AY36*BV36/$BZ36</f>
        <v>0</v>
      </c>
      <c r="BJ36" s="19" t="n">
        <f aca="false">$AY36*BW36/$BZ36</f>
        <v>7.46720395448924</v>
      </c>
      <c r="BK36" s="19" t="n">
        <f aca="false">$AY36*BX36/$BZ36</f>
        <v>147.477278101163</v>
      </c>
      <c r="BL36" s="19" t="n">
        <f aca="false">$AY36*BY36/$BZ36</f>
        <v>0</v>
      </c>
      <c r="BM36" s="19" t="n">
        <f aca="false">SUM(BD36:BL36)</f>
        <v>168.012088976008</v>
      </c>
      <c r="BO36" s="19" t="s">
        <v>168</v>
      </c>
      <c r="BP36" s="19" t="s">
        <v>167</v>
      </c>
      <c r="BQ36" s="19" t="n">
        <v>200</v>
      </c>
      <c r="BR36" s="19" t="n">
        <v>500</v>
      </c>
      <c r="BS36" s="19" t="n">
        <v>0</v>
      </c>
      <c r="BT36" s="19" t="n">
        <v>0</v>
      </c>
      <c r="BU36" s="19" t="n">
        <v>0</v>
      </c>
      <c r="BV36" s="19" t="n">
        <v>0</v>
      </c>
      <c r="BW36" s="19" t="n">
        <v>400</v>
      </c>
      <c r="BX36" s="19" t="n">
        <v>7900</v>
      </c>
      <c r="BY36" s="19" t="n">
        <v>0</v>
      </c>
      <c r="BZ36" s="19" t="n">
        <v>9000</v>
      </c>
      <c r="CB36" s="19" t="s">
        <v>168</v>
      </c>
      <c r="CC36" s="19" t="s">
        <v>167</v>
      </c>
      <c r="CD36" s="19" t="n">
        <f aca="false">BQ36/$AR36</f>
        <v>0.730642685874224</v>
      </c>
      <c r="CE36" s="19" t="n">
        <f aca="false">BR36/$AR36</f>
        <v>1.82660671468556</v>
      </c>
      <c r="CF36" s="19" t="n">
        <f aca="false">BS36/$AR36</f>
        <v>0</v>
      </c>
      <c r="CG36" s="19" t="n">
        <f aca="false">BT36/$AR36</f>
        <v>0</v>
      </c>
      <c r="CH36" s="19" t="n">
        <f aca="false">BU36/$AR36</f>
        <v>0</v>
      </c>
      <c r="CI36" s="19" t="n">
        <f aca="false">BV36/$AR36</f>
        <v>0</v>
      </c>
      <c r="CJ36" s="19" t="n">
        <f aca="false">BW36/$AR36</f>
        <v>1.46128537174845</v>
      </c>
      <c r="CK36" s="19" t="n">
        <f aca="false">BX36/$AR36</f>
        <v>28.8603860920319</v>
      </c>
      <c r="CL36" s="19" t="n">
        <f aca="false">BY36/$AR36</f>
        <v>0</v>
      </c>
      <c r="CM36" s="19" t="n">
        <f aca="false">BZ36/$AR36</f>
        <v>32.8789208643401</v>
      </c>
      <c r="CO36" s="19" t="n">
        <v>29</v>
      </c>
      <c r="CP36" s="19" t="s">
        <v>234</v>
      </c>
      <c r="CQ36" s="19" t="n">
        <v>92.0816311710715</v>
      </c>
      <c r="CR36" s="19" t="n">
        <v>124.212901166887</v>
      </c>
      <c r="CS36" s="19" t="n">
        <v>0.145303785713278</v>
      </c>
      <c r="CT36" s="19" t="n">
        <v>0</v>
      </c>
      <c r="CU36" s="19" t="n">
        <v>2.01550455369873</v>
      </c>
      <c r="CW36" s="19" t="n">
        <v>29</v>
      </c>
      <c r="CX36" s="19" t="s">
        <v>234</v>
      </c>
      <c r="CY36" s="60" t="n">
        <f aca="false">CQ36/$AR36</f>
        <v>0.336393851592557</v>
      </c>
      <c r="CZ36" s="60" t="n">
        <f aca="false">CR36/$AR36</f>
        <v>0.45377623864402</v>
      </c>
      <c r="DA36" s="60" t="n">
        <f aca="false">CS36/$AR36</f>
        <v>0.00053082574130621</v>
      </c>
      <c r="DB36" s="60" t="n">
        <f aca="false">CT36/$AR36</f>
        <v>0</v>
      </c>
      <c r="DC36" s="60" t="n">
        <f aca="false">CU36/$AR36</f>
        <v>0.00736306830253085</v>
      </c>
    </row>
    <row r="37" customFormat="false" ht="12.75" hidden="false" customHeight="false" outlineLevel="0" collapsed="false">
      <c r="A37" s="53" t="s">
        <v>201</v>
      </c>
      <c r="B37" s="54" t="s">
        <v>169</v>
      </c>
      <c r="C37" s="55" t="s">
        <v>170</v>
      </c>
      <c r="D37" s="56" t="n">
        <v>0.810136577949464</v>
      </c>
      <c r="E37" s="56" t="n">
        <v>8.10809520839059</v>
      </c>
      <c r="F37" s="56" t="n">
        <v>5.10616810999959</v>
      </c>
      <c r="G37" s="56" t="n">
        <v>1.79434827416747</v>
      </c>
      <c r="H37" s="56" t="n">
        <v>0.189393776454797</v>
      </c>
      <c r="I37" s="56" t="n">
        <v>0.00866247642099283</v>
      </c>
      <c r="J37" s="56" t="n">
        <v>1.38441373859649</v>
      </c>
      <c r="K37" s="56" t="n">
        <v>0.445400611971033</v>
      </c>
      <c r="L37" s="56" t="n">
        <v>0.205711151409378</v>
      </c>
      <c r="M37" s="56" t="n">
        <v>1.44311576590456</v>
      </c>
      <c r="N37" s="56" t="n">
        <v>5.25486006659616</v>
      </c>
      <c r="O37" s="56" t="n">
        <v>2.31251019327328</v>
      </c>
      <c r="P37" s="56" t="n">
        <v>0.160893570867901</v>
      </c>
      <c r="Q37" s="56" t="n">
        <v>0.0365094881312291</v>
      </c>
      <c r="R37" s="56" t="n">
        <v>0.0928066910718735</v>
      </c>
      <c r="S37" s="56" t="n">
        <v>0.107445371171899</v>
      </c>
      <c r="T37" s="56" t="n">
        <v>0.49555575085199</v>
      </c>
      <c r="U37" s="56" t="n">
        <v>3.74286739454097</v>
      </c>
      <c r="V37" s="56" t="n">
        <v>0.0521048897341913</v>
      </c>
      <c r="W37" s="56" t="n">
        <v>4.7615423089137</v>
      </c>
      <c r="X37" s="56" t="n">
        <v>6.58167416098756</v>
      </c>
      <c r="Y37" s="56" t="n">
        <v>5.29566528851046</v>
      </c>
      <c r="Z37" s="56" t="n">
        <v>7.51727253717228</v>
      </c>
      <c r="AA37" s="56" t="n">
        <v>0.0725392859821604</v>
      </c>
      <c r="AB37" s="56" t="n">
        <v>0.387775418142419</v>
      </c>
      <c r="AC37" s="56" t="n">
        <v>2.28037504008975</v>
      </c>
      <c r="AD37" s="56" t="n">
        <v>3.2493383468945</v>
      </c>
      <c r="AE37" s="56" t="n">
        <v>0</v>
      </c>
      <c r="AF37" s="56" t="n">
        <v>7.60576428929222</v>
      </c>
      <c r="AG37" s="56" t="n">
        <v>5.85683427876503</v>
      </c>
      <c r="AH37" s="56" t="n">
        <v>0.453752892060898</v>
      </c>
      <c r="AI37" s="56" t="n">
        <v>3.18091868032627</v>
      </c>
      <c r="AJ37" s="56" t="n">
        <v>4.19075345390788</v>
      </c>
      <c r="AK37" s="56" t="n">
        <v>5.86296919239043</v>
      </c>
      <c r="AL37" s="57" t="n">
        <v>71.5843236016836</v>
      </c>
      <c r="AM37" s="57" t="n">
        <v>0</v>
      </c>
      <c r="AN37" s="57" t="n">
        <v>37.8896188010973</v>
      </c>
      <c r="AO37" s="57" t="n">
        <v>6.85228207559718</v>
      </c>
      <c r="AP37" s="57" t="n">
        <v>0.000270104176512016</v>
      </c>
      <c r="AQ37" s="57" t="n">
        <v>0.501650622718015</v>
      </c>
      <c r="AR37" s="61" t="n">
        <v>205.876319486212</v>
      </c>
      <c r="AT37" s="22" t="n">
        <v>116.828145205273</v>
      </c>
      <c r="AV37" s="43" t="n">
        <v>205.876319486212</v>
      </c>
      <c r="AW37" s="59" t="n">
        <f aca="false">AV37-AR37</f>
        <v>0</v>
      </c>
      <c r="AY37" s="19" t="n">
        <v>126.363595695919</v>
      </c>
      <c r="AZ37" s="60" t="n">
        <f aca="false">AY37/$AR37</f>
        <v>0.613784023394599</v>
      </c>
      <c r="BB37" s="19" t="s">
        <v>170</v>
      </c>
      <c r="BC37" s="19" t="s">
        <v>268</v>
      </c>
      <c r="BD37" s="19" t="n">
        <f aca="false">$AY37*BQ37/$BZ37</f>
        <v>10.6571707213426</v>
      </c>
      <c r="BE37" s="19" t="n">
        <f aca="false">$AY37*BR37/$BZ37</f>
        <v>20.7053602586084</v>
      </c>
      <c r="BF37" s="19" t="n">
        <f aca="false">$AY37*BS37/$BZ37</f>
        <v>11.5706424974576</v>
      </c>
      <c r="BG37" s="19" t="n">
        <f aca="false">$AY37*BT37/$BZ37</f>
        <v>2.74041532834523</v>
      </c>
      <c r="BH37" s="19" t="n">
        <f aca="false">$AY37*BU37/$BZ37</f>
        <v>21.0098508506468</v>
      </c>
      <c r="BI37" s="19" t="n">
        <f aca="false">$AY37*BV37/$BZ37</f>
        <v>1.5224529601918</v>
      </c>
      <c r="BJ37" s="19" t="n">
        <f aca="false">$AY37*BW37/$BZ37</f>
        <v>16.7469825621097</v>
      </c>
      <c r="BK37" s="19" t="n">
        <f aca="false">$AY37*BX37/$BZ37</f>
        <v>35.3209086764497</v>
      </c>
      <c r="BL37" s="19" t="n">
        <f aca="false">$AY37*BY37/$BZ37</f>
        <v>6.08981184076718</v>
      </c>
      <c r="BM37" s="19" t="n">
        <f aca="false">SUM(BD37:BL37)</f>
        <v>126.363595695919</v>
      </c>
      <c r="BO37" s="19" t="s">
        <v>170</v>
      </c>
      <c r="BP37" s="19" t="s">
        <v>169</v>
      </c>
      <c r="BQ37" s="19" t="n">
        <v>3500</v>
      </c>
      <c r="BR37" s="19" t="n">
        <v>6800</v>
      </c>
      <c r="BS37" s="19" t="n">
        <v>3800</v>
      </c>
      <c r="BT37" s="19" t="n">
        <v>900</v>
      </c>
      <c r="BU37" s="19" t="n">
        <v>6900</v>
      </c>
      <c r="BV37" s="19" t="n">
        <v>500</v>
      </c>
      <c r="BW37" s="19" t="n">
        <v>5500</v>
      </c>
      <c r="BX37" s="19" t="n">
        <v>11600</v>
      </c>
      <c r="BY37" s="19" t="n">
        <v>2000</v>
      </c>
      <c r="BZ37" s="19" t="n">
        <v>41500</v>
      </c>
      <c r="CB37" s="19" t="s">
        <v>170</v>
      </c>
      <c r="CC37" s="19" t="s">
        <v>169</v>
      </c>
      <c r="CD37" s="19" t="n">
        <f aca="false">BQ37/$AR37</f>
        <v>17.0004982055957</v>
      </c>
      <c r="CE37" s="19" t="n">
        <f aca="false">BR37/$AR37</f>
        <v>33.0295393708717</v>
      </c>
      <c r="CF37" s="19" t="n">
        <f aca="false">BS37/$AR37</f>
        <v>18.4576837660754</v>
      </c>
      <c r="CG37" s="19" t="n">
        <f aca="false">BT37/$AR37</f>
        <v>4.3715566814389</v>
      </c>
      <c r="CH37" s="19" t="n">
        <f aca="false">BU37/$AR37</f>
        <v>33.5152678910316</v>
      </c>
      <c r="CI37" s="19" t="n">
        <f aca="false">BV37/$AR37</f>
        <v>2.42864260079939</v>
      </c>
      <c r="CJ37" s="19" t="n">
        <f aca="false">BW37/$AR37</f>
        <v>26.7150686087933</v>
      </c>
      <c r="CK37" s="19" t="n">
        <f aca="false">BX37/$AR37</f>
        <v>56.3445083385458</v>
      </c>
      <c r="CL37" s="19" t="n">
        <f aca="false">BY37/$AR37</f>
        <v>9.71457040319756</v>
      </c>
      <c r="CM37" s="19" t="n">
        <f aca="false">BZ37/$AR37</f>
        <v>201.577335866349</v>
      </c>
      <c r="CO37" s="19" t="n">
        <v>30</v>
      </c>
      <c r="CP37" s="19" t="s">
        <v>235</v>
      </c>
      <c r="CQ37" s="19" t="n">
        <v>179.463761267822</v>
      </c>
      <c r="CR37" s="19" t="n">
        <v>92.5494382494087</v>
      </c>
      <c r="CS37" s="19" t="n">
        <v>0.288258262805043</v>
      </c>
      <c r="CT37" s="19" t="n">
        <v>0</v>
      </c>
      <c r="CU37" s="19" t="n">
        <v>3.99842191635175</v>
      </c>
      <c r="CW37" s="19" t="n">
        <v>30</v>
      </c>
      <c r="CX37" s="19" t="s">
        <v>235</v>
      </c>
      <c r="CY37" s="60" t="n">
        <f aca="false">CQ37/$AR37</f>
        <v>0.871706671829449</v>
      </c>
      <c r="CZ37" s="60" t="n">
        <f aca="false">CR37/$AR37</f>
        <v>0.449539016825133</v>
      </c>
      <c r="DA37" s="60" t="n">
        <f aca="false">CS37/$AR37</f>
        <v>0.00140015259416151</v>
      </c>
      <c r="DB37" s="60" t="n">
        <f aca="false">CT37/$AR37</f>
        <v>0</v>
      </c>
      <c r="DC37" s="60" t="n">
        <f aca="false">CU37/$AR37</f>
        <v>0.0194214756040436</v>
      </c>
    </row>
    <row r="38" customFormat="false" ht="12.75" hidden="false" customHeight="false" outlineLevel="0" collapsed="false">
      <c r="A38" s="53" t="s">
        <v>202</v>
      </c>
      <c r="B38" s="54" t="s">
        <v>171</v>
      </c>
      <c r="C38" s="55" t="s">
        <v>172</v>
      </c>
      <c r="D38" s="56" t="n">
        <v>0</v>
      </c>
      <c r="E38" s="56" t="n">
        <v>0</v>
      </c>
      <c r="F38" s="56" t="n">
        <v>0</v>
      </c>
      <c r="G38" s="56" t="n">
        <v>0</v>
      </c>
      <c r="H38" s="56" t="n">
        <v>0</v>
      </c>
      <c r="I38" s="56" t="n">
        <v>0</v>
      </c>
      <c r="J38" s="56" t="n">
        <v>0</v>
      </c>
      <c r="K38" s="56" t="n">
        <v>0</v>
      </c>
      <c r="L38" s="56" t="n">
        <v>0</v>
      </c>
      <c r="M38" s="56" t="n">
        <v>0.431761344229274</v>
      </c>
      <c r="N38" s="56" t="n">
        <v>1.57218533654378</v>
      </c>
      <c r="O38" s="56" t="n">
        <v>0</v>
      </c>
      <c r="P38" s="56" t="n">
        <v>0</v>
      </c>
      <c r="Q38" s="56" t="n">
        <v>0</v>
      </c>
      <c r="R38" s="56" t="n">
        <v>0</v>
      </c>
      <c r="S38" s="56" t="n">
        <v>0</v>
      </c>
      <c r="T38" s="56" t="n">
        <v>0</v>
      </c>
      <c r="U38" s="56" t="n">
        <v>0</v>
      </c>
      <c r="V38" s="56" t="n">
        <v>0</v>
      </c>
      <c r="W38" s="56" t="n">
        <v>0</v>
      </c>
      <c r="X38" s="56" t="n">
        <v>0</v>
      </c>
      <c r="Y38" s="56" t="n">
        <v>0.132361605056123</v>
      </c>
      <c r="Z38" s="56" t="n">
        <v>0.00169001570512096</v>
      </c>
      <c r="AA38" s="56" t="n">
        <v>1.63081133405636E-005</v>
      </c>
      <c r="AB38" s="56" t="n">
        <v>8.71787664315618E-005</v>
      </c>
      <c r="AC38" s="56" t="n">
        <v>0.000512668605835488</v>
      </c>
      <c r="AD38" s="56" t="n">
        <v>0.0331241866807245</v>
      </c>
      <c r="AE38" s="56" t="n">
        <v>0</v>
      </c>
      <c r="AF38" s="56" t="n">
        <v>0.877258571826048</v>
      </c>
      <c r="AG38" s="56" t="n">
        <v>0.675534749616777</v>
      </c>
      <c r="AH38" s="56" t="n">
        <v>1.09064208121533</v>
      </c>
      <c r="AI38" s="56" t="n">
        <v>0</v>
      </c>
      <c r="AJ38" s="56" t="n">
        <v>0</v>
      </c>
      <c r="AK38" s="56" t="n">
        <v>0.111105320877642</v>
      </c>
      <c r="AL38" s="57" t="n">
        <v>0.00529328094815907</v>
      </c>
      <c r="AM38" s="57" t="n">
        <v>0</v>
      </c>
      <c r="AN38" s="57" t="n">
        <v>241.962002968565</v>
      </c>
      <c r="AO38" s="57" t="n">
        <v>27.2505855403731</v>
      </c>
      <c r="AP38" s="57" t="n">
        <v>9.98052881278279</v>
      </c>
      <c r="AQ38" s="57" t="n">
        <v>325.304210290271</v>
      </c>
      <c r="AR38" s="61" t="n">
        <v>609.428900260177</v>
      </c>
      <c r="AT38" s="22" t="n">
        <v>604.50262089294</v>
      </c>
      <c r="AV38" s="43" t="n">
        <v>609.428900260176</v>
      </c>
      <c r="AW38" s="59" t="n">
        <f aca="false">AV38-AR38</f>
        <v>0</v>
      </c>
      <c r="AY38" s="19" t="n">
        <v>402.336293351733</v>
      </c>
      <c r="AZ38" s="60" t="n">
        <f aca="false">AY38/$AR38</f>
        <v>0.66018577914498</v>
      </c>
      <c r="BB38" s="19" t="s">
        <v>172</v>
      </c>
      <c r="BC38" s="19" t="s">
        <v>269</v>
      </c>
      <c r="BD38" s="19" t="n">
        <f aca="false">$AY38*BQ38/$BZ38</f>
        <v>18.8127491046506</v>
      </c>
      <c r="BE38" s="19" t="n">
        <f aca="false">$AY38*BR38/$BZ38</f>
        <v>59.43118467151</v>
      </c>
      <c r="BF38" s="19" t="n">
        <f aca="false">$AY38*BS38/$BZ38</f>
        <v>29.9293735755806</v>
      </c>
      <c r="BG38" s="19" t="n">
        <f aca="false">$AY38*BT38/$BZ38</f>
        <v>16.6749367063949</v>
      </c>
      <c r="BH38" s="19" t="n">
        <f aca="false">$AY38*BU38/$BZ38</f>
        <v>57.7209347529054</v>
      </c>
      <c r="BI38" s="19" t="n">
        <f aca="false">$AY38*BV38/$BZ38</f>
        <v>14.5371243081391</v>
      </c>
      <c r="BJ38" s="19" t="n">
        <f aca="false">$AY38*BW38/$BZ38</f>
        <v>48.3145602005801</v>
      </c>
      <c r="BK38" s="19" t="n">
        <f aca="false">$AY38*BX38/$BZ38</f>
        <v>141.09561828488</v>
      </c>
      <c r="BL38" s="19" t="n">
        <f aca="false">$AY38*BY38/$BZ38</f>
        <v>15.8198117470926</v>
      </c>
      <c r="BM38" s="19" t="n">
        <f aca="false">SUM(BD38:BL38)</f>
        <v>402.336293351733</v>
      </c>
      <c r="BO38" s="19" t="s">
        <v>172</v>
      </c>
      <c r="BP38" s="19" t="s">
        <v>171</v>
      </c>
      <c r="BQ38" s="19" t="n">
        <v>4400</v>
      </c>
      <c r="BR38" s="19" t="n">
        <v>13900</v>
      </c>
      <c r="BS38" s="19" t="n">
        <v>7000</v>
      </c>
      <c r="BT38" s="19" t="n">
        <v>3900</v>
      </c>
      <c r="BU38" s="19" t="n">
        <v>13500</v>
      </c>
      <c r="BV38" s="19" t="n">
        <v>3400</v>
      </c>
      <c r="BW38" s="19" t="n">
        <v>11300</v>
      </c>
      <c r="BX38" s="19" t="n">
        <v>33000</v>
      </c>
      <c r="BY38" s="19" t="n">
        <v>3700</v>
      </c>
      <c r="BZ38" s="19" t="n">
        <v>94100</v>
      </c>
      <c r="CB38" s="19" t="s">
        <v>172</v>
      </c>
      <c r="CC38" s="19" t="s">
        <v>171</v>
      </c>
      <c r="CD38" s="19" t="n">
        <f aca="false">BQ38/$AR38</f>
        <v>7.2198742103001</v>
      </c>
      <c r="CE38" s="19" t="n">
        <f aca="false">BR38/$AR38</f>
        <v>22.8082389825389</v>
      </c>
      <c r="CF38" s="19" t="n">
        <f aca="false">BS38/$AR38</f>
        <v>11.4861635163865</v>
      </c>
      <c r="CG38" s="19" t="n">
        <f aca="false">BT38/$AR38</f>
        <v>6.39943395912963</v>
      </c>
      <c r="CH38" s="19" t="n">
        <f aca="false">BU38/$AR38</f>
        <v>22.1518867816026</v>
      </c>
      <c r="CI38" s="19" t="n">
        <f aca="false">BV38/$AR38</f>
        <v>5.57899370795917</v>
      </c>
      <c r="CJ38" s="19" t="n">
        <f aca="false">BW38/$AR38</f>
        <v>18.5419496764525</v>
      </c>
      <c r="CK38" s="19" t="n">
        <f aca="false">BX38/$AR38</f>
        <v>54.1490565772507</v>
      </c>
      <c r="CL38" s="19" t="n">
        <f aca="false">BY38/$AR38</f>
        <v>6.07125785866145</v>
      </c>
      <c r="CM38" s="19" t="n">
        <f aca="false">BZ38/$AR38</f>
        <v>154.406855270282</v>
      </c>
      <c r="CO38" s="19" t="n">
        <v>31</v>
      </c>
      <c r="CP38" s="19" t="s">
        <v>236</v>
      </c>
      <c r="CQ38" s="19" t="n">
        <v>160.527041186816</v>
      </c>
      <c r="CR38" s="19" t="n">
        <v>265.461355593392</v>
      </c>
      <c r="CS38" s="19" t="n">
        <v>0.203377519735004</v>
      </c>
      <c r="CT38" s="19" t="n">
        <v>0</v>
      </c>
      <c r="CU38" s="19" t="n">
        <v>2.82104361654216</v>
      </c>
      <c r="CW38" s="19" t="n">
        <v>31</v>
      </c>
      <c r="CX38" s="19" t="s">
        <v>236</v>
      </c>
      <c r="CY38" s="60" t="n">
        <f aca="false">CQ38/$AR38</f>
        <v>0.263405691981925</v>
      </c>
      <c r="CZ38" s="60" t="n">
        <f aca="false">CR38/$AR38</f>
        <v>0.435590362518189</v>
      </c>
      <c r="DA38" s="60" t="n">
        <f aca="false">CS38/$AR38</f>
        <v>0.000333718206747625</v>
      </c>
      <c r="DB38" s="60" t="n">
        <f aca="false">CT38/$AR38</f>
        <v>0</v>
      </c>
      <c r="DC38" s="60" t="n">
        <f aca="false">CU38/$AR38</f>
        <v>0.00462899546663738</v>
      </c>
    </row>
    <row r="39" customFormat="false" ht="12.75" hidden="false" customHeight="false" outlineLevel="0" collapsed="false">
      <c r="A39" s="53" t="s">
        <v>203</v>
      </c>
      <c r="B39" s="54" t="s">
        <v>173</v>
      </c>
      <c r="C39" s="55" t="s">
        <v>174</v>
      </c>
      <c r="D39" s="56" t="n">
        <v>0</v>
      </c>
      <c r="E39" s="56" t="n">
        <v>0</v>
      </c>
      <c r="F39" s="56" t="n">
        <v>1.26421251662117</v>
      </c>
      <c r="G39" s="56" t="n">
        <v>0</v>
      </c>
      <c r="H39" s="56" t="n">
        <v>0</v>
      </c>
      <c r="I39" s="56" t="n">
        <v>0</v>
      </c>
      <c r="J39" s="56" t="n">
        <v>0</v>
      </c>
      <c r="K39" s="56" t="n">
        <v>0.0839104287812229</v>
      </c>
      <c r="L39" s="56" t="n">
        <v>0.0387545738732899</v>
      </c>
      <c r="M39" s="56" t="n">
        <v>0</v>
      </c>
      <c r="N39" s="56" t="n">
        <v>0</v>
      </c>
      <c r="O39" s="56" t="n">
        <v>0</v>
      </c>
      <c r="P39" s="56" t="n">
        <v>0.273162149568136</v>
      </c>
      <c r="Q39" s="56" t="n">
        <v>0.0619851383977734</v>
      </c>
      <c r="R39" s="56" t="n">
        <v>0.157565495567955</v>
      </c>
      <c r="S39" s="56" t="n">
        <v>0.0098257744423554</v>
      </c>
      <c r="T39" s="56" t="n">
        <v>0.870170647717237</v>
      </c>
      <c r="U39" s="56" t="n">
        <v>0.245957072433009</v>
      </c>
      <c r="V39" s="56" t="n">
        <v>0</v>
      </c>
      <c r="W39" s="56" t="n">
        <v>0.0930106335790013</v>
      </c>
      <c r="X39" s="56" t="n">
        <v>0.891518915837413</v>
      </c>
      <c r="Y39" s="56" t="n">
        <v>0.204718792107877</v>
      </c>
      <c r="Z39" s="56" t="n">
        <v>0.188461086582425</v>
      </c>
      <c r="AA39" s="56" t="n">
        <v>0.00181858946692568</v>
      </c>
      <c r="AB39" s="56" t="n">
        <v>0.00972168779190817</v>
      </c>
      <c r="AC39" s="56" t="n">
        <v>0.0571699317466033</v>
      </c>
      <c r="AD39" s="56" t="n">
        <v>0.52880621135543</v>
      </c>
      <c r="AE39" s="56" t="n">
        <v>0.180943821648801</v>
      </c>
      <c r="AF39" s="56" t="n">
        <v>0.857286366151532</v>
      </c>
      <c r="AG39" s="56" t="n">
        <v>0.660155111967247</v>
      </c>
      <c r="AH39" s="56" t="n">
        <v>2.46797628439176</v>
      </c>
      <c r="AI39" s="56" t="n">
        <v>7.55229902587586</v>
      </c>
      <c r="AJ39" s="56" t="n">
        <v>0.717512832912388</v>
      </c>
      <c r="AK39" s="56" t="n">
        <v>0.894691719084377</v>
      </c>
      <c r="AL39" s="57" t="n">
        <v>40.2023292754228</v>
      </c>
      <c r="AM39" s="57" t="n">
        <v>0</v>
      </c>
      <c r="AN39" s="57" t="n">
        <v>431.646586714177</v>
      </c>
      <c r="AO39" s="57" t="n">
        <v>93.6926128204213</v>
      </c>
      <c r="AP39" s="57" t="n">
        <v>0.00330489030951663</v>
      </c>
      <c r="AQ39" s="57" t="n">
        <v>9.19250713883189</v>
      </c>
      <c r="AR39" s="61" t="n">
        <v>593.048975647064</v>
      </c>
      <c r="AT39" s="22" t="n">
        <v>574.737340839163</v>
      </c>
      <c r="AV39" s="43" t="n">
        <v>593.048975647065</v>
      </c>
      <c r="AW39" s="59" t="n">
        <f aca="false">AV39-AR39</f>
        <v>0</v>
      </c>
      <c r="AY39" s="19" t="n">
        <v>450.393878529797</v>
      </c>
      <c r="AZ39" s="60" t="n">
        <f aca="false">AY39/$AR39</f>
        <v>0.759454778651934</v>
      </c>
      <c r="BB39" s="19" t="s">
        <v>174</v>
      </c>
      <c r="BC39" s="19" t="s">
        <v>173</v>
      </c>
      <c r="BD39" s="19" t="n">
        <f aca="false">$AY39*BQ39/$BZ39</f>
        <v>35.8218215707501</v>
      </c>
      <c r="BE39" s="19" t="n">
        <f aca="false">$AY39*BR39/$BZ39</f>
        <v>80.1622470516176</v>
      </c>
      <c r="BF39" s="19" t="n">
        <f aca="false">$AY39*BS39/$BZ39</f>
        <v>29.2690493321983</v>
      </c>
      <c r="BG39" s="19" t="n">
        <f aca="false">$AY39*BT39/$BZ39</f>
        <v>37.3508017597455</v>
      </c>
      <c r="BH39" s="19" t="n">
        <f aca="false">$AY39*BU39/$BZ39</f>
        <v>71.8620688827853</v>
      </c>
      <c r="BI39" s="19" t="n">
        <f aca="false">$AY39*BV39/$BZ39</f>
        <v>23.3715543175016</v>
      </c>
      <c r="BJ39" s="19" t="n">
        <f aca="false">$AY39*BW39/$BZ39</f>
        <v>58.9749501469666</v>
      </c>
      <c r="BK39" s="19" t="n">
        <f aca="false">$AY39*BX39/$BZ39</f>
        <v>93.9230687525765</v>
      </c>
      <c r="BL39" s="19" t="n">
        <f aca="false">$AY39*BY39/$BZ39</f>
        <v>19.6583167156555</v>
      </c>
      <c r="BM39" s="19" t="n">
        <f aca="false">SUM(BD39:BL39)</f>
        <v>450.393878529797</v>
      </c>
      <c r="BO39" s="19" t="s">
        <v>174</v>
      </c>
      <c r="BP39" s="19" t="s">
        <v>173</v>
      </c>
      <c r="BQ39" s="19" t="n">
        <v>16400</v>
      </c>
      <c r="BR39" s="19" t="n">
        <v>36700</v>
      </c>
      <c r="BS39" s="19" t="n">
        <v>13400</v>
      </c>
      <c r="BT39" s="19" t="n">
        <v>17100</v>
      </c>
      <c r="BU39" s="19" t="n">
        <v>32900</v>
      </c>
      <c r="BV39" s="19" t="n">
        <v>10700</v>
      </c>
      <c r="BW39" s="19" t="n">
        <v>27000</v>
      </c>
      <c r="BX39" s="19" t="n">
        <v>43000</v>
      </c>
      <c r="BY39" s="19" t="n">
        <v>9000</v>
      </c>
      <c r="BZ39" s="19" t="n">
        <v>206200</v>
      </c>
      <c r="CB39" s="19" t="s">
        <v>174</v>
      </c>
      <c r="CC39" s="19" t="s">
        <v>173</v>
      </c>
      <c r="CD39" s="19" t="n">
        <f aca="false">BQ39/$AR39</f>
        <v>27.6537026003734</v>
      </c>
      <c r="CE39" s="19" t="n">
        <f aca="false">BR39/$AR39</f>
        <v>61.8835905752258</v>
      </c>
      <c r="CF39" s="19" t="n">
        <f aca="false">BS39/$AR39</f>
        <v>22.5950984661588</v>
      </c>
      <c r="CG39" s="19" t="n">
        <f aca="false">BT39/$AR39</f>
        <v>28.8340435650235</v>
      </c>
      <c r="CH39" s="19" t="n">
        <f aca="false">BU39/$AR39</f>
        <v>55.476025338554</v>
      </c>
      <c r="CI39" s="19" t="n">
        <f aca="false">BV39/$AR39</f>
        <v>18.0423547453656</v>
      </c>
      <c r="CJ39" s="19" t="n">
        <f aca="false">BW39/$AR39</f>
        <v>45.5274372079318</v>
      </c>
      <c r="CK39" s="19" t="n">
        <f aca="false">BX39/$AR39</f>
        <v>72.5066592570766</v>
      </c>
      <c r="CL39" s="19" t="n">
        <f aca="false">BY39/$AR39</f>
        <v>15.1758124026439</v>
      </c>
      <c r="CM39" s="19" t="n">
        <f aca="false">BZ39/$AR39</f>
        <v>347.694724158353</v>
      </c>
      <c r="CO39" s="19" t="n">
        <v>32</v>
      </c>
      <c r="CP39" s="19" t="s">
        <v>173</v>
      </c>
      <c r="CQ39" s="19" t="n">
        <v>243.879568244388</v>
      </c>
      <c r="CR39" s="19" t="n">
        <v>262.325218519668</v>
      </c>
      <c r="CS39" s="19" t="n">
        <v>0.320328455039834</v>
      </c>
      <c r="CT39" s="19" t="n">
        <v>0</v>
      </c>
      <c r="CU39" s="19" t="n">
        <v>4.4432666130671</v>
      </c>
      <c r="CW39" s="19" t="n">
        <v>32</v>
      </c>
      <c r="CX39" s="19" t="s">
        <v>173</v>
      </c>
      <c r="CY39" s="60" t="n">
        <f aca="false">CQ39/$AR39</f>
        <v>0.411230064057182</v>
      </c>
      <c r="CZ39" s="60" t="n">
        <f aca="false">CR39/$AR39</f>
        <v>0.442333144970784</v>
      </c>
      <c r="DA39" s="60" t="n">
        <f aca="false">CS39/$AR39</f>
        <v>0.000540138282323698</v>
      </c>
      <c r="DB39" s="60" t="n">
        <f aca="false">CT39/$AR39</f>
        <v>0</v>
      </c>
      <c r="DC39" s="60" t="n">
        <f aca="false">CU39/$AR39</f>
        <v>0.00749224228609304</v>
      </c>
    </row>
    <row r="40" customFormat="false" ht="12.75" hidden="false" customHeight="false" outlineLevel="0" collapsed="false">
      <c r="A40" s="53" t="s">
        <v>204</v>
      </c>
      <c r="B40" s="54" t="s">
        <v>175</v>
      </c>
      <c r="C40" s="55" t="s">
        <v>176</v>
      </c>
      <c r="D40" s="56" t="n">
        <v>0.00231487602874923</v>
      </c>
      <c r="E40" s="56" t="n">
        <v>0.0595605837951247</v>
      </c>
      <c r="F40" s="56" t="n">
        <v>0.201062091019164</v>
      </c>
      <c r="G40" s="56" t="n">
        <v>0.0639673315927714</v>
      </c>
      <c r="H40" s="56" t="n">
        <v>0.00675176311895875</v>
      </c>
      <c r="I40" s="56" t="n">
        <v>0</v>
      </c>
      <c r="J40" s="56" t="n">
        <v>0.0165048763968693</v>
      </c>
      <c r="K40" s="56" t="n">
        <v>0.0840714979585617</v>
      </c>
      <c r="L40" s="56" t="n">
        <v>0.0388289647138871</v>
      </c>
      <c r="M40" s="56" t="n">
        <v>0.0282889537509164</v>
      </c>
      <c r="N40" s="56" t="n">
        <v>0.103009402920838</v>
      </c>
      <c r="O40" s="56" t="n">
        <v>0</v>
      </c>
      <c r="P40" s="56" t="n">
        <v>0.0216811334943948</v>
      </c>
      <c r="Q40" s="56" t="n">
        <v>0.00491981799965834</v>
      </c>
      <c r="R40" s="56" t="n">
        <v>0.0125061197128528</v>
      </c>
      <c r="S40" s="56" t="n">
        <v>0</v>
      </c>
      <c r="T40" s="56" t="n">
        <v>0.163011701974535</v>
      </c>
      <c r="U40" s="56" t="n">
        <v>0.498148584277388</v>
      </c>
      <c r="V40" s="56" t="n">
        <v>0.0175534215560009</v>
      </c>
      <c r="W40" s="56" t="n">
        <v>0.087111616310348</v>
      </c>
      <c r="X40" s="56" t="n">
        <v>0.0626791691453307</v>
      </c>
      <c r="Y40" s="56" t="n">
        <v>0.0721825519701455</v>
      </c>
      <c r="Z40" s="56" t="n">
        <v>0.0891109921008325</v>
      </c>
      <c r="AA40" s="56" t="n">
        <v>0.000859892694882637</v>
      </c>
      <c r="AB40" s="56" t="n">
        <v>0.00459675394927006</v>
      </c>
      <c r="AC40" s="56" t="n">
        <v>0.0270319429260459</v>
      </c>
      <c r="AD40" s="56" t="n">
        <v>0.0226047408146725</v>
      </c>
      <c r="AE40" s="56" t="n">
        <v>0.00847339070742426</v>
      </c>
      <c r="AF40" s="56" t="n">
        <v>0.0752732491329135</v>
      </c>
      <c r="AG40" s="56" t="n">
        <v>0.0579643187754761</v>
      </c>
      <c r="AH40" s="56" t="n">
        <v>1.74212713053448</v>
      </c>
      <c r="AI40" s="56" t="n">
        <v>5.0266139318669</v>
      </c>
      <c r="AJ40" s="56" t="n">
        <v>2.18253271809577</v>
      </c>
      <c r="AK40" s="56" t="n">
        <v>0.771910036118457</v>
      </c>
      <c r="AL40" s="57" t="n">
        <v>32.6961482309126</v>
      </c>
      <c r="AM40" s="57" t="n">
        <v>0</v>
      </c>
      <c r="AN40" s="57" t="n">
        <v>278.468820020537</v>
      </c>
      <c r="AO40" s="57" t="n">
        <v>9.96430135084799</v>
      </c>
      <c r="AP40" s="57" t="n">
        <v>0.00237686982930411</v>
      </c>
      <c r="AQ40" s="57" t="n">
        <v>0.236106057146283</v>
      </c>
      <c r="AR40" s="61" t="n">
        <v>332.921006084727</v>
      </c>
      <c r="AT40" s="22" t="n">
        <v>321.367752529273</v>
      </c>
      <c r="AV40" s="43" t="n">
        <v>332.921006084726</v>
      </c>
      <c r="AW40" s="59" t="n">
        <f aca="false">AV40-AR40</f>
        <v>0</v>
      </c>
      <c r="AY40" s="19" t="n">
        <v>239.510295062196</v>
      </c>
      <c r="AZ40" s="60" t="n">
        <f aca="false">AY40/$AR40</f>
        <v>0.719420795578281</v>
      </c>
      <c r="BB40" s="19" t="s">
        <v>176</v>
      </c>
      <c r="BC40" s="19" t="s">
        <v>175</v>
      </c>
      <c r="BD40" s="19" t="n">
        <f aca="false">$AY40*BQ40/$BZ40</f>
        <v>13.2627850685907</v>
      </c>
      <c r="BE40" s="19" t="n">
        <f aca="false">$AY40*BR40/$BZ40</f>
        <v>40.3084644241481</v>
      </c>
      <c r="BF40" s="19" t="n">
        <f aca="false">$AY40*BS40/$BZ40</f>
        <v>21.0644233442322</v>
      </c>
      <c r="BG40" s="19" t="n">
        <f aca="false">$AY40*BT40/$BZ40</f>
        <v>8.32174749401767</v>
      </c>
      <c r="BH40" s="19" t="n">
        <f aca="false">$AY40*BU40/$BZ40</f>
        <v>38.4880821598317</v>
      </c>
      <c r="BI40" s="19" t="n">
        <f aca="false">$AY40*BV40/$BZ40</f>
        <v>8.84185671239377</v>
      </c>
      <c r="BJ40" s="19" t="n">
        <f aca="false">$AY40*BW40/$BZ40</f>
        <v>45.2495019987211</v>
      </c>
      <c r="BK40" s="19" t="n">
        <f aca="false">$AY40*BX40/$BZ40</f>
        <v>54.3514133203029</v>
      </c>
      <c r="BL40" s="19" t="n">
        <f aca="false">$AY40*BY40/$BZ40</f>
        <v>9.62202053995793</v>
      </c>
      <c r="BM40" s="19" t="n">
        <f aca="false">SUM(BD40:BL40)</f>
        <v>239.510295062196</v>
      </c>
      <c r="BO40" s="19" t="s">
        <v>176</v>
      </c>
      <c r="BP40" s="19" t="s">
        <v>175</v>
      </c>
      <c r="BQ40" s="19" t="n">
        <v>5100</v>
      </c>
      <c r="BR40" s="19" t="n">
        <v>15500</v>
      </c>
      <c r="BS40" s="19" t="n">
        <v>8100</v>
      </c>
      <c r="BT40" s="19" t="n">
        <v>3200</v>
      </c>
      <c r="BU40" s="19" t="n">
        <v>14800</v>
      </c>
      <c r="BV40" s="19" t="n">
        <v>3400</v>
      </c>
      <c r="BW40" s="19" t="n">
        <v>17400</v>
      </c>
      <c r="BX40" s="19" t="n">
        <v>20900</v>
      </c>
      <c r="BY40" s="19" t="n">
        <v>3700</v>
      </c>
      <c r="BZ40" s="19" t="n">
        <v>92100</v>
      </c>
      <c r="CB40" s="19" t="s">
        <v>176</v>
      </c>
      <c r="CC40" s="19" t="s">
        <v>175</v>
      </c>
      <c r="CD40" s="19" t="n">
        <f aca="false">BQ40/$AR40</f>
        <v>15.3189492606005</v>
      </c>
      <c r="CE40" s="19" t="n">
        <f aca="false">BR40/$AR40</f>
        <v>46.5575908900603</v>
      </c>
      <c r="CF40" s="19" t="n">
        <f aca="false">BS40/$AR40</f>
        <v>24.3300958844831</v>
      </c>
      <c r="CG40" s="19" t="n">
        <f aca="false">BT40/$AR40</f>
        <v>9.61188973214149</v>
      </c>
      <c r="CH40" s="19" t="n">
        <f aca="false">BU40/$AR40</f>
        <v>44.4549900111544</v>
      </c>
      <c r="CI40" s="19" t="n">
        <f aca="false">BV40/$AR40</f>
        <v>10.2126328404003</v>
      </c>
      <c r="CJ40" s="19" t="n">
        <f aca="false">BW40/$AR40</f>
        <v>52.2646504185194</v>
      </c>
      <c r="CK40" s="19" t="n">
        <f aca="false">BX40/$AR40</f>
        <v>62.7776548130491</v>
      </c>
      <c r="CL40" s="19" t="n">
        <f aca="false">BY40/$AR40</f>
        <v>11.1137475027886</v>
      </c>
      <c r="CM40" s="19" t="n">
        <f aca="false">BZ40/$AR40</f>
        <v>276.642201353197</v>
      </c>
      <c r="CO40" s="19" t="n">
        <v>33</v>
      </c>
      <c r="CP40" s="19" t="s">
        <v>237</v>
      </c>
      <c r="CQ40" s="19" t="n">
        <v>270.223446139053</v>
      </c>
      <c r="CR40" s="19" t="n">
        <v>144.994738494827</v>
      </c>
      <c r="CS40" s="19" t="n">
        <v>0.499033681303203</v>
      </c>
      <c r="CT40" s="19" t="n">
        <v>0</v>
      </c>
      <c r="CU40" s="19" t="n">
        <v>6.92208156985229</v>
      </c>
      <c r="CW40" s="19" t="n">
        <v>33</v>
      </c>
      <c r="CX40" s="19" t="s">
        <v>237</v>
      </c>
      <c r="CY40" s="60" t="n">
        <f aca="false">CQ40/$AR40</f>
        <v>0.811674364789955</v>
      </c>
      <c r="CZ40" s="60" t="n">
        <f aca="false">CR40/$AR40</f>
        <v>0.435522949422804</v>
      </c>
      <c r="DA40" s="60" t="n">
        <f aca="false">CS40/$AR40</f>
        <v>0.0014989552241597</v>
      </c>
      <c r="DB40" s="60" t="n">
        <f aca="false">CT40/$AR40</f>
        <v>0</v>
      </c>
      <c r="DC40" s="60" t="n">
        <f aca="false">CU40/$AR40</f>
        <v>0.0207919639894716</v>
      </c>
    </row>
    <row r="41" customFormat="false" ht="12.75" hidden="false" customHeight="false" outlineLevel="0" collapsed="false">
      <c r="A41" s="53" t="s">
        <v>205</v>
      </c>
      <c r="B41" s="54" t="s">
        <v>177</v>
      </c>
      <c r="C41" s="55" t="s">
        <v>178</v>
      </c>
      <c r="D41" s="56" t="n">
        <v>0.00192697398654347</v>
      </c>
      <c r="E41" s="56" t="n">
        <v>0.531611534808423</v>
      </c>
      <c r="F41" s="56" t="n">
        <v>0.932703576016558</v>
      </c>
      <c r="G41" s="56" t="n">
        <v>0.0716737514319098</v>
      </c>
      <c r="H41" s="56" t="n">
        <v>0.00756517709064594</v>
      </c>
      <c r="I41" s="56" t="n">
        <v>0.0149492744813318</v>
      </c>
      <c r="J41" s="56" t="n">
        <v>0.146286827906038</v>
      </c>
      <c r="K41" s="56" t="n">
        <v>0.670463337801687</v>
      </c>
      <c r="L41" s="56" t="n">
        <v>0.30965782598864</v>
      </c>
      <c r="M41" s="56" t="n">
        <v>0.177760810776026</v>
      </c>
      <c r="N41" s="56" t="n">
        <v>0.647285691156723</v>
      </c>
      <c r="O41" s="56" t="n">
        <v>0</v>
      </c>
      <c r="P41" s="56" t="n">
        <v>0.103085087530483</v>
      </c>
      <c r="Q41" s="56" t="n">
        <v>0.0233917599031404</v>
      </c>
      <c r="R41" s="56" t="n">
        <v>0.0594615796078846</v>
      </c>
      <c r="S41" s="56" t="n">
        <v>0.0255350738958833</v>
      </c>
      <c r="T41" s="56" t="n">
        <v>0.490839088502321</v>
      </c>
      <c r="U41" s="56" t="n">
        <v>8.78439676964885</v>
      </c>
      <c r="V41" s="56" t="n">
        <v>0.259769028516507</v>
      </c>
      <c r="W41" s="56" t="n">
        <v>1.96298103378823</v>
      </c>
      <c r="X41" s="56" t="n">
        <v>3.00457056166427</v>
      </c>
      <c r="Y41" s="56" t="n">
        <v>4.62957773623961</v>
      </c>
      <c r="Z41" s="56" t="n">
        <v>1.32569996371314</v>
      </c>
      <c r="AA41" s="56" t="n">
        <v>0.0127925824584379</v>
      </c>
      <c r="AB41" s="56" t="n">
        <v>0.0683856884552478</v>
      </c>
      <c r="AC41" s="56" t="n">
        <v>0.402152920883259</v>
      </c>
      <c r="AD41" s="56" t="n">
        <v>2.33097106971258</v>
      </c>
      <c r="AE41" s="56" t="n">
        <v>0.194384348117397</v>
      </c>
      <c r="AF41" s="56" t="n">
        <v>6.9006644971854</v>
      </c>
      <c r="AG41" s="56" t="n">
        <v>5.313870748042</v>
      </c>
      <c r="AH41" s="56" t="n">
        <v>0.928740491285416</v>
      </c>
      <c r="AI41" s="56" t="n">
        <v>2.86042562136419</v>
      </c>
      <c r="AJ41" s="56" t="n">
        <v>2.29359096197378</v>
      </c>
      <c r="AK41" s="56" t="n">
        <v>12.7061182553073</v>
      </c>
      <c r="AL41" s="57" t="n">
        <v>42.7439871248851</v>
      </c>
      <c r="AM41" s="57" t="n">
        <v>62.285561886935</v>
      </c>
      <c r="AN41" s="57" t="n">
        <v>47.8128774274516</v>
      </c>
      <c r="AO41" s="57" t="n">
        <v>19.4420253690829</v>
      </c>
      <c r="AP41" s="57" t="n">
        <v>-0.716829549481728</v>
      </c>
      <c r="AQ41" s="57" t="n">
        <v>0.0548611184284435</v>
      </c>
      <c r="AR41" s="61" t="n">
        <v>229.815773026541</v>
      </c>
      <c r="AT41" s="22" t="n">
        <v>171.622483377301</v>
      </c>
      <c r="AV41" s="43" t="n">
        <v>229.815773026541</v>
      </c>
      <c r="AW41" s="59" t="n">
        <f aca="false">AV41-AR41</f>
        <v>0</v>
      </c>
      <c r="AY41" s="19" t="n">
        <v>115.643601261671</v>
      </c>
      <c r="AZ41" s="60" t="n">
        <f aca="false">AY41/$AR41</f>
        <v>0.503201323994047</v>
      </c>
      <c r="BB41" s="19" t="s">
        <v>178</v>
      </c>
      <c r="BC41" s="19" t="s">
        <v>270</v>
      </c>
      <c r="BD41" s="19" t="n">
        <f aca="false">$AY41*BQ41/$BZ41</f>
        <v>8.77072256759864</v>
      </c>
      <c r="BE41" s="19" t="n">
        <f aca="false">$AY41*BR41/$BZ41</f>
        <v>13.3185046396868</v>
      </c>
      <c r="BF41" s="19" t="n">
        <f aca="false">$AY41*BS41/$BZ41</f>
        <v>6.17198995497682</v>
      </c>
      <c r="BG41" s="19" t="n">
        <f aca="false">$AY41*BT41/$BZ41</f>
        <v>4.71020286037705</v>
      </c>
      <c r="BH41" s="19" t="n">
        <f aca="false">$AY41*BU41/$BZ41</f>
        <v>8.28346020273205</v>
      </c>
      <c r="BI41" s="19" t="n">
        <f aca="false">$AY41*BV41/$BZ41</f>
        <v>2.92357418919955</v>
      </c>
      <c r="BJ41" s="19" t="n">
        <f aca="false">$AY41*BW41/$BZ41</f>
        <v>13.4809254279757</v>
      </c>
      <c r="BK41" s="19" t="n">
        <f aca="false">$AY41*BX41/$BZ41</f>
        <v>50.1880235812589</v>
      </c>
      <c r="BL41" s="19" t="n">
        <f aca="false">$AY41*BY41/$BZ41</f>
        <v>7.79619783786546</v>
      </c>
      <c r="BM41" s="19" t="n">
        <f aca="false">SUM(BD41:BL41)</f>
        <v>115.643601261671</v>
      </c>
      <c r="BO41" s="19" t="s">
        <v>178</v>
      </c>
      <c r="BP41" s="19" t="s">
        <v>177</v>
      </c>
      <c r="BQ41" s="19" t="n">
        <v>5400</v>
      </c>
      <c r="BR41" s="19" t="n">
        <v>8200</v>
      </c>
      <c r="BS41" s="19" t="n">
        <v>3800</v>
      </c>
      <c r="BT41" s="19" t="n">
        <v>2900</v>
      </c>
      <c r="BU41" s="19" t="n">
        <v>5100</v>
      </c>
      <c r="BV41" s="19" t="n">
        <v>1800</v>
      </c>
      <c r="BW41" s="19" t="n">
        <v>8300</v>
      </c>
      <c r="BX41" s="19" t="n">
        <v>30900</v>
      </c>
      <c r="BY41" s="19" t="n">
        <v>4800</v>
      </c>
      <c r="BZ41" s="19" t="n">
        <v>71200</v>
      </c>
      <c r="CB41" s="19" t="s">
        <v>178</v>
      </c>
      <c r="CC41" s="19" t="s">
        <v>177</v>
      </c>
      <c r="CD41" s="19" t="n">
        <f aca="false">BQ41/$AR41</f>
        <v>23.4970817228301</v>
      </c>
      <c r="CE41" s="19" t="n">
        <f aca="false">BR41/$AR41</f>
        <v>35.6807537272604</v>
      </c>
      <c r="CF41" s="19" t="n">
        <f aca="false">BS41/$AR41</f>
        <v>16.5349834345841</v>
      </c>
      <c r="CG41" s="19" t="n">
        <f aca="false">BT41/$AR41</f>
        <v>12.6188031474458</v>
      </c>
      <c r="CH41" s="19" t="n">
        <f aca="false">BU41/$AR41</f>
        <v>22.1916882937839</v>
      </c>
      <c r="CI41" s="19" t="n">
        <f aca="false">BV41/$AR41</f>
        <v>7.83236057427668</v>
      </c>
      <c r="CJ41" s="19" t="n">
        <f aca="false">BW41/$AR41</f>
        <v>36.1158848702758</v>
      </c>
      <c r="CK41" s="19" t="n">
        <f aca="false">BX41/$AR41</f>
        <v>134.45552319175</v>
      </c>
      <c r="CL41" s="19" t="n">
        <f aca="false">BY41/$AR41</f>
        <v>20.8862948647378</v>
      </c>
      <c r="CM41" s="19" t="n">
        <f aca="false">BZ41/$AR41</f>
        <v>309.813373826944</v>
      </c>
      <c r="CO41" s="19" t="n">
        <v>34</v>
      </c>
      <c r="CP41" s="19" t="s">
        <v>238</v>
      </c>
      <c r="CQ41" s="19" t="n">
        <v>481.278132054096</v>
      </c>
      <c r="CR41" s="19" t="n">
        <v>100.881868700183</v>
      </c>
      <c r="CS41" s="19" t="n">
        <v>1.023467647277</v>
      </c>
      <c r="CT41" s="19" t="n">
        <v>0</v>
      </c>
      <c r="CU41" s="19" t="n">
        <v>14.1964897440495</v>
      </c>
      <c r="CW41" s="19" t="n">
        <v>34</v>
      </c>
      <c r="CX41" s="19" t="s">
        <v>238</v>
      </c>
      <c r="CY41" s="60" t="n">
        <f aca="false">CQ41/$AR41</f>
        <v>2.09419103709002</v>
      </c>
      <c r="CZ41" s="60" t="n">
        <f aca="false">CR41/$AR41</f>
        <v>0.438968428370371</v>
      </c>
      <c r="DA41" s="60" t="n">
        <f aca="false">CS41/$AR41</f>
        <v>0.00445342647198893</v>
      </c>
      <c r="DB41" s="60" t="n">
        <f aca="false">CT41/$AR41</f>
        <v>0</v>
      </c>
      <c r="DC41" s="60" t="n">
        <f aca="false">CU41/$AR41</f>
        <v>0.0617733480913425</v>
      </c>
    </row>
    <row r="42" customFormat="false" ht="12.75" hidden="false" customHeight="false" outlineLevel="0" collapsed="false">
      <c r="A42" s="53"/>
      <c r="B42" s="49" t="s">
        <v>271</v>
      </c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  <c r="AQ42" s="51"/>
      <c r="AR42" s="52"/>
      <c r="AT42" s="62"/>
    </row>
    <row r="43" customFormat="false" ht="12.75" hidden="false" customHeight="false" outlineLevel="0" collapsed="false">
      <c r="A43" s="53" t="s">
        <v>188</v>
      </c>
      <c r="B43" s="63" t="s">
        <v>111</v>
      </c>
      <c r="C43" s="64" t="s">
        <v>272</v>
      </c>
      <c r="D43" s="65" t="n">
        <v>60.9388795844869</v>
      </c>
      <c r="E43" s="65" t="n">
        <v>0.0180236262993199</v>
      </c>
      <c r="F43" s="65" t="n">
        <v>5.33448107550604</v>
      </c>
      <c r="G43" s="65" t="n">
        <v>0.727485186895277</v>
      </c>
      <c r="H43" s="65" t="n">
        <v>0.0710250797179765</v>
      </c>
      <c r="I43" s="65" t="n">
        <v>0.00125882389222843</v>
      </c>
      <c r="J43" s="65" t="n">
        <v>0.00391537429890232</v>
      </c>
      <c r="K43" s="65" t="n">
        <v>0.0135292722311424</v>
      </c>
      <c r="L43" s="65" t="n">
        <v>0.00683135802705515</v>
      </c>
      <c r="M43" s="65" t="n">
        <v>0.00250706977711209</v>
      </c>
      <c r="N43" s="65" t="n">
        <v>0.00986355465902998</v>
      </c>
      <c r="O43" s="65" t="n">
        <v>0.00161868626010263</v>
      </c>
      <c r="P43" s="65" t="n">
        <v>0.000855389758963895</v>
      </c>
      <c r="Q43" s="65" t="n">
        <v>4.30800952289096E-005</v>
      </c>
      <c r="R43" s="65" t="n">
        <v>0.000452380119587595</v>
      </c>
      <c r="S43" s="65" t="n">
        <v>0.000554813566776467</v>
      </c>
      <c r="T43" s="65" t="n">
        <v>0.00161883682112712</v>
      </c>
      <c r="U43" s="65" t="n">
        <v>0.0105445010310664</v>
      </c>
      <c r="V43" s="65" t="n">
        <v>1.89294192679567E-005</v>
      </c>
      <c r="W43" s="65" t="n">
        <v>0.0430070865789077</v>
      </c>
      <c r="X43" s="65" t="n">
        <v>0.00752735505350794</v>
      </c>
      <c r="Y43" s="65" t="n">
        <v>0.576133656072638</v>
      </c>
      <c r="Z43" s="65" t="n">
        <v>0.00101888271309738</v>
      </c>
      <c r="AA43" s="65" t="n">
        <v>3.55763014522941E-006</v>
      </c>
      <c r="AB43" s="65" t="n">
        <v>0.000298132011967543</v>
      </c>
      <c r="AC43" s="65" t="n">
        <v>0.000237138587911402</v>
      </c>
      <c r="AD43" s="65" t="n">
        <v>0.000421811480957448</v>
      </c>
      <c r="AE43" s="65" t="n">
        <v>0.000401126977535954</v>
      </c>
      <c r="AF43" s="65" t="n">
        <v>0.0111167453631672</v>
      </c>
      <c r="AG43" s="65" t="n">
        <v>0.0125552617849258</v>
      </c>
      <c r="AH43" s="65" t="n">
        <v>0.861642532731651</v>
      </c>
      <c r="AI43" s="65" t="n">
        <v>0.527296823288549</v>
      </c>
      <c r="AJ43" s="65" t="n">
        <v>0.593164326906994</v>
      </c>
      <c r="AK43" s="65" t="n">
        <v>0.0034314360522734</v>
      </c>
      <c r="AL43" s="66" t="n">
        <v>48.9130887347425</v>
      </c>
      <c r="AM43" s="66" t="n">
        <v>0.00437890904316127</v>
      </c>
      <c r="AN43" s="66" t="n">
        <v>0.576884737770159</v>
      </c>
      <c r="AO43" s="66" t="n">
        <v>0.358810364282532</v>
      </c>
      <c r="AP43" s="66" t="n">
        <v>-0.203897955652113</v>
      </c>
      <c r="AQ43" s="67" t="n">
        <v>0</v>
      </c>
      <c r="AR43" s="52" t="n">
        <v>119.431027286284</v>
      </c>
    </row>
    <row r="44" customFormat="false" ht="12.75" hidden="false" customHeight="false" outlineLevel="0" collapsed="false">
      <c r="A44" s="53" t="s">
        <v>189</v>
      </c>
      <c r="B44" s="63" t="s">
        <v>113</v>
      </c>
      <c r="C44" s="64" t="s">
        <v>273</v>
      </c>
      <c r="D44" s="65" t="n">
        <v>0.0705452454061183</v>
      </c>
      <c r="E44" s="65" t="n">
        <v>3.0045419650021</v>
      </c>
      <c r="F44" s="65" t="n">
        <v>1.44569910085714</v>
      </c>
      <c r="G44" s="65" t="n">
        <v>0.185143162837092</v>
      </c>
      <c r="H44" s="65" t="n">
        <v>0.0225906863879521</v>
      </c>
      <c r="I44" s="65" t="n">
        <v>0.00478024198878817</v>
      </c>
      <c r="J44" s="65" t="n">
        <v>0.0179345824268099</v>
      </c>
      <c r="K44" s="65" t="n">
        <v>6.64516428984034</v>
      </c>
      <c r="L44" s="65" t="n">
        <v>2.97116157444706</v>
      </c>
      <c r="M44" s="65" t="n">
        <v>1.16751529324741</v>
      </c>
      <c r="N44" s="65" t="n">
        <v>4.322884456804</v>
      </c>
      <c r="O44" s="65" t="n">
        <v>2.33930302479452</v>
      </c>
      <c r="P44" s="65" t="n">
        <v>0.46213002433112</v>
      </c>
      <c r="Q44" s="65" t="n">
        <v>0.106595771853082</v>
      </c>
      <c r="R44" s="65" t="n">
        <v>0.285009775511621</v>
      </c>
      <c r="S44" s="65" t="n">
        <v>0.582820705242144</v>
      </c>
      <c r="T44" s="65" t="n">
        <v>12.1675129968248</v>
      </c>
      <c r="U44" s="65" t="n">
        <v>8.52798031729756</v>
      </c>
      <c r="V44" s="65" t="n">
        <v>0.130997335357977</v>
      </c>
      <c r="W44" s="65" t="n">
        <v>0.0645758689946372</v>
      </c>
      <c r="X44" s="65" t="n">
        <v>0.337502018547829</v>
      </c>
      <c r="Y44" s="65" t="n">
        <v>0.119391233655081</v>
      </c>
      <c r="Z44" s="65" t="n">
        <v>0.47034030729485</v>
      </c>
      <c r="AA44" s="65" t="n">
        <v>0.00369768771192004</v>
      </c>
      <c r="AB44" s="65" t="n">
        <v>0.0227940904413756</v>
      </c>
      <c r="AC44" s="65" t="n">
        <v>0.143309935573031</v>
      </c>
      <c r="AD44" s="65" t="n">
        <v>0.241730845848479</v>
      </c>
      <c r="AE44" s="65" t="n">
        <v>0.00386674941314645</v>
      </c>
      <c r="AF44" s="65" t="n">
        <v>0.00742719610062644</v>
      </c>
      <c r="AG44" s="65" t="n">
        <v>0.0258290402326519</v>
      </c>
      <c r="AH44" s="65" t="n">
        <v>0.994690644434884</v>
      </c>
      <c r="AI44" s="65" t="n">
        <v>5.18990318582502</v>
      </c>
      <c r="AJ44" s="65" t="n">
        <v>0.0345078198651598</v>
      </c>
      <c r="AK44" s="65" t="n">
        <v>0.0916674294116325</v>
      </c>
      <c r="AL44" s="66" t="n">
        <v>14.7149751341172</v>
      </c>
      <c r="AM44" s="66" t="n">
        <v>0</v>
      </c>
      <c r="AN44" s="66" t="n">
        <v>0</v>
      </c>
      <c r="AO44" s="66" t="n">
        <v>1.72791549859548</v>
      </c>
      <c r="AP44" s="66" t="n">
        <v>-0.367617076478939</v>
      </c>
      <c r="AQ44" s="67" t="n">
        <v>0</v>
      </c>
      <c r="AR44" s="52" t="n">
        <v>68.2868181600417</v>
      </c>
    </row>
    <row r="45" customFormat="false" ht="12.75" hidden="false" customHeight="false" outlineLevel="0" collapsed="false">
      <c r="A45" s="53" t="s">
        <v>190</v>
      </c>
      <c r="B45" s="63" t="s">
        <v>115</v>
      </c>
      <c r="C45" s="64" t="s">
        <v>274</v>
      </c>
      <c r="D45" s="65" t="n">
        <v>6.91629913380588</v>
      </c>
      <c r="E45" s="65" t="n">
        <v>0.19800903920648</v>
      </c>
      <c r="F45" s="65" t="n">
        <v>56.1887096095934</v>
      </c>
      <c r="G45" s="65" t="n">
        <v>0.837171893271552</v>
      </c>
      <c r="H45" s="65" t="n">
        <v>0.0879202420157192</v>
      </c>
      <c r="I45" s="65" t="n">
        <v>0.00108342152180481</v>
      </c>
      <c r="J45" s="65" t="n">
        <v>0.025293226837206</v>
      </c>
      <c r="K45" s="65" t="n">
        <v>2.39513157651306</v>
      </c>
      <c r="L45" s="65" t="n">
        <v>1.09072665081092</v>
      </c>
      <c r="M45" s="65" t="n">
        <v>0.480681866181964</v>
      </c>
      <c r="N45" s="65" t="n">
        <v>1.77851574762202</v>
      </c>
      <c r="O45" s="65" t="n">
        <v>0.431012779006232</v>
      </c>
      <c r="P45" s="65" t="n">
        <v>0.00368398231950794</v>
      </c>
      <c r="Q45" s="65" t="n">
        <v>0.000616023768152192</v>
      </c>
      <c r="R45" s="65" t="n">
        <v>0.00201829070094402</v>
      </c>
      <c r="S45" s="65" t="n">
        <v>0.0056098383799395</v>
      </c>
      <c r="T45" s="65" t="n">
        <v>1.38602239125136</v>
      </c>
      <c r="U45" s="65" t="n">
        <v>41.3780021505104</v>
      </c>
      <c r="V45" s="65" t="n">
        <v>0.00485924442341935</v>
      </c>
      <c r="W45" s="65" t="n">
        <v>4.9695403918245</v>
      </c>
      <c r="X45" s="65" t="n">
        <v>61.1986323482426</v>
      </c>
      <c r="Y45" s="65" t="n">
        <v>23.0930430293253</v>
      </c>
      <c r="Z45" s="65" t="n">
        <v>3.85227580584413</v>
      </c>
      <c r="AA45" s="65" t="n">
        <v>0.0292772621756894</v>
      </c>
      <c r="AB45" s="65" t="n">
        <v>0.146877316685828</v>
      </c>
      <c r="AC45" s="65" t="n">
        <v>1.1619018794545</v>
      </c>
      <c r="AD45" s="65" t="n">
        <v>3.70052825670347</v>
      </c>
      <c r="AE45" s="65" t="n">
        <v>0.727741452064847</v>
      </c>
      <c r="AF45" s="65" t="n">
        <v>5.33347831603075</v>
      </c>
      <c r="AG45" s="65" t="n">
        <v>4.09645532609589</v>
      </c>
      <c r="AH45" s="65" t="n">
        <v>19.7218139438689</v>
      </c>
      <c r="AI45" s="65" t="n">
        <v>9.49343157953924</v>
      </c>
      <c r="AJ45" s="65" t="n">
        <v>5.17454026191518</v>
      </c>
      <c r="AK45" s="65" t="n">
        <v>2.16746790038324</v>
      </c>
      <c r="AL45" s="66" t="n">
        <v>308.372347757892</v>
      </c>
      <c r="AM45" s="66" t="n">
        <v>0.59913565103938</v>
      </c>
      <c r="AN45" s="66" t="n">
        <v>0.00106410281519759</v>
      </c>
      <c r="AO45" s="66" t="n">
        <v>20.7909340432022</v>
      </c>
      <c r="AP45" s="66" t="n">
        <v>22.04209761232</v>
      </c>
      <c r="AQ45" s="67" t="n">
        <v>0</v>
      </c>
      <c r="AR45" s="52" t="n">
        <v>609.883951345163</v>
      </c>
    </row>
    <row r="46" customFormat="false" ht="12.75" hidden="false" customHeight="false" outlineLevel="0" collapsed="false">
      <c r="A46" s="53" t="s">
        <v>191</v>
      </c>
      <c r="B46" s="63" t="s">
        <v>117</v>
      </c>
      <c r="C46" s="64" t="s">
        <v>275</v>
      </c>
      <c r="D46" s="65" t="n">
        <v>0.00538956078070062</v>
      </c>
      <c r="E46" s="65" t="n">
        <v>0.104624901635345</v>
      </c>
      <c r="F46" s="65" t="n">
        <v>0.816268026339156</v>
      </c>
      <c r="G46" s="65" t="n">
        <v>7.79066923113402</v>
      </c>
      <c r="H46" s="65" t="n">
        <v>0.884331893500721</v>
      </c>
      <c r="I46" s="65" t="n">
        <v>0.0165724423931167</v>
      </c>
      <c r="J46" s="65" t="n">
        <v>0.222386798995138</v>
      </c>
      <c r="K46" s="65" t="n">
        <v>2.31438229561075</v>
      </c>
      <c r="L46" s="65" t="n">
        <v>1.05303302486094</v>
      </c>
      <c r="M46" s="65" t="n">
        <v>0.187707442446785</v>
      </c>
      <c r="N46" s="65" t="n">
        <v>0.69428367212823</v>
      </c>
      <c r="O46" s="65" t="n">
        <v>0.211256378672051</v>
      </c>
      <c r="P46" s="65" t="n">
        <v>0.218635180703811</v>
      </c>
      <c r="Q46" s="65" t="n">
        <v>0.0488197232486722</v>
      </c>
      <c r="R46" s="65" t="n">
        <v>0.127537479625302</v>
      </c>
      <c r="S46" s="65" t="n">
        <v>0.761375147070247</v>
      </c>
      <c r="T46" s="65" t="n">
        <v>0.366482773936951</v>
      </c>
      <c r="U46" s="65" t="n">
        <v>0.0766046802723552</v>
      </c>
      <c r="V46" s="65" t="n">
        <v>0.012848860789383</v>
      </c>
      <c r="W46" s="65" t="n">
        <v>0.0854721251855948</v>
      </c>
      <c r="X46" s="65" t="n">
        <v>0.817703325031362</v>
      </c>
      <c r="Y46" s="65" t="n">
        <v>3.00674844719621</v>
      </c>
      <c r="Z46" s="65" t="n">
        <v>0.262553230518063</v>
      </c>
      <c r="AA46" s="65" t="n">
        <v>0.00205999051505626</v>
      </c>
      <c r="AB46" s="65" t="n">
        <v>0.0104268058761068</v>
      </c>
      <c r="AC46" s="65" t="n">
        <v>0.0792526557494258</v>
      </c>
      <c r="AD46" s="65" t="n">
        <v>0.196738258434298</v>
      </c>
      <c r="AE46" s="65" t="n">
        <v>0.0100887149817662</v>
      </c>
      <c r="AF46" s="65" t="n">
        <v>0.129546354398955</v>
      </c>
      <c r="AG46" s="65" t="n">
        <v>0.110167629052664</v>
      </c>
      <c r="AH46" s="65" t="n">
        <v>2.33972601614219</v>
      </c>
      <c r="AI46" s="65" t="n">
        <v>1.16739920641333</v>
      </c>
      <c r="AJ46" s="65" t="n">
        <v>1.40910523617892</v>
      </c>
      <c r="AK46" s="65" t="n">
        <v>1.17241320745033</v>
      </c>
      <c r="AL46" s="66" t="n">
        <v>254.305471273511</v>
      </c>
      <c r="AM46" s="66" t="n">
        <v>1.32288939714303</v>
      </c>
      <c r="AN46" s="66" t="n">
        <v>1.6842424913515E-005</v>
      </c>
      <c r="AO46" s="66" t="n">
        <v>0.277667003959213</v>
      </c>
      <c r="AP46" s="66" t="n">
        <v>4.59573059034808</v>
      </c>
      <c r="AQ46" s="67" t="n">
        <v>0</v>
      </c>
      <c r="AR46" s="52" t="n">
        <v>287.214385824654</v>
      </c>
    </row>
    <row r="47" customFormat="false" ht="12.75" hidden="false" customHeight="false" outlineLevel="0" collapsed="false">
      <c r="A47" s="53" t="n">
        <v>19</v>
      </c>
      <c r="B47" s="63" t="s">
        <v>119</v>
      </c>
      <c r="C47" s="64" t="s">
        <v>276</v>
      </c>
      <c r="D47" s="65" t="n">
        <v>0.000522834024010781</v>
      </c>
      <c r="E47" s="65" t="n">
        <v>0.0111536847740999</v>
      </c>
      <c r="F47" s="65" t="n">
        <v>0.0819259127163281</v>
      </c>
      <c r="G47" s="65" t="n">
        <v>0.872802800242491</v>
      </c>
      <c r="H47" s="65" t="n">
        <v>0.0924110125781085</v>
      </c>
      <c r="I47" s="65" t="n">
        <v>0.00170265406720848</v>
      </c>
      <c r="J47" s="65" t="n">
        <v>0.022912021595437</v>
      </c>
      <c r="K47" s="65" t="n">
        <v>0.236233583875847</v>
      </c>
      <c r="L47" s="65" t="n">
        <v>0.107405417611532</v>
      </c>
      <c r="M47" s="65" t="n">
        <v>0.0190273083431282</v>
      </c>
      <c r="N47" s="65" t="n">
        <v>0.0703876769480897</v>
      </c>
      <c r="O47" s="65" t="n">
        <v>0.0211781107383547</v>
      </c>
      <c r="P47" s="65" t="n">
        <v>0.0219825106513452</v>
      </c>
      <c r="Q47" s="65" t="n">
        <v>0.0049072824825461</v>
      </c>
      <c r="R47" s="65" t="n">
        <v>0.0128114904833295</v>
      </c>
      <c r="S47" s="65" t="n">
        <v>0.0772631370289207</v>
      </c>
      <c r="T47" s="65" t="n">
        <v>0.0372683650510703</v>
      </c>
      <c r="U47" s="65" t="n">
        <v>0.00777711015212701</v>
      </c>
      <c r="V47" s="65" t="n">
        <v>0.0013242177267493</v>
      </c>
      <c r="W47" s="65" t="n">
        <v>0.00855150482303977</v>
      </c>
      <c r="X47" s="65" t="n">
        <v>0.0841801465956264</v>
      </c>
      <c r="Y47" s="65" t="n">
        <v>0.309230316101746</v>
      </c>
      <c r="Z47" s="65" t="n">
        <v>0.0270516567594366</v>
      </c>
      <c r="AA47" s="65" t="n">
        <v>0.000210865482435915</v>
      </c>
      <c r="AB47" s="65" t="n">
        <v>0.00106376334906635</v>
      </c>
      <c r="AC47" s="65" t="n">
        <v>0.0081621772610585</v>
      </c>
      <c r="AD47" s="65" t="n">
        <v>0.0194918487152154</v>
      </c>
      <c r="AE47" s="65" t="n">
        <v>0.00107883021410038</v>
      </c>
      <c r="AF47" s="65" t="n">
        <v>0.0127986981411487</v>
      </c>
      <c r="AG47" s="65" t="n">
        <v>0.0112063667561687</v>
      </c>
      <c r="AH47" s="65" t="n">
        <v>0.247897666762723</v>
      </c>
      <c r="AI47" s="65" t="n">
        <v>0.120439051734661</v>
      </c>
      <c r="AJ47" s="65" t="n">
        <v>0.146172620598366</v>
      </c>
      <c r="AK47" s="65" t="n">
        <v>0.12265496329033</v>
      </c>
      <c r="AL47" s="66" t="n">
        <v>26.0871365090381</v>
      </c>
      <c r="AM47" s="66" t="n">
        <v>0.134528477586591</v>
      </c>
      <c r="AN47" s="66" t="n">
        <v>0</v>
      </c>
      <c r="AO47" s="66" t="n">
        <v>0.0297280486285677</v>
      </c>
      <c r="AP47" s="66" t="n">
        <v>0.480463090717401</v>
      </c>
      <c r="AQ47" s="67" t="n">
        <v>0</v>
      </c>
      <c r="AR47" s="52" t="n">
        <v>29.5530437336465</v>
      </c>
    </row>
    <row r="48" customFormat="false" ht="12.75" hidden="false" customHeight="false" outlineLevel="0" collapsed="false">
      <c r="A48" s="53" t="n">
        <v>20</v>
      </c>
      <c r="B48" s="63" t="s">
        <v>121</v>
      </c>
      <c r="C48" s="64" t="s">
        <v>277</v>
      </c>
      <c r="D48" s="65" t="n">
        <v>0.00700398768854289</v>
      </c>
      <c r="E48" s="65" t="n">
        <v>0.04212042827788</v>
      </c>
      <c r="F48" s="65" t="n">
        <v>0.335980007856623</v>
      </c>
      <c r="G48" s="65" t="n">
        <v>0.00447660676672228</v>
      </c>
      <c r="H48" s="65" t="n">
        <v>0.000729132822793566</v>
      </c>
      <c r="I48" s="65" t="n">
        <v>0.206029999809188</v>
      </c>
      <c r="J48" s="65" t="n">
        <v>1.70306812646531</v>
      </c>
      <c r="K48" s="65" t="n">
        <v>0.14524904606245</v>
      </c>
      <c r="L48" s="65" t="n">
        <v>0.0668296435102811</v>
      </c>
      <c r="M48" s="65" t="n">
        <v>0.149158601793337</v>
      </c>
      <c r="N48" s="65" t="n">
        <v>0.551983415357326</v>
      </c>
      <c r="O48" s="65" t="n">
        <v>0.315614039937687</v>
      </c>
      <c r="P48" s="65" t="n">
        <v>0.0580350325174169</v>
      </c>
      <c r="Q48" s="65" t="n">
        <v>0.0131110191717246</v>
      </c>
      <c r="R48" s="65" t="n">
        <v>0.0334508461405339</v>
      </c>
      <c r="S48" s="65" t="n">
        <v>1.02713394005499</v>
      </c>
      <c r="T48" s="65" t="n">
        <v>0.204274541254446</v>
      </c>
      <c r="U48" s="65" t="n">
        <v>4.24870042396461</v>
      </c>
      <c r="V48" s="65" t="n">
        <v>0.0182084254431207</v>
      </c>
      <c r="W48" s="65" t="n">
        <v>0.618797517835425</v>
      </c>
      <c r="X48" s="65" t="n">
        <v>0.97278907618612</v>
      </c>
      <c r="Y48" s="65" t="n">
        <v>0.729583624648168</v>
      </c>
      <c r="Z48" s="65" t="n">
        <v>0.110715076036313</v>
      </c>
      <c r="AA48" s="65" t="n">
        <v>0.00100744277846732</v>
      </c>
      <c r="AB48" s="65" t="n">
        <v>0.00530846117240431</v>
      </c>
      <c r="AC48" s="65" t="n">
        <v>0.0334994524192369</v>
      </c>
      <c r="AD48" s="65" t="n">
        <v>0.134024886191048</v>
      </c>
      <c r="AE48" s="65" t="n">
        <v>0.00134238013654333</v>
      </c>
      <c r="AF48" s="65" t="n">
        <v>0.0906107706752237</v>
      </c>
      <c r="AG48" s="65" t="n">
        <v>0.0683988526409768</v>
      </c>
      <c r="AH48" s="65" t="n">
        <v>0.308110066520693</v>
      </c>
      <c r="AI48" s="65" t="n">
        <v>0.290185893015177</v>
      </c>
      <c r="AJ48" s="65" t="n">
        <v>0.027560673634492</v>
      </c>
      <c r="AK48" s="65" t="n">
        <v>0.551382188467979</v>
      </c>
      <c r="AL48" s="66" t="n">
        <v>25.6978479928201</v>
      </c>
      <c r="AM48" s="66" t="n">
        <v>0.00517309908259257</v>
      </c>
      <c r="AN48" s="66" t="n">
        <v>1.87938659056941E-005</v>
      </c>
      <c r="AO48" s="66" t="n">
        <v>0.0931622558304667</v>
      </c>
      <c r="AP48" s="66" t="n">
        <v>0.177221950433463</v>
      </c>
      <c r="AQ48" s="67" t="n">
        <v>0</v>
      </c>
      <c r="AR48" s="52" t="n">
        <v>39.0478977192858</v>
      </c>
    </row>
    <row r="49" customFormat="false" ht="12.75" hidden="false" customHeight="false" outlineLevel="0" collapsed="false">
      <c r="A49" s="53" t="s">
        <v>192</v>
      </c>
      <c r="B49" s="63" t="s">
        <v>123</v>
      </c>
      <c r="C49" s="64" t="s">
        <v>278</v>
      </c>
      <c r="D49" s="65" t="n">
        <v>0.0512780945672153</v>
      </c>
      <c r="E49" s="65" t="n">
        <v>0.484156830989757</v>
      </c>
      <c r="F49" s="65" t="n">
        <v>1.9733795574022</v>
      </c>
      <c r="G49" s="65" t="n">
        <v>0.115974226085242</v>
      </c>
      <c r="H49" s="65" t="n">
        <v>0.0122540687034751</v>
      </c>
      <c r="I49" s="65" t="n">
        <v>1.00335024116306</v>
      </c>
      <c r="J49" s="65" t="n">
        <v>6.20923390583435</v>
      </c>
      <c r="K49" s="65" t="n">
        <v>0.801062260258947</v>
      </c>
      <c r="L49" s="65" t="n">
        <v>0.36743824777265</v>
      </c>
      <c r="M49" s="65" t="n">
        <v>0.588737605930821</v>
      </c>
      <c r="N49" s="65" t="n">
        <v>2.17728804830078</v>
      </c>
      <c r="O49" s="65" t="n">
        <v>1.68050656091189</v>
      </c>
      <c r="P49" s="65" t="n">
        <v>0.358888265643983</v>
      </c>
      <c r="Q49" s="65" t="n">
        <v>0.0805134086833652</v>
      </c>
      <c r="R49" s="65" t="n">
        <v>0.20710313277794</v>
      </c>
      <c r="S49" s="65" t="n">
        <v>3.58811590866577</v>
      </c>
      <c r="T49" s="65" t="n">
        <v>1.43800894697451</v>
      </c>
      <c r="U49" s="65" t="n">
        <v>14.8330965364515</v>
      </c>
      <c r="V49" s="65" t="n">
        <v>0.107562323026239</v>
      </c>
      <c r="W49" s="65" t="n">
        <v>2.65944338228173</v>
      </c>
      <c r="X49" s="65" t="n">
        <v>8.22862918867731</v>
      </c>
      <c r="Y49" s="65" t="n">
        <v>3.55413249003345</v>
      </c>
      <c r="Z49" s="65" t="n">
        <v>0.449660709206859</v>
      </c>
      <c r="AA49" s="65" t="n">
        <v>0.00403846477410791</v>
      </c>
      <c r="AB49" s="65" t="n">
        <v>0.0212552886403863</v>
      </c>
      <c r="AC49" s="65" t="n">
        <v>0.136109915991938</v>
      </c>
      <c r="AD49" s="65" t="n">
        <v>0.644603199558556</v>
      </c>
      <c r="AE49" s="65" t="n">
        <v>0.677673783884239</v>
      </c>
      <c r="AF49" s="65" t="n">
        <v>0.371427669245836</v>
      </c>
      <c r="AG49" s="65" t="n">
        <v>0.27957567116415</v>
      </c>
      <c r="AH49" s="65" t="n">
        <v>2.27529390084135</v>
      </c>
      <c r="AI49" s="65" t="n">
        <v>3.48895889707353</v>
      </c>
      <c r="AJ49" s="65" t="n">
        <v>0.521754282948984</v>
      </c>
      <c r="AK49" s="65" t="n">
        <v>2.79032006472345</v>
      </c>
      <c r="AL49" s="66" t="n">
        <v>91.5834833305739</v>
      </c>
      <c r="AM49" s="66" t="n">
        <v>0.0251145683133458</v>
      </c>
      <c r="AN49" s="66" t="n">
        <v>1.23974794985697</v>
      </c>
      <c r="AO49" s="66" t="n">
        <v>0.318741709395755</v>
      </c>
      <c r="AP49" s="66" t="n">
        <v>1.64064300918163</v>
      </c>
      <c r="AQ49" s="67" t="n">
        <v>0</v>
      </c>
      <c r="AR49" s="52" t="n">
        <v>156.988555646511</v>
      </c>
    </row>
    <row r="50" customFormat="false" ht="12.75" hidden="false" customHeight="false" outlineLevel="0" collapsed="false">
      <c r="A50" s="53" t="n">
        <v>23</v>
      </c>
      <c r="B50" s="63" t="s">
        <v>125</v>
      </c>
      <c r="C50" s="64" t="s">
        <v>279</v>
      </c>
      <c r="D50" s="65" t="n">
        <v>21.8750884311757</v>
      </c>
      <c r="E50" s="65" t="n">
        <v>9.7736940364181</v>
      </c>
      <c r="F50" s="65" t="n">
        <v>2.17869667072716</v>
      </c>
      <c r="G50" s="65" t="n">
        <v>1.13051895962678</v>
      </c>
      <c r="H50" s="65" t="n">
        <v>0.121357291719152</v>
      </c>
      <c r="I50" s="65" t="n">
        <v>0.106323137450986</v>
      </c>
      <c r="J50" s="65" t="n">
        <v>1.71419096302058</v>
      </c>
      <c r="K50" s="65" t="n">
        <v>3.72394655032476</v>
      </c>
      <c r="L50" s="65" t="n">
        <v>1.88839862258373</v>
      </c>
      <c r="M50" s="65" t="n">
        <v>0.421941294727793</v>
      </c>
      <c r="N50" s="65" t="n">
        <v>1.56076309926402</v>
      </c>
      <c r="O50" s="65" t="n">
        <v>5.16590353033594</v>
      </c>
      <c r="P50" s="65" t="n">
        <v>0.849519633956761</v>
      </c>
      <c r="Q50" s="65" t="n">
        <v>0.19233708773063</v>
      </c>
      <c r="R50" s="65" t="n">
        <v>0.486810712880015</v>
      </c>
      <c r="S50" s="65" t="n">
        <v>0.189321553725039</v>
      </c>
      <c r="T50" s="65" t="n">
        <v>15.2887851680552</v>
      </c>
      <c r="U50" s="65" t="n">
        <v>87.3697356908756</v>
      </c>
      <c r="V50" s="65" t="n">
        <v>1.35787851576478</v>
      </c>
      <c r="W50" s="65" t="n">
        <v>9.58130294417754</v>
      </c>
      <c r="X50" s="65" t="n">
        <v>75.3325190876577</v>
      </c>
      <c r="Y50" s="65" t="n">
        <v>0.16580828637932</v>
      </c>
      <c r="Z50" s="65" t="n">
        <v>57.0513649313182</v>
      </c>
      <c r="AA50" s="65" t="n">
        <v>0.42395442881488</v>
      </c>
      <c r="AB50" s="65" t="n">
        <v>2.24834969134009</v>
      </c>
      <c r="AC50" s="65" t="n">
        <v>16.9495963130375</v>
      </c>
      <c r="AD50" s="65" t="n">
        <v>23.1043544238807</v>
      </c>
      <c r="AE50" s="65" t="n">
        <v>0.778489564106937</v>
      </c>
      <c r="AF50" s="65" t="n">
        <v>4.40766361543303</v>
      </c>
      <c r="AG50" s="65" t="n">
        <v>2.95062414795306</v>
      </c>
      <c r="AH50" s="65" t="n">
        <v>6.65614611780954</v>
      </c>
      <c r="AI50" s="65" t="n">
        <v>0.480318538889778</v>
      </c>
      <c r="AJ50" s="65" t="n">
        <v>4.23140421242786</v>
      </c>
      <c r="AK50" s="65" t="n">
        <v>1.84458580134967</v>
      </c>
      <c r="AL50" s="66" t="n">
        <v>341.137314014549</v>
      </c>
      <c r="AM50" s="66" t="n">
        <v>7.88057504661438</v>
      </c>
      <c r="AN50" s="66" t="n">
        <v>0.0033132671805104</v>
      </c>
      <c r="AO50" s="66" t="n">
        <v>80.9836967912748</v>
      </c>
      <c r="AP50" s="66" t="n">
        <v>43.0470404794671</v>
      </c>
      <c r="AQ50" s="67" t="n">
        <v>0</v>
      </c>
      <c r="AR50" s="52" t="n">
        <v>834.653632654024</v>
      </c>
    </row>
    <row r="51" customFormat="false" ht="12.75" hidden="false" customHeight="false" outlineLevel="0" collapsed="false">
      <c r="A51" s="53" t="n">
        <v>24</v>
      </c>
      <c r="B51" s="63" t="s">
        <v>127</v>
      </c>
      <c r="C51" s="64" t="s">
        <v>280</v>
      </c>
      <c r="D51" s="65" t="n">
        <v>9.83866382258381</v>
      </c>
      <c r="E51" s="65" t="n">
        <v>4.03882836057021</v>
      </c>
      <c r="F51" s="65" t="n">
        <v>0.895093441118998</v>
      </c>
      <c r="G51" s="65" t="n">
        <v>0.484699851695757</v>
      </c>
      <c r="H51" s="65" t="n">
        <v>0.051435518105789</v>
      </c>
      <c r="I51" s="65" t="n">
        <v>0.0416051284466553</v>
      </c>
      <c r="J51" s="65" t="n">
        <v>0.711338792628069</v>
      </c>
      <c r="K51" s="65" t="n">
        <v>1.75357850524701</v>
      </c>
      <c r="L51" s="65" t="n">
        <v>0.802424558488609</v>
      </c>
      <c r="M51" s="65" t="n">
        <v>0.178929856485532</v>
      </c>
      <c r="N51" s="65" t="n">
        <v>0.661689552620111</v>
      </c>
      <c r="O51" s="65" t="n">
        <v>2.02704732781273</v>
      </c>
      <c r="P51" s="65" t="n">
        <v>0.334907190080587</v>
      </c>
      <c r="Q51" s="65" t="n">
        <v>0.0752795106376229</v>
      </c>
      <c r="R51" s="65" t="n">
        <v>0.187196751850377</v>
      </c>
      <c r="S51" s="65" t="n">
        <v>0.0843940168975783</v>
      </c>
      <c r="T51" s="65" t="n">
        <v>6.35074058693742</v>
      </c>
      <c r="U51" s="65" t="n">
        <v>33.7077815798516</v>
      </c>
      <c r="V51" s="65" t="n">
        <v>0.62124643321529</v>
      </c>
      <c r="W51" s="65" t="n">
        <v>4.15244525967285</v>
      </c>
      <c r="X51" s="65" t="n">
        <v>32.1616268401932</v>
      </c>
      <c r="Y51" s="65" t="n">
        <v>0.0642047337863269</v>
      </c>
      <c r="Z51" s="65" t="n">
        <v>20.1245137287397</v>
      </c>
      <c r="AA51" s="65" t="n">
        <v>0.198517697956378</v>
      </c>
      <c r="AB51" s="65" t="n">
        <v>1.03193073746631</v>
      </c>
      <c r="AC51" s="65" t="n">
        <v>5.8320278712394</v>
      </c>
      <c r="AD51" s="65" t="n">
        <v>9.5628859431132</v>
      </c>
      <c r="AE51" s="65" t="n">
        <v>0.337456184888229</v>
      </c>
      <c r="AF51" s="65" t="n">
        <v>1.92064322719178</v>
      </c>
      <c r="AG51" s="65" t="n">
        <v>1.18725612985237</v>
      </c>
      <c r="AH51" s="65" t="n">
        <v>2.38678198430291</v>
      </c>
      <c r="AI51" s="65" t="n">
        <v>0.136728821390494</v>
      </c>
      <c r="AJ51" s="65" t="n">
        <v>1.47500754295165</v>
      </c>
      <c r="AK51" s="65" t="n">
        <v>0.68377142347523</v>
      </c>
      <c r="AL51" s="66" t="n">
        <v>133.688584185132</v>
      </c>
      <c r="AM51" s="66" t="n">
        <v>3.03962851818616</v>
      </c>
      <c r="AN51" s="66" t="n">
        <v>1.22766060402803E-006</v>
      </c>
      <c r="AO51" s="66" t="n">
        <v>39.2290197804502</v>
      </c>
      <c r="AP51" s="66" t="n">
        <v>20.6565219081433</v>
      </c>
      <c r="AQ51" s="67" t="n">
        <v>0</v>
      </c>
      <c r="AR51" s="52" t="n">
        <v>340.716434531066</v>
      </c>
    </row>
    <row r="52" customFormat="false" ht="12.75" hidden="false" customHeight="false" outlineLevel="0" collapsed="false">
      <c r="A52" s="53" t="n">
        <v>25</v>
      </c>
      <c r="B52" s="63" t="s">
        <v>129</v>
      </c>
      <c r="C52" s="64" t="s">
        <v>281</v>
      </c>
      <c r="D52" s="65" t="n">
        <v>0.0795456989044698</v>
      </c>
      <c r="E52" s="65" t="n">
        <v>0.0107032027013845</v>
      </c>
      <c r="F52" s="65" t="n">
        <v>0.713051422725591</v>
      </c>
      <c r="G52" s="65" t="n">
        <v>0.0238835685644973</v>
      </c>
      <c r="H52" s="65" t="n">
        <v>0.00254618078543944</v>
      </c>
      <c r="I52" s="65" t="n">
        <v>0.000125947292513498</v>
      </c>
      <c r="J52" s="65" t="n">
        <v>0.002902395000341</v>
      </c>
      <c r="K52" s="65" t="n">
        <v>0.0118970325753541</v>
      </c>
      <c r="L52" s="65" t="n">
        <v>0.005477387240719</v>
      </c>
      <c r="M52" s="65" t="n">
        <v>1.58751419414085</v>
      </c>
      <c r="N52" s="65" t="n">
        <v>5.87041122420049</v>
      </c>
      <c r="O52" s="65" t="n">
        <v>0.0115231655895719</v>
      </c>
      <c r="P52" s="65" t="n">
        <v>0.0376249415701359</v>
      </c>
      <c r="Q52" s="65" t="n">
        <v>0.00863605624095686</v>
      </c>
      <c r="R52" s="65" t="n">
        <v>0.0214333972108665</v>
      </c>
      <c r="S52" s="65" t="n">
        <v>0.00859446874867422</v>
      </c>
      <c r="T52" s="65" t="n">
        <v>0.570118279796606</v>
      </c>
      <c r="U52" s="65" t="n">
        <v>22.3080863545207</v>
      </c>
      <c r="V52" s="65" t="n">
        <v>0.000153165797055494</v>
      </c>
      <c r="W52" s="65" t="n">
        <v>0.92061669090218</v>
      </c>
      <c r="X52" s="65" t="n">
        <v>3.96598578992387</v>
      </c>
      <c r="Y52" s="65" t="n">
        <v>0.354981559746436</v>
      </c>
      <c r="Z52" s="65" t="n">
        <v>0.981934184816943</v>
      </c>
      <c r="AA52" s="65" t="n">
        <v>0.00873921705963855</v>
      </c>
      <c r="AB52" s="65" t="n">
        <v>0.0457402194537946</v>
      </c>
      <c r="AC52" s="65" t="n">
        <v>0.296967876236261</v>
      </c>
      <c r="AD52" s="65" t="n">
        <v>0.588636967363359</v>
      </c>
      <c r="AE52" s="65" t="n">
        <v>0.00174633528111617</v>
      </c>
      <c r="AF52" s="65" t="n">
        <v>0.642274420949608</v>
      </c>
      <c r="AG52" s="65" t="n">
        <v>0.409821281581019</v>
      </c>
      <c r="AH52" s="65" t="n">
        <v>0.0299974945985761</v>
      </c>
      <c r="AI52" s="65" t="n">
        <v>0.0551477478763893</v>
      </c>
      <c r="AJ52" s="65" t="n">
        <v>0.00639893867768704</v>
      </c>
      <c r="AK52" s="65" t="n">
        <v>0.0735592321552121</v>
      </c>
      <c r="AL52" s="66" t="n">
        <v>10.7293418652355</v>
      </c>
      <c r="AM52" s="66" t="n">
        <v>0.0116700615182843</v>
      </c>
      <c r="AN52" s="66" t="n">
        <v>1.26294740032228E-007</v>
      </c>
      <c r="AO52" s="66" t="n">
        <v>3.36594391441744</v>
      </c>
      <c r="AP52" s="66" t="n">
        <v>1.77068497850406</v>
      </c>
      <c r="AQ52" s="67" t="n">
        <v>0</v>
      </c>
      <c r="AR52" s="52" t="n">
        <v>55.5344169861983</v>
      </c>
    </row>
    <row r="53" customFormat="false" ht="12.75" hidden="false" customHeight="false" outlineLevel="0" collapsed="false">
      <c r="A53" s="53" t="n">
        <v>26</v>
      </c>
      <c r="B53" s="63" t="s">
        <v>131</v>
      </c>
      <c r="C53" s="64" t="s">
        <v>282</v>
      </c>
      <c r="D53" s="65" t="n">
        <v>0.27978904897897</v>
      </c>
      <c r="E53" s="65" t="n">
        <v>0.0330309726520256</v>
      </c>
      <c r="F53" s="65" t="n">
        <v>2.34072970577425</v>
      </c>
      <c r="G53" s="65" t="n">
        <v>0.0784598109783528</v>
      </c>
      <c r="H53" s="65" t="n">
        <v>0.00829180909596917</v>
      </c>
      <c r="I53" s="65" t="n">
        <v>0.000840857929423044</v>
      </c>
      <c r="J53" s="65" t="n">
        <v>0.00928711926661546</v>
      </c>
      <c r="K53" s="65" t="n">
        <v>0.0394752885475927</v>
      </c>
      <c r="L53" s="65" t="n">
        <v>0.0181161607017679</v>
      </c>
      <c r="M53" s="65" t="n">
        <v>4.35906709720505</v>
      </c>
      <c r="N53" s="65" t="n">
        <v>17.7415876146503</v>
      </c>
      <c r="O53" s="65" t="n">
        <v>0.0364974313515504</v>
      </c>
      <c r="P53" s="65" t="n">
        <v>0.11740981136849</v>
      </c>
      <c r="Q53" s="65" t="n">
        <v>0.0263692829343159</v>
      </c>
      <c r="R53" s="65" t="n">
        <v>0.0660285172662703</v>
      </c>
      <c r="S53" s="65" t="n">
        <v>0.0280988489446988</v>
      </c>
      <c r="T53" s="65" t="n">
        <v>1.73408786319292</v>
      </c>
      <c r="U53" s="65" t="n">
        <v>63.0025208745483</v>
      </c>
      <c r="V53" s="65" t="n">
        <v>0.000432619612932844</v>
      </c>
      <c r="W53" s="65" t="n">
        <v>2.85616346727515</v>
      </c>
      <c r="X53" s="65" t="n">
        <v>12.3473068868631</v>
      </c>
      <c r="Y53" s="65" t="n">
        <v>1.08884473366267</v>
      </c>
      <c r="Z53" s="65" t="n">
        <v>3.03509176932462</v>
      </c>
      <c r="AA53" s="65" t="n">
        <v>0.0267420964469311</v>
      </c>
      <c r="AB53" s="65" t="n">
        <v>0.13919813835913</v>
      </c>
      <c r="AC53" s="65" t="n">
        <v>0.918124786451796</v>
      </c>
      <c r="AD53" s="65" t="n">
        <v>1.90158628339812</v>
      </c>
      <c r="AE53" s="65" t="n">
        <v>0.00560904598185139</v>
      </c>
      <c r="AF53" s="65" t="n">
        <v>2.09104920032445</v>
      </c>
      <c r="AG53" s="65" t="n">
        <v>1.31104652914819</v>
      </c>
      <c r="AH53" s="65" t="n">
        <v>0.0897561712010503</v>
      </c>
      <c r="AI53" s="65" t="n">
        <v>0.155115416276887</v>
      </c>
      <c r="AJ53" s="65" t="n">
        <v>0.0183828756194371</v>
      </c>
      <c r="AK53" s="65" t="n">
        <v>0.22216738785138</v>
      </c>
      <c r="AL53" s="66" t="n">
        <v>36.2527706991796</v>
      </c>
      <c r="AM53" s="66" t="n">
        <v>0.0393779687526738</v>
      </c>
      <c r="AN53" s="66" t="n">
        <v>3.22519123817992E-008</v>
      </c>
      <c r="AO53" s="66" t="n">
        <v>11.8005410950003</v>
      </c>
      <c r="AP53" s="66" t="n">
        <v>6.24913847249343</v>
      </c>
      <c r="AQ53" s="67" t="n">
        <v>0</v>
      </c>
      <c r="AR53" s="52" t="n">
        <v>170.468133790862</v>
      </c>
    </row>
    <row r="54" customFormat="false" ht="12.75" hidden="false" customHeight="false" outlineLevel="0" collapsed="false">
      <c r="A54" s="53" t="s">
        <v>193</v>
      </c>
      <c r="B54" s="63" t="s">
        <v>133</v>
      </c>
      <c r="C54" s="64" t="s">
        <v>283</v>
      </c>
      <c r="D54" s="65" t="n">
        <v>4.36489030665589</v>
      </c>
      <c r="E54" s="65" t="n">
        <v>0.776121543863318</v>
      </c>
      <c r="F54" s="65" t="n">
        <v>1.02854976492562</v>
      </c>
      <c r="G54" s="65" t="n">
        <v>0.566026284855322</v>
      </c>
      <c r="H54" s="65" t="n">
        <v>0.0592053349104693</v>
      </c>
      <c r="I54" s="65" t="n">
        <v>0.0092994478319609</v>
      </c>
      <c r="J54" s="65" t="n">
        <v>0.180925828621543</v>
      </c>
      <c r="K54" s="65" t="n">
        <v>0.222087066903559</v>
      </c>
      <c r="L54" s="65" t="n">
        <v>0.11889628496804</v>
      </c>
      <c r="M54" s="65" t="n">
        <v>0.988694555430586</v>
      </c>
      <c r="N54" s="65" t="n">
        <v>3.65766664548575</v>
      </c>
      <c r="O54" s="65" t="n">
        <v>211.305760233044</v>
      </c>
      <c r="P54" s="65" t="n">
        <v>0.868720091834894</v>
      </c>
      <c r="Q54" s="65" t="n">
        <v>0.198730388920806</v>
      </c>
      <c r="R54" s="65" t="n">
        <v>0.501330631206721</v>
      </c>
      <c r="S54" s="65" t="n">
        <v>0.428211709183685</v>
      </c>
      <c r="T54" s="65" t="n">
        <v>3.436111865889</v>
      </c>
      <c r="U54" s="65" t="n">
        <v>39.7345762444821</v>
      </c>
      <c r="V54" s="65" t="n">
        <v>0.053505113769705</v>
      </c>
      <c r="W54" s="65" t="n">
        <v>0.484475829747396</v>
      </c>
      <c r="X54" s="65" t="n">
        <v>1.30859594635906</v>
      </c>
      <c r="Y54" s="65" t="n">
        <v>0.156545091689716</v>
      </c>
      <c r="Z54" s="65" t="n">
        <v>0.352391297401141</v>
      </c>
      <c r="AA54" s="65" t="n">
        <v>0.00288963520997201</v>
      </c>
      <c r="AB54" s="65" t="n">
        <v>0.0155221909404091</v>
      </c>
      <c r="AC54" s="65" t="n">
        <v>0.106029471956987</v>
      </c>
      <c r="AD54" s="65" t="n">
        <v>0.704046737869311</v>
      </c>
      <c r="AE54" s="65" t="n">
        <v>0.0111746909177177</v>
      </c>
      <c r="AF54" s="65" t="n">
        <v>0.184370701179313</v>
      </c>
      <c r="AG54" s="65" t="n">
        <v>0.142420104796912</v>
      </c>
      <c r="AH54" s="65" t="n">
        <v>0.0240822809713603</v>
      </c>
      <c r="AI54" s="65" t="n">
        <v>0.116758055433235</v>
      </c>
      <c r="AJ54" s="65" t="n">
        <v>0.0402567869243229</v>
      </c>
      <c r="AK54" s="65" t="n">
        <v>0.573116353108337</v>
      </c>
      <c r="AL54" s="66" t="n">
        <v>13.9204497165438</v>
      </c>
      <c r="AM54" s="66" t="n">
        <v>0.0115848029917367</v>
      </c>
      <c r="AN54" s="66" t="n">
        <v>0.000861532398812647</v>
      </c>
      <c r="AO54" s="66" t="n">
        <v>0.336414602972786</v>
      </c>
      <c r="AP54" s="66" t="n">
        <v>12.547579412086</v>
      </c>
      <c r="AQ54" s="67" t="n">
        <v>0</v>
      </c>
      <c r="AR54" s="52" t="n">
        <v>299.538874584281</v>
      </c>
    </row>
    <row r="55" customFormat="false" ht="12.75" hidden="false" customHeight="false" outlineLevel="0" collapsed="false">
      <c r="A55" s="53" t="n">
        <v>29</v>
      </c>
      <c r="B55" s="63" t="s">
        <v>135</v>
      </c>
      <c r="C55" s="64" t="s">
        <v>284</v>
      </c>
      <c r="D55" s="65" t="n">
        <v>57.2693194296929</v>
      </c>
      <c r="E55" s="65" t="n">
        <v>2.85005532599312</v>
      </c>
      <c r="F55" s="65" t="n">
        <v>3.74718664015852</v>
      </c>
      <c r="G55" s="65" t="n">
        <v>0.352374917594366</v>
      </c>
      <c r="H55" s="65" t="n">
        <v>0.0373783038890137</v>
      </c>
      <c r="I55" s="65" t="n">
        <v>0.0259503760886591</v>
      </c>
      <c r="J55" s="65" t="n">
        <v>0.595006549294281</v>
      </c>
      <c r="K55" s="65" t="n">
        <v>0.71187969070517</v>
      </c>
      <c r="L55" s="65" t="n">
        <v>0.328229028973029</v>
      </c>
      <c r="M55" s="65" t="n">
        <v>1.60593139228255</v>
      </c>
      <c r="N55" s="65" t="n">
        <v>5.93997531731955</v>
      </c>
      <c r="O55" s="65" t="n">
        <v>5.02350268921762</v>
      </c>
      <c r="P55" s="65" t="n">
        <v>2.80225005997758</v>
      </c>
      <c r="Q55" s="65" t="n">
        <v>0.62683279243861</v>
      </c>
      <c r="R55" s="65" t="n">
        <v>1.60100256793055</v>
      </c>
      <c r="S55" s="65" t="n">
        <v>0.491333078775221</v>
      </c>
      <c r="T55" s="65" t="n">
        <v>27.3270546067727</v>
      </c>
      <c r="U55" s="65" t="n">
        <v>88.9484230889433</v>
      </c>
      <c r="V55" s="65" t="n">
        <v>0.259953207282715</v>
      </c>
      <c r="W55" s="65" t="n">
        <v>8.32069847707123</v>
      </c>
      <c r="X55" s="65" t="n">
        <v>43.6467906209569</v>
      </c>
      <c r="Y55" s="65" t="n">
        <v>8.06537382502484</v>
      </c>
      <c r="Z55" s="65" t="n">
        <v>35.6860760055771</v>
      </c>
      <c r="AA55" s="65" t="n">
        <v>0.357563229700653</v>
      </c>
      <c r="AB55" s="65" t="n">
        <v>1.86985086576684</v>
      </c>
      <c r="AC55" s="65" t="n">
        <v>10.3606160926683</v>
      </c>
      <c r="AD55" s="65" t="n">
        <v>54.7217485320075</v>
      </c>
      <c r="AE55" s="65" t="n">
        <v>0.940814104580455</v>
      </c>
      <c r="AF55" s="65" t="n">
        <v>4.861174783633</v>
      </c>
      <c r="AG55" s="65" t="n">
        <v>3.68527057118379</v>
      </c>
      <c r="AH55" s="65" t="n">
        <v>7.63551054930763</v>
      </c>
      <c r="AI55" s="65" t="n">
        <v>4.23289891253047</v>
      </c>
      <c r="AJ55" s="65" t="n">
        <v>2.31483659345947</v>
      </c>
      <c r="AK55" s="65" t="n">
        <v>10.1181020504902</v>
      </c>
      <c r="AL55" s="66" t="n">
        <v>253.400047105913</v>
      </c>
      <c r="AM55" s="66" t="n">
        <v>0.914470231323418</v>
      </c>
      <c r="AN55" s="66" t="n">
        <v>0.0144330520527141</v>
      </c>
      <c r="AO55" s="66" t="n">
        <v>2.95512994270135</v>
      </c>
      <c r="AP55" s="66" t="n">
        <v>1.15892250360003</v>
      </c>
      <c r="AQ55" s="67" t="n">
        <v>0</v>
      </c>
      <c r="AR55" s="52" t="n">
        <v>655.803967112878</v>
      </c>
    </row>
    <row r="56" customFormat="false" ht="12.75" hidden="false" customHeight="false" outlineLevel="0" collapsed="false">
      <c r="A56" s="53" t="s">
        <v>194</v>
      </c>
      <c r="B56" s="63" t="s">
        <v>137</v>
      </c>
      <c r="C56" s="64" t="s">
        <v>285</v>
      </c>
      <c r="D56" s="65" t="n">
        <v>13.679419056616</v>
      </c>
      <c r="E56" s="65" t="n">
        <v>0.679650163098826</v>
      </c>
      <c r="F56" s="65" t="n">
        <v>0.891777662940355</v>
      </c>
      <c r="G56" s="65" t="n">
        <v>0.0839950726984088</v>
      </c>
      <c r="H56" s="65" t="n">
        <v>0.00890359989631467</v>
      </c>
      <c r="I56" s="65" t="n">
        <v>0.00606354779668878</v>
      </c>
      <c r="J56" s="65" t="n">
        <v>0.142200794780092</v>
      </c>
      <c r="K56" s="65" t="n">
        <v>0.170245993850155</v>
      </c>
      <c r="L56" s="65" t="n">
        <v>0.0779482052520019</v>
      </c>
      <c r="M56" s="65" t="n">
        <v>0.383081939650694</v>
      </c>
      <c r="N56" s="65" t="n">
        <v>1.41695689230218</v>
      </c>
      <c r="O56" s="65" t="n">
        <v>1.20082324277235</v>
      </c>
      <c r="P56" s="65" t="n">
        <v>0.667934717462751</v>
      </c>
      <c r="Q56" s="65" t="n">
        <v>0.150016545382957</v>
      </c>
      <c r="R56" s="65" t="n">
        <v>0.381729613778248</v>
      </c>
      <c r="S56" s="65" t="n">
        <v>0.117694304034703</v>
      </c>
      <c r="T56" s="65" t="n">
        <v>7.13543661374594</v>
      </c>
      <c r="U56" s="65" t="n">
        <v>21.1768342268787</v>
      </c>
      <c r="V56" s="65" t="n">
        <v>0.0618469716878702</v>
      </c>
      <c r="W56" s="65" t="n">
        <v>1.97808164364554</v>
      </c>
      <c r="X56" s="65" t="n">
        <v>10.3721334714252</v>
      </c>
      <c r="Y56" s="65" t="n">
        <v>1.9206506946344</v>
      </c>
      <c r="Z56" s="65" t="n">
        <v>9.52735123602205</v>
      </c>
      <c r="AA56" s="65" t="n">
        <v>0.0852470557837108</v>
      </c>
      <c r="AB56" s="65" t="n">
        <v>0.446234132609396</v>
      </c>
      <c r="AC56" s="65" t="n">
        <v>2.88370737894453</v>
      </c>
      <c r="AD56" s="65" t="n">
        <v>13.9621281660532</v>
      </c>
      <c r="AE56" s="65" t="n">
        <v>0.227604765525208</v>
      </c>
      <c r="AF56" s="65" t="n">
        <v>1.17460022826707</v>
      </c>
      <c r="AG56" s="65" t="n">
        <v>0.878846766907507</v>
      </c>
      <c r="AH56" s="65" t="n">
        <v>1.84401914113438</v>
      </c>
      <c r="AI56" s="65" t="n">
        <v>1.02100025634388</v>
      </c>
      <c r="AJ56" s="65" t="n">
        <v>0.554838768191326</v>
      </c>
      <c r="AK56" s="65" t="n">
        <v>2.41997293614213</v>
      </c>
      <c r="AL56" s="66" t="n">
        <v>61.8499382560503</v>
      </c>
      <c r="AM56" s="66" t="n">
        <v>0.219495770565134</v>
      </c>
      <c r="AN56" s="66" t="n">
        <v>2.11100291381104E-005</v>
      </c>
      <c r="AO56" s="66" t="n">
        <v>0.841908523479912</v>
      </c>
      <c r="AP56" s="66" t="n">
        <v>0.291525943249794</v>
      </c>
      <c r="AQ56" s="67" t="n">
        <v>0</v>
      </c>
      <c r="AR56" s="52" t="n">
        <v>160.931865409629</v>
      </c>
    </row>
    <row r="57" customFormat="false" ht="12.75" hidden="false" customHeight="false" outlineLevel="0" collapsed="false">
      <c r="A57" s="53" t="s">
        <v>195</v>
      </c>
      <c r="B57" s="63" t="s">
        <v>139</v>
      </c>
      <c r="C57" s="64" t="s">
        <v>286</v>
      </c>
      <c r="D57" s="65" t="n">
        <v>34.4298208761422</v>
      </c>
      <c r="E57" s="65" t="n">
        <v>1.7548005258793</v>
      </c>
      <c r="F57" s="65" t="n">
        <v>2.13008643222722</v>
      </c>
      <c r="G57" s="65" t="n">
        <v>0.237110663790989</v>
      </c>
      <c r="H57" s="65" t="n">
        <v>0.0251510584987711</v>
      </c>
      <c r="I57" s="65" t="n">
        <v>0.0144850586745236</v>
      </c>
      <c r="J57" s="65" t="n">
        <v>0.400391794740034</v>
      </c>
      <c r="K57" s="65" t="n">
        <v>0.479162659876057</v>
      </c>
      <c r="L57" s="65" t="n">
        <v>0.21896871096847</v>
      </c>
      <c r="M57" s="65" t="n">
        <v>1.01018609827868</v>
      </c>
      <c r="N57" s="65" t="n">
        <v>3.73705496559484</v>
      </c>
      <c r="O57" s="65" t="n">
        <v>2.88255386535999</v>
      </c>
      <c r="P57" s="65" t="n">
        <v>1.64385968591483</v>
      </c>
      <c r="Q57" s="65" t="n">
        <v>0.368763842936952</v>
      </c>
      <c r="R57" s="65" t="n">
        <v>0.947890835853257</v>
      </c>
      <c r="S57" s="65" t="n">
        <v>0.312414086486493</v>
      </c>
      <c r="T57" s="65" t="n">
        <v>17.8978115625487</v>
      </c>
      <c r="U57" s="65" t="n">
        <v>53.2002804016359</v>
      </c>
      <c r="V57" s="65" t="n">
        <v>0.156220921522932</v>
      </c>
      <c r="W57" s="65" t="n">
        <v>5.03708322969961</v>
      </c>
      <c r="X57" s="65" t="n">
        <v>26.3583615589815</v>
      </c>
      <c r="Y57" s="65" t="n">
        <v>5.02824660444652</v>
      </c>
      <c r="Z57" s="65" t="n">
        <v>24.300635265617</v>
      </c>
      <c r="AA57" s="65" t="n">
        <v>0.211415571116155</v>
      </c>
      <c r="AB57" s="65" t="n">
        <v>1.10694626160124</v>
      </c>
      <c r="AC57" s="65" t="n">
        <v>7.3510419029905</v>
      </c>
      <c r="AD57" s="65" t="n">
        <v>31.767906565484</v>
      </c>
      <c r="AE57" s="65" t="n">
        <v>0.581269232874282</v>
      </c>
      <c r="AF57" s="65" t="n">
        <v>2.84210907445592</v>
      </c>
      <c r="AG57" s="65" t="n">
        <v>2.21623578712848</v>
      </c>
      <c r="AH57" s="65" t="n">
        <v>4.88352469886642</v>
      </c>
      <c r="AI57" s="65" t="n">
        <v>2.35170802562435</v>
      </c>
      <c r="AJ57" s="65" t="n">
        <v>1.26100090359727</v>
      </c>
      <c r="AK57" s="65" t="n">
        <v>5.93371321977209</v>
      </c>
      <c r="AL57" s="66" t="n">
        <v>192.655818735609</v>
      </c>
      <c r="AM57" s="66" t="n">
        <v>0.902939618971246</v>
      </c>
      <c r="AN57" s="66" t="n">
        <v>0.0174323658088373</v>
      </c>
      <c r="AO57" s="66" t="n">
        <v>2.84276439514014</v>
      </c>
      <c r="AP57" s="66" t="n">
        <v>0.557018238266372</v>
      </c>
      <c r="AQ57" s="67" t="n">
        <v>0</v>
      </c>
      <c r="AR57" s="52" t="n">
        <v>440.054185302981</v>
      </c>
    </row>
    <row r="58" customFormat="false" ht="12.75" hidden="false" customHeight="false" outlineLevel="0" collapsed="false">
      <c r="A58" s="53" t="s">
        <v>196</v>
      </c>
      <c r="B58" s="63" t="s">
        <v>141</v>
      </c>
      <c r="C58" s="64" t="s">
        <v>287</v>
      </c>
      <c r="D58" s="65" t="n">
        <v>0.00474611826201801</v>
      </c>
      <c r="E58" s="65" t="n">
        <v>0.0259650788196589</v>
      </c>
      <c r="F58" s="65" t="n">
        <v>0.834330391906134</v>
      </c>
      <c r="G58" s="65" t="n">
        <v>8.38087054550697</v>
      </c>
      <c r="H58" s="65" t="n">
        <v>0.956233705227801</v>
      </c>
      <c r="I58" s="65" t="n">
        <v>0.000383828916953686</v>
      </c>
      <c r="J58" s="65" t="n">
        <v>0.128456866381118</v>
      </c>
      <c r="K58" s="65" t="n">
        <v>0.00691663402842479</v>
      </c>
      <c r="L58" s="65" t="n">
        <v>1.64985262586143E-005</v>
      </c>
      <c r="M58" s="65" t="n">
        <v>0.170275534688145</v>
      </c>
      <c r="N58" s="65" t="n">
        <v>0.630091170032198</v>
      </c>
      <c r="O58" s="65" t="n">
        <v>0.0889902370847248</v>
      </c>
      <c r="P58" s="65" t="n">
        <v>0.0477544326433586</v>
      </c>
      <c r="Q58" s="65" t="n">
        <v>0.0106641417934737</v>
      </c>
      <c r="R58" s="65" t="n">
        <v>0.0277605356195869</v>
      </c>
      <c r="S58" s="65" t="n">
        <v>1.84949980465822</v>
      </c>
      <c r="T58" s="65" t="n">
        <v>0.103903276952604</v>
      </c>
      <c r="U58" s="65" t="n">
        <v>9.45060128460553</v>
      </c>
      <c r="V58" s="65" t="n">
        <v>0.0335283037472114</v>
      </c>
      <c r="W58" s="65" t="n">
        <v>0.828958670198217</v>
      </c>
      <c r="X58" s="65" t="n">
        <v>1.55716759397908</v>
      </c>
      <c r="Y58" s="65" t="n">
        <v>1.25076127299116</v>
      </c>
      <c r="Z58" s="65" t="n">
        <v>1.25054154417659</v>
      </c>
      <c r="AA58" s="65" t="n">
        <v>0.00880673707875032</v>
      </c>
      <c r="AB58" s="65" t="n">
        <v>0.0428932829743099</v>
      </c>
      <c r="AC58" s="65" t="n">
        <v>0.376671328084599</v>
      </c>
      <c r="AD58" s="65" t="n">
        <v>0.823889769082134</v>
      </c>
      <c r="AE58" s="65" t="n">
        <v>0.0883494505985675</v>
      </c>
      <c r="AF58" s="65" t="n">
        <v>0.272939564482845</v>
      </c>
      <c r="AG58" s="65" t="n">
        <v>0.227934213685504</v>
      </c>
      <c r="AH58" s="65" t="n">
        <v>0.158576326065701</v>
      </c>
      <c r="AI58" s="65" t="n">
        <v>0.621033161359153</v>
      </c>
      <c r="AJ58" s="65" t="n">
        <v>0.0545597333913445</v>
      </c>
      <c r="AK58" s="65" t="n">
        <v>4.35928749932745</v>
      </c>
      <c r="AL58" s="66" t="n">
        <v>27.6334947592839</v>
      </c>
      <c r="AM58" s="66" t="n">
        <v>0.142554195016332</v>
      </c>
      <c r="AN58" s="66" t="n">
        <v>0.000386308552781686</v>
      </c>
      <c r="AO58" s="66" t="n">
        <v>2.30657156452727</v>
      </c>
      <c r="AP58" s="66" t="n">
        <v>15.2752068131789</v>
      </c>
      <c r="AQ58" s="67" t="n">
        <v>0</v>
      </c>
      <c r="AR58" s="52" t="n">
        <v>80.031572177435</v>
      </c>
    </row>
    <row r="59" customFormat="false" ht="12.75" hidden="false" customHeight="false" outlineLevel="0" collapsed="false">
      <c r="A59" s="53" t="s">
        <v>197</v>
      </c>
      <c r="B59" s="63" t="s">
        <v>143</v>
      </c>
      <c r="C59" s="64" t="s">
        <v>288</v>
      </c>
      <c r="D59" s="65" t="n">
        <v>0.150683009482008</v>
      </c>
      <c r="E59" s="65" t="n">
        <v>0.480380932319871</v>
      </c>
      <c r="F59" s="65" t="n">
        <v>1.61275465937471</v>
      </c>
      <c r="G59" s="65" t="n">
        <v>0.378164177299005</v>
      </c>
      <c r="H59" s="65" t="n">
        <v>0.0428055701540616</v>
      </c>
      <c r="I59" s="65" t="n">
        <v>0.0192323778708953</v>
      </c>
      <c r="J59" s="65" t="n">
        <v>0.56874325264028</v>
      </c>
      <c r="K59" s="65" t="n">
        <v>0.625823673860292</v>
      </c>
      <c r="L59" s="65" t="n">
        <v>0.284219698233199</v>
      </c>
      <c r="M59" s="65" t="n">
        <v>0.344721507346527</v>
      </c>
      <c r="N59" s="65" t="n">
        <v>1.27968919491621</v>
      </c>
      <c r="O59" s="65" t="n">
        <v>0.643801753770129</v>
      </c>
      <c r="P59" s="65" t="n">
        <v>0.44413377408013</v>
      </c>
      <c r="Q59" s="65" t="n">
        <v>0.098573325898577</v>
      </c>
      <c r="R59" s="65" t="n">
        <v>0.261234162122618</v>
      </c>
      <c r="S59" s="65" t="n">
        <v>0.0891449648811209</v>
      </c>
      <c r="T59" s="65" t="n">
        <v>2.3076326147529</v>
      </c>
      <c r="U59" s="65" t="n">
        <v>4.11476319932796</v>
      </c>
      <c r="V59" s="65" t="n">
        <v>0.0291814274191126</v>
      </c>
      <c r="W59" s="65" t="n">
        <v>0.698254905428897</v>
      </c>
      <c r="X59" s="65" t="n">
        <v>1.60584101920759</v>
      </c>
      <c r="Y59" s="65" t="n">
        <v>1.91287033295798</v>
      </c>
      <c r="Z59" s="65" t="n">
        <v>0.470739236146311</v>
      </c>
      <c r="AA59" s="65" t="n">
        <v>0.00287354992733435</v>
      </c>
      <c r="AB59" s="65" t="n">
        <v>0.0167903867729744</v>
      </c>
      <c r="AC59" s="65" t="n">
        <v>0.142340276552293</v>
      </c>
      <c r="AD59" s="65" t="n">
        <v>0.417270902926535</v>
      </c>
      <c r="AE59" s="65" t="n">
        <v>0.881108888867513</v>
      </c>
      <c r="AF59" s="65" t="n">
        <v>0.479711043486729</v>
      </c>
      <c r="AG59" s="65" t="n">
        <v>0.460373619750002</v>
      </c>
      <c r="AH59" s="65" t="n">
        <v>1.68527456576626</v>
      </c>
      <c r="AI59" s="65" t="n">
        <v>2.45411819434952</v>
      </c>
      <c r="AJ59" s="65" t="n">
        <v>2.1868463269865</v>
      </c>
      <c r="AK59" s="65" t="n">
        <v>0.751663388463979</v>
      </c>
      <c r="AL59" s="66" t="n">
        <v>13.5185127954941</v>
      </c>
      <c r="AM59" s="66" t="n">
        <v>0.0251264386158221</v>
      </c>
      <c r="AN59" s="66" t="n">
        <v>0.231053945734134</v>
      </c>
      <c r="AO59" s="66" t="n">
        <v>13.2245557207853</v>
      </c>
      <c r="AP59" s="66" t="n">
        <v>-0.696621355445724</v>
      </c>
      <c r="AQ59" s="67" t="n">
        <v>0</v>
      </c>
      <c r="AR59" s="52" t="n">
        <v>54.2443874585237</v>
      </c>
    </row>
    <row r="60" customFormat="false" ht="12.75" hidden="false" customHeight="false" outlineLevel="0" collapsed="false">
      <c r="A60" s="53" t="s">
        <v>198</v>
      </c>
      <c r="B60" s="63" t="s">
        <v>145</v>
      </c>
      <c r="C60" s="64" t="s">
        <v>289</v>
      </c>
      <c r="D60" s="65" t="n">
        <v>0.0361820688826834</v>
      </c>
      <c r="E60" s="65" t="n">
        <v>0.012867581677386</v>
      </c>
      <c r="F60" s="65" t="n">
        <v>0.0257547642508908</v>
      </c>
      <c r="G60" s="65" t="n">
        <v>0.0201647684465711</v>
      </c>
      <c r="H60" s="65" t="n">
        <v>0.00331010505864104</v>
      </c>
      <c r="I60" s="65" t="n">
        <v>0.00151980764000941</v>
      </c>
      <c r="J60" s="65" t="n">
        <v>0.00416220012883293</v>
      </c>
      <c r="K60" s="65" t="n">
        <v>0.00520582341098003</v>
      </c>
      <c r="L60" s="65" t="n">
        <v>0.000963587334911487</v>
      </c>
      <c r="M60" s="65" t="n">
        <v>0.00271952415089849</v>
      </c>
      <c r="N60" s="65" t="n">
        <v>0.0177428704213862</v>
      </c>
      <c r="O60" s="65" t="n">
        <v>0.00795199530128327</v>
      </c>
      <c r="P60" s="65" t="n">
        <v>0.00395504836755734</v>
      </c>
      <c r="Q60" s="65" t="n">
        <v>0.000807169774325308</v>
      </c>
      <c r="R60" s="65" t="n">
        <v>0.00238974836875622</v>
      </c>
      <c r="S60" s="65" t="n">
        <v>0.00262592353231569</v>
      </c>
      <c r="T60" s="65" t="n">
        <v>0.0102762654527722</v>
      </c>
      <c r="U60" s="65" t="n">
        <v>0.942576876206191</v>
      </c>
      <c r="V60" s="65" t="n">
        <v>0.000112931597055332</v>
      </c>
      <c r="W60" s="65" t="n">
        <v>0.0193579499754652</v>
      </c>
      <c r="X60" s="65" t="n">
        <v>0.0956240052236582</v>
      </c>
      <c r="Y60" s="65" t="n">
        <v>0.0103508569645517</v>
      </c>
      <c r="Z60" s="65" t="n">
        <v>0.011480835340304</v>
      </c>
      <c r="AA60" s="65" t="n">
        <v>3.32869525253496E-005</v>
      </c>
      <c r="AB60" s="65" t="n">
        <v>0.00101341133289064</v>
      </c>
      <c r="AC60" s="65" t="n">
        <v>0.00322818561270172</v>
      </c>
      <c r="AD60" s="65" t="n">
        <v>0.00290369217268434</v>
      </c>
      <c r="AE60" s="65" t="n">
        <v>0.00421894973712993</v>
      </c>
      <c r="AF60" s="65" t="n">
        <v>0.0231277206691071</v>
      </c>
      <c r="AG60" s="65" t="n">
        <v>0.0316951171227655</v>
      </c>
      <c r="AH60" s="65" t="n">
        <v>0.00227553857239505</v>
      </c>
      <c r="AI60" s="65" t="n">
        <v>0.0500098195102373</v>
      </c>
      <c r="AJ60" s="65" t="n">
        <v>0.00412151976536435</v>
      </c>
      <c r="AK60" s="65" t="n">
        <v>0.0160014050548511</v>
      </c>
      <c r="AL60" s="66" t="n">
        <v>0.00385449219297559</v>
      </c>
      <c r="AM60" s="66" t="n">
        <v>0.00326429950004274</v>
      </c>
      <c r="AN60" s="66" t="n">
        <v>0.00372898954757</v>
      </c>
      <c r="AO60" s="66" t="n">
        <v>3.15363976595046</v>
      </c>
      <c r="AP60" s="66" t="n">
        <v>0.11911723443934</v>
      </c>
      <c r="AQ60" s="67" t="n">
        <v>0</v>
      </c>
      <c r="AR60" s="52" t="n">
        <v>4.66033613564047</v>
      </c>
    </row>
    <row r="61" customFormat="false" ht="12.75" hidden="false" customHeight="false" outlineLevel="0" collapsed="false">
      <c r="A61" s="53" t="n">
        <v>50</v>
      </c>
      <c r="B61" s="63" t="s">
        <v>147</v>
      </c>
      <c r="C61" s="64" t="s">
        <v>290</v>
      </c>
      <c r="D61" s="65" t="n">
        <v>0.110565693649212</v>
      </c>
      <c r="E61" s="65" t="n">
        <v>0.0377495394015352</v>
      </c>
      <c r="F61" s="65" t="n">
        <v>0.0643549410456516</v>
      </c>
      <c r="G61" s="65" t="n">
        <v>0.058517103918685</v>
      </c>
      <c r="H61" s="65" t="n">
        <v>0.00761585993015322</v>
      </c>
      <c r="I61" s="65" t="n">
        <v>0.00591973655345113</v>
      </c>
      <c r="J61" s="65" t="n">
        <v>0.00656347656032643</v>
      </c>
      <c r="K61" s="65" t="n">
        <v>0.0159102248992813</v>
      </c>
      <c r="L61" s="65" t="n">
        <v>0.00753768228508441</v>
      </c>
      <c r="M61" s="65" t="n">
        <v>0.0064321928748883</v>
      </c>
      <c r="N61" s="65" t="n">
        <v>0.0197166898686343</v>
      </c>
      <c r="O61" s="65" t="n">
        <v>0.0186406141143533</v>
      </c>
      <c r="P61" s="65" t="n">
        <v>0.00744552575263732</v>
      </c>
      <c r="Q61" s="65" t="n">
        <v>0.0056298927219772</v>
      </c>
      <c r="R61" s="65" t="n">
        <v>0.00668577509459745</v>
      </c>
      <c r="S61" s="65" t="n">
        <v>0.00688273245689357</v>
      </c>
      <c r="T61" s="65" t="n">
        <v>0.0269925445431686</v>
      </c>
      <c r="U61" s="65" t="n">
        <v>0.0191889948552642</v>
      </c>
      <c r="V61" s="65" t="n">
        <v>0.00034690193174652</v>
      </c>
      <c r="W61" s="65" t="n">
        <v>0.00847389455244977</v>
      </c>
      <c r="X61" s="65" t="n">
        <v>0.00735274480635415</v>
      </c>
      <c r="Y61" s="65" t="n">
        <v>0.00723018241685346</v>
      </c>
      <c r="Z61" s="65" t="n">
        <v>0.0184626285169105</v>
      </c>
      <c r="AA61" s="65" t="n">
        <v>4.37120064281822E-006</v>
      </c>
      <c r="AB61" s="65" t="n">
        <v>0.00293212283021542</v>
      </c>
      <c r="AC61" s="65" t="n">
        <v>0.0041881242403841</v>
      </c>
      <c r="AD61" s="65" t="n">
        <v>0.00628643008728117</v>
      </c>
      <c r="AE61" s="65" t="n">
        <v>0.00808087966152052</v>
      </c>
      <c r="AF61" s="65" t="n">
        <v>0.00354309253968397</v>
      </c>
      <c r="AG61" s="65" t="n">
        <v>0.0314466994506379</v>
      </c>
      <c r="AH61" s="65" t="n">
        <v>0.00635424783286727</v>
      </c>
      <c r="AI61" s="65" t="n">
        <v>0.00913480209659743</v>
      </c>
      <c r="AJ61" s="65" t="n">
        <v>0.0109438618539384</v>
      </c>
      <c r="AK61" s="65" t="n">
        <v>0.00662719424384106</v>
      </c>
      <c r="AL61" s="66" t="n">
        <v>0.00972927279918195</v>
      </c>
      <c r="AM61" s="66" t="n">
        <v>0.00971700882456832</v>
      </c>
      <c r="AN61" s="66" t="n">
        <v>0.00825321096568331</v>
      </c>
      <c r="AO61" s="66" t="n">
        <v>0.0114860449129748</v>
      </c>
      <c r="AP61" s="66" t="n">
        <v>0.00800802229758339</v>
      </c>
      <c r="AQ61" s="67" t="n">
        <v>0</v>
      </c>
      <c r="AR61" s="52" t="n">
        <v>0.610950958587711</v>
      </c>
    </row>
    <row r="62" customFormat="false" ht="12.75" hidden="false" customHeight="false" outlineLevel="0" collapsed="false">
      <c r="A62" s="53" t="n">
        <v>51</v>
      </c>
      <c r="B62" s="63" t="s">
        <v>149</v>
      </c>
      <c r="C62" s="64" t="s">
        <v>291</v>
      </c>
      <c r="D62" s="65" t="n">
        <v>0.224011378859234</v>
      </c>
      <c r="E62" s="65" t="n">
        <v>0.0734300563577356</v>
      </c>
      <c r="F62" s="65" t="n">
        <v>0.231207408137542</v>
      </c>
      <c r="G62" s="65" t="n">
        <v>0.121817873436967</v>
      </c>
      <c r="H62" s="65" t="n">
        <v>0.0146115228430303</v>
      </c>
      <c r="I62" s="65" t="n">
        <v>0.0121707820727943</v>
      </c>
      <c r="J62" s="65" t="n">
        <v>0.0125431384557585</v>
      </c>
      <c r="K62" s="65" t="n">
        <v>0.0317730071739622</v>
      </c>
      <c r="L62" s="65" t="n">
        <v>0.0144829048456634</v>
      </c>
      <c r="M62" s="65" t="n">
        <v>0.0124577956336415</v>
      </c>
      <c r="N62" s="65" t="n">
        <v>0.038614350613854</v>
      </c>
      <c r="O62" s="65" t="n">
        <v>0.0585637766758158</v>
      </c>
      <c r="P62" s="65" t="n">
        <v>0.0156711944061889</v>
      </c>
      <c r="Q62" s="65" t="n">
        <v>0.0124319600737923</v>
      </c>
      <c r="R62" s="65" t="n">
        <v>0.0142112310939088</v>
      </c>
      <c r="S62" s="65" t="n">
        <v>0.0140896449419596</v>
      </c>
      <c r="T62" s="65" t="n">
        <v>0.0592918843980939</v>
      </c>
      <c r="U62" s="65" t="n">
        <v>0.0639537223588917</v>
      </c>
      <c r="V62" s="65" t="n">
        <v>0.0130665246048171</v>
      </c>
      <c r="W62" s="65" t="n">
        <v>1.33488396197888</v>
      </c>
      <c r="X62" s="65" t="n">
        <v>0.132295918571271</v>
      </c>
      <c r="Y62" s="65" t="n">
        <v>0.0402240604591108</v>
      </c>
      <c r="Z62" s="65" t="n">
        <v>0.287041758107547</v>
      </c>
      <c r="AA62" s="65" t="n">
        <v>0.0620326014073035</v>
      </c>
      <c r="AB62" s="65" t="n">
        <v>0.902776556157439</v>
      </c>
      <c r="AC62" s="65" t="n">
        <v>0.0211542334827511</v>
      </c>
      <c r="AD62" s="65" t="n">
        <v>0.19079753496175</v>
      </c>
      <c r="AE62" s="65" t="n">
        <v>0.229975178310097</v>
      </c>
      <c r="AF62" s="65" t="n">
        <v>0.0273145751528668</v>
      </c>
      <c r="AG62" s="65" t="n">
        <v>0.0601097525022018</v>
      </c>
      <c r="AH62" s="65" t="n">
        <v>1.37078564104972</v>
      </c>
      <c r="AI62" s="65" t="n">
        <v>0.133574521738768</v>
      </c>
      <c r="AJ62" s="65" t="n">
        <v>0.024647411968897</v>
      </c>
      <c r="AK62" s="65" t="n">
        <v>0.0126066560875692</v>
      </c>
      <c r="AL62" s="66" t="n">
        <v>5.42122105653215</v>
      </c>
      <c r="AM62" s="66" t="n">
        <v>0.397064386757835</v>
      </c>
      <c r="AN62" s="66" t="n">
        <v>0.0170802887857783</v>
      </c>
      <c r="AO62" s="66" t="n">
        <v>0.129728253975143</v>
      </c>
      <c r="AP62" s="66" t="n">
        <v>0.0343787049386617</v>
      </c>
      <c r="AQ62" s="67" t="n">
        <v>0</v>
      </c>
      <c r="AR62" s="52" t="n">
        <v>11.8680932099094</v>
      </c>
    </row>
    <row r="63" customFormat="false" ht="12.75" hidden="false" customHeight="false" outlineLevel="0" collapsed="false">
      <c r="A63" s="53" t="n">
        <v>52</v>
      </c>
      <c r="B63" s="63" t="s">
        <v>151</v>
      </c>
      <c r="C63" s="64" t="s">
        <v>292</v>
      </c>
      <c r="D63" s="65" t="n">
        <v>0.104796193879023</v>
      </c>
      <c r="E63" s="65" t="n">
        <v>0.0424249065969304</v>
      </c>
      <c r="F63" s="65" t="n">
        <v>0.0654058197029754</v>
      </c>
      <c r="G63" s="65" t="n">
        <v>0.0556785210783514</v>
      </c>
      <c r="H63" s="65" t="n">
        <v>0.00748723047294765</v>
      </c>
      <c r="I63" s="65" t="n">
        <v>0.0147245544007496</v>
      </c>
      <c r="J63" s="65" t="n">
        <v>0.0060177576540114</v>
      </c>
      <c r="K63" s="65" t="n">
        <v>0.0330739926384167</v>
      </c>
      <c r="L63" s="65" t="n">
        <v>0.00772363890517915</v>
      </c>
      <c r="M63" s="65" t="n">
        <v>0.00653722103117818</v>
      </c>
      <c r="N63" s="65" t="n">
        <v>0.0180477883033485</v>
      </c>
      <c r="O63" s="65" t="n">
        <v>0.0176950508925757</v>
      </c>
      <c r="P63" s="65" t="n">
        <v>0.0261098299649919</v>
      </c>
      <c r="Q63" s="65" t="n">
        <v>0.00583556931953321</v>
      </c>
      <c r="R63" s="65" t="n">
        <v>0.0112333406822729</v>
      </c>
      <c r="S63" s="65" t="n">
        <v>0.0106054036176413</v>
      </c>
      <c r="T63" s="65" t="n">
        <v>0.0259309329303765</v>
      </c>
      <c r="U63" s="65" t="n">
        <v>0.0204852095946631</v>
      </c>
      <c r="V63" s="65" t="n">
        <v>0.000337996322417468</v>
      </c>
      <c r="W63" s="65" t="n">
        <v>0.0401594087519993</v>
      </c>
      <c r="X63" s="65" t="n">
        <v>0.0152412306355601</v>
      </c>
      <c r="Y63" s="65" t="n">
        <v>0.0101528209393831</v>
      </c>
      <c r="Z63" s="65" t="n">
        <v>0.0434295989335265</v>
      </c>
      <c r="AA63" s="65" t="n">
        <v>0.00516929243614541</v>
      </c>
      <c r="AB63" s="65" t="n">
        <v>0.0873278406290967</v>
      </c>
      <c r="AC63" s="65" t="n">
        <v>0.00500484145695341</v>
      </c>
      <c r="AD63" s="65" t="n">
        <v>0.0268489112520882</v>
      </c>
      <c r="AE63" s="65" t="n">
        <v>0.035418779817595</v>
      </c>
      <c r="AF63" s="65" t="n">
        <v>0.00487157219701954</v>
      </c>
      <c r="AG63" s="65" t="n">
        <v>0.0297536585020788</v>
      </c>
      <c r="AH63" s="65" t="n">
        <v>0.199262581324815</v>
      </c>
      <c r="AI63" s="65" t="n">
        <v>0.0224112572612335</v>
      </c>
      <c r="AJ63" s="65" t="n">
        <v>0.0126480989537808</v>
      </c>
      <c r="AK63" s="65" t="n">
        <v>0.00475665458107004</v>
      </c>
      <c r="AL63" s="66" t="n">
        <v>0.434691830805567</v>
      </c>
      <c r="AM63" s="66" t="n">
        <v>0.251501224993128</v>
      </c>
      <c r="AN63" s="66" t="n">
        <v>0.00792442529685986</v>
      </c>
      <c r="AO63" s="66" t="n">
        <v>0.0196009384983168</v>
      </c>
      <c r="AP63" s="66" t="n">
        <v>0.00748798774787191</v>
      </c>
      <c r="AQ63" s="67" t="n">
        <v>0</v>
      </c>
      <c r="AR63" s="52" t="n">
        <v>1.74381391300167</v>
      </c>
    </row>
    <row r="64" customFormat="false" ht="12.75" hidden="false" customHeight="false" outlineLevel="0" collapsed="false">
      <c r="A64" s="53" t="s">
        <v>199</v>
      </c>
      <c r="B64" s="63" t="s">
        <v>153</v>
      </c>
      <c r="C64" s="64" t="s">
        <v>293</v>
      </c>
      <c r="D64" s="65" t="n">
        <v>0.0552873872103001</v>
      </c>
      <c r="E64" s="65" t="n">
        <v>0.0188769472773948</v>
      </c>
      <c r="F64" s="65" t="n">
        <v>0.0322384052617647</v>
      </c>
      <c r="G64" s="65" t="n">
        <v>0.0303388124427686</v>
      </c>
      <c r="H64" s="65" t="n">
        <v>0.00266930134111318</v>
      </c>
      <c r="I64" s="65" t="n">
        <v>0.00085623901578047</v>
      </c>
      <c r="J64" s="65" t="n">
        <v>0.00536205329067313</v>
      </c>
      <c r="K64" s="65" t="n">
        <v>0.0112713111095638</v>
      </c>
      <c r="L64" s="65" t="n">
        <v>0.00558543051259765</v>
      </c>
      <c r="M64" s="65" t="n">
        <v>0.00183225131577508</v>
      </c>
      <c r="N64" s="65" t="n">
        <v>0.00606171049122177</v>
      </c>
      <c r="O64" s="65" t="n">
        <v>0.00928522015607501</v>
      </c>
      <c r="P64" s="65" t="n">
        <v>0.00460711704624139</v>
      </c>
      <c r="Q64" s="65" t="n">
        <v>0.00191619501992234</v>
      </c>
      <c r="R64" s="65" t="n">
        <v>0.00332990115478684</v>
      </c>
      <c r="S64" s="65" t="n">
        <v>0.00342643840532678</v>
      </c>
      <c r="T64" s="65" t="n">
        <v>0.0134603240324815</v>
      </c>
      <c r="U64" s="65" t="n">
        <v>0.00956292464765866</v>
      </c>
      <c r="V64" s="65" t="n">
        <v>0.000171914054813273</v>
      </c>
      <c r="W64" s="65" t="n">
        <v>0.00437110580730876</v>
      </c>
      <c r="X64" s="65" t="n">
        <v>0.00370013576272124</v>
      </c>
      <c r="Y64" s="65" t="n">
        <v>0.00360901356339993</v>
      </c>
      <c r="Z64" s="65" t="n">
        <v>0.00854005908906717</v>
      </c>
      <c r="AA64" s="65" t="n">
        <v>6.71658440746713E-005</v>
      </c>
      <c r="AB64" s="65" t="n">
        <v>0.00352643525372296</v>
      </c>
      <c r="AC64" s="65" t="n">
        <v>0.00101150475531694</v>
      </c>
      <c r="AD64" s="65" t="n">
        <v>0.00319777881101359</v>
      </c>
      <c r="AE64" s="65" t="n">
        <v>0.00520158073224082</v>
      </c>
      <c r="AF64" s="65" t="n">
        <v>0.00176690499842648</v>
      </c>
      <c r="AG64" s="65" t="n">
        <v>0.0146120966599119</v>
      </c>
      <c r="AH64" s="65" t="n">
        <v>0.00388931491463444</v>
      </c>
      <c r="AI64" s="65" t="n">
        <v>0.0039935824382294</v>
      </c>
      <c r="AJ64" s="65" t="n">
        <v>0.00283571307814164</v>
      </c>
      <c r="AK64" s="65" t="n">
        <v>0.006577915153021</v>
      </c>
      <c r="AL64" s="66" t="n">
        <v>0.0128810434602913</v>
      </c>
      <c r="AM64" s="66" t="n">
        <v>0.00523332735567569</v>
      </c>
      <c r="AN64" s="66" t="n">
        <v>0.00412580803872554</v>
      </c>
      <c r="AO64" s="66" t="n">
        <v>0.00577870215514304</v>
      </c>
      <c r="AP64" s="66" t="n">
        <v>0.00396564594002859</v>
      </c>
      <c r="AQ64" s="67" t="n">
        <v>0</v>
      </c>
      <c r="AR64" s="52" t="n">
        <v>0.315024717597354</v>
      </c>
    </row>
    <row r="65" customFormat="false" ht="12.75" hidden="false" customHeight="false" outlineLevel="0" collapsed="false">
      <c r="A65" s="53" t="n">
        <v>60</v>
      </c>
      <c r="B65" s="63" t="s">
        <v>155</v>
      </c>
      <c r="C65" s="64" t="s">
        <v>294</v>
      </c>
      <c r="D65" s="65" t="n">
        <v>23.2355291999109</v>
      </c>
      <c r="E65" s="65" t="n">
        <v>3.61716603431275</v>
      </c>
      <c r="F65" s="65" t="n">
        <v>9.45435006896998</v>
      </c>
      <c r="G65" s="65" t="n">
        <v>3.7316118204293</v>
      </c>
      <c r="H65" s="65" t="n">
        <v>0.395622945090657</v>
      </c>
      <c r="I65" s="65" t="n">
        <v>0.0343110242911251</v>
      </c>
      <c r="J65" s="65" t="n">
        <v>0.7248937606895</v>
      </c>
      <c r="K65" s="65" t="n">
        <v>1.64663540206242</v>
      </c>
      <c r="L65" s="65" t="n">
        <v>0.74740236184134</v>
      </c>
      <c r="M65" s="65" t="n">
        <v>1.82318539469854</v>
      </c>
      <c r="N65" s="65" t="n">
        <v>6.74468468702101</v>
      </c>
      <c r="O65" s="65" t="n">
        <v>5.39219703989601</v>
      </c>
      <c r="P65" s="65" t="n">
        <v>0.0930356025470076</v>
      </c>
      <c r="Q65" s="65" t="n">
        <v>0.0213800668182182</v>
      </c>
      <c r="R65" s="65" t="n">
        <v>0.0543505254971673</v>
      </c>
      <c r="S65" s="65" t="n">
        <v>0.661861076082349</v>
      </c>
      <c r="T65" s="65" t="n">
        <v>7.09754146609543</v>
      </c>
      <c r="U65" s="65" t="n">
        <v>36.2517901044791</v>
      </c>
      <c r="V65" s="65" t="n">
        <v>0.270052115982402</v>
      </c>
      <c r="W65" s="65" t="n">
        <v>5.02967824504883</v>
      </c>
      <c r="X65" s="65" t="n">
        <v>16.7090780776766</v>
      </c>
      <c r="Y65" s="65" t="n">
        <v>3.02515190383518</v>
      </c>
      <c r="Z65" s="65" t="n">
        <v>13.4229347794064</v>
      </c>
      <c r="AA65" s="65" t="n">
        <v>0.095672941100609</v>
      </c>
      <c r="AB65" s="65" t="n">
        <v>0.470250605221168</v>
      </c>
      <c r="AC65" s="65" t="n">
        <v>4.04652057223439</v>
      </c>
      <c r="AD65" s="65" t="n">
        <v>5.28403852607239</v>
      </c>
      <c r="AE65" s="65" t="n">
        <v>0.725200938614507</v>
      </c>
      <c r="AF65" s="65" t="n">
        <v>1.39610347793177</v>
      </c>
      <c r="AG65" s="65" t="n">
        <v>1.18441437051093</v>
      </c>
      <c r="AH65" s="65" t="n">
        <v>4.21442938549994</v>
      </c>
      <c r="AI65" s="65" t="n">
        <v>2.43503400366544</v>
      </c>
      <c r="AJ65" s="65" t="n">
        <v>3.38606926189617</v>
      </c>
      <c r="AK65" s="65" t="n">
        <v>2.68612854710799</v>
      </c>
      <c r="AL65" s="66" t="n">
        <v>129.220401248725</v>
      </c>
      <c r="AM65" s="66" t="n">
        <v>0.0759898763930274</v>
      </c>
      <c r="AN65" s="66" t="n">
        <v>1.31256248945382</v>
      </c>
      <c r="AO65" s="66" t="n">
        <v>45.7458694602184</v>
      </c>
      <c r="AP65" s="66" t="n">
        <v>0.276154873806259</v>
      </c>
      <c r="AQ65" s="67" t="n">
        <v>0</v>
      </c>
      <c r="AR65" s="52" t="n">
        <v>342.739284281134</v>
      </c>
    </row>
    <row r="66" customFormat="false" ht="12.75" hidden="false" customHeight="false" outlineLevel="0" collapsed="false">
      <c r="A66" s="53" t="n">
        <v>61</v>
      </c>
      <c r="B66" s="63" t="s">
        <v>157</v>
      </c>
      <c r="C66" s="64" t="s">
        <v>295</v>
      </c>
      <c r="D66" s="65" t="n">
        <v>0.164543554407606</v>
      </c>
      <c r="E66" s="65" t="n">
        <v>0.0268214289115045</v>
      </c>
      <c r="F66" s="65" t="n">
        <v>0.0694266157278189</v>
      </c>
      <c r="G66" s="65" t="n">
        <v>0.025603651696302</v>
      </c>
      <c r="H66" s="65" t="n">
        <v>0.00300459729348834</v>
      </c>
      <c r="I66" s="65" t="n">
        <v>0.0084909502071967</v>
      </c>
      <c r="J66" s="65" t="n">
        <v>0.00544785182018523</v>
      </c>
      <c r="K66" s="65" t="n">
        <v>0.0124171749563908</v>
      </c>
      <c r="L66" s="65" t="n">
        <v>0.00520303036208918</v>
      </c>
      <c r="M66" s="65" t="n">
        <v>0.0139117063470799</v>
      </c>
      <c r="N66" s="65" t="n">
        <v>0.0516809488607158</v>
      </c>
      <c r="O66" s="65" t="n">
        <v>0.0386649566261469</v>
      </c>
      <c r="P66" s="65" t="n">
        <v>0.00985642217890973</v>
      </c>
      <c r="Q66" s="65" t="n">
        <v>0.000591203326325896</v>
      </c>
      <c r="R66" s="65" t="n">
        <v>0.00241355075837594</v>
      </c>
      <c r="S66" s="65" t="n">
        <v>0.00462700741896019</v>
      </c>
      <c r="T66" s="65" t="n">
        <v>0.0520022267623562</v>
      </c>
      <c r="U66" s="65" t="n">
        <v>0.274096078816094</v>
      </c>
      <c r="V66" s="65" t="n">
        <v>0.00170288398109025</v>
      </c>
      <c r="W66" s="65" t="n">
        <v>0.110621007591835</v>
      </c>
      <c r="X66" s="65" t="n">
        <v>0.126118283930242</v>
      </c>
      <c r="Y66" s="65" t="n">
        <v>0.0215414793949856</v>
      </c>
      <c r="Z66" s="65" t="n">
        <v>0.0989922754616043</v>
      </c>
      <c r="AA66" s="65" t="n">
        <v>0.0956269177759588</v>
      </c>
      <c r="AB66" s="65" t="n">
        <v>0.037326431305541</v>
      </c>
      <c r="AC66" s="65" t="n">
        <v>0.0462926821546376</v>
      </c>
      <c r="AD66" s="65" t="n">
        <v>0.0677834485854512</v>
      </c>
      <c r="AE66" s="65" t="n">
        <v>0.065982901021778</v>
      </c>
      <c r="AF66" s="65" t="n">
        <v>0.0102935161544895</v>
      </c>
      <c r="AG66" s="65" t="n">
        <v>0.00877752255913312</v>
      </c>
      <c r="AH66" s="65" t="n">
        <v>0.426747740189132</v>
      </c>
      <c r="AI66" s="65" t="n">
        <v>0.0305723181725393</v>
      </c>
      <c r="AJ66" s="65" t="n">
        <v>0.0250235505637636</v>
      </c>
      <c r="AK66" s="65" t="n">
        <v>0.0203899335716728</v>
      </c>
      <c r="AL66" s="66" t="n">
        <v>0.986123831387022</v>
      </c>
      <c r="AM66" s="66" t="n">
        <v>0.000549017105079566</v>
      </c>
      <c r="AN66" s="66" t="n">
        <v>0.0144290686955303</v>
      </c>
      <c r="AO66" s="66" t="n">
        <v>0.332061528815477</v>
      </c>
      <c r="AP66" s="66" t="n">
        <v>0.597666396462916</v>
      </c>
      <c r="AQ66" s="67" t="n">
        <v>0</v>
      </c>
      <c r="AR66" s="52" t="n">
        <v>3.89342569135743</v>
      </c>
    </row>
    <row r="67" customFormat="false" ht="12.75" hidden="false" customHeight="false" outlineLevel="0" collapsed="false">
      <c r="A67" s="53" t="n">
        <v>62</v>
      </c>
      <c r="B67" s="63" t="s">
        <v>159</v>
      </c>
      <c r="C67" s="64" t="s">
        <v>296</v>
      </c>
      <c r="D67" s="65" t="n">
        <v>1.19957748721507</v>
      </c>
      <c r="E67" s="65" t="n">
        <v>0.189342975787296</v>
      </c>
      <c r="F67" s="65" t="n">
        <v>0.488598888973768</v>
      </c>
      <c r="G67" s="65" t="n">
        <v>0.192262733258391</v>
      </c>
      <c r="H67" s="65" t="n">
        <v>0.0202883802194657</v>
      </c>
      <c r="I67" s="65" t="n">
        <v>0.00265694694704694</v>
      </c>
      <c r="J67" s="65" t="n">
        <v>0.0375285720446825</v>
      </c>
      <c r="K67" s="65" t="n">
        <v>0.0853617389833327</v>
      </c>
      <c r="L67" s="65" t="n">
        <v>0.03873714796762</v>
      </c>
      <c r="M67" s="65" t="n">
        <v>0.094273916305763</v>
      </c>
      <c r="N67" s="65" t="n">
        <v>0.349901779294652</v>
      </c>
      <c r="O67" s="65" t="n">
        <v>0.277848443502622</v>
      </c>
      <c r="P67" s="65" t="n">
        <v>0.00666682321796796</v>
      </c>
      <c r="Q67" s="65" t="n">
        <v>0.00206521445888396</v>
      </c>
      <c r="R67" s="65" t="n">
        <v>0.00302767780398313</v>
      </c>
      <c r="S67" s="65" t="n">
        <v>0.034156668986442</v>
      </c>
      <c r="T67" s="65" t="n">
        <v>0.364435384008321</v>
      </c>
      <c r="U67" s="65" t="n">
        <v>1.87758919361471</v>
      </c>
      <c r="V67" s="65" t="n">
        <v>0.0122076759005807</v>
      </c>
      <c r="W67" s="65" t="n">
        <v>0.393617111146863</v>
      </c>
      <c r="X67" s="65" t="n">
        <v>0.865112975111028</v>
      </c>
      <c r="Y67" s="65" t="n">
        <v>0.154804966850262</v>
      </c>
      <c r="Z67" s="65" t="n">
        <v>0.695508994161578</v>
      </c>
      <c r="AA67" s="65" t="n">
        <v>0.0187647133191229</v>
      </c>
      <c r="AB67" s="65" t="n">
        <v>0.126989127766875</v>
      </c>
      <c r="AC67" s="65" t="n">
        <v>0.20942653963813</v>
      </c>
      <c r="AD67" s="65" t="n">
        <v>0.288800791116956</v>
      </c>
      <c r="AE67" s="65" t="n">
        <v>0.0253410978476689</v>
      </c>
      <c r="AF67" s="65" t="n">
        <v>0.0724132968814043</v>
      </c>
      <c r="AG67" s="65" t="n">
        <v>0.0643662590840336</v>
      </c>
      <c r="AH67" s="65" t="n">
        <v>0.333224926514348</v>
      </c>
      <c r="AI67" s="65" t="n">
        <v>0.122228402810317</v>
      </c>
      <c r="AJ67" s="65" t="n">
        <v>0.17462893820188</v>
      </c>
      <c r="AK67" s="65" t="n">
        <v>0.139068214649384</v>
      </c>
      <c r="AL67" s="66" t="n">
        <v>6.91195186307576</v>
      </c>
      <c r="AM67" s="66" t="n">
        <v>0.00384924192615615</v>
      </c>
      <c r="AN67" s="66" t="n">
        <v>0.0682987906756389</v>
      </c>
      <c r="AO67" s="66" t="n">
        <v>2.35929816650691</v>
      </c>
      <c r="AP67" s="66" t="n">
        <v>0.0059497126595134</v>
      </c>
      <c r="AQ67" s="67" t="n">
        <v>0</v>
      </c>
      <c r="AR67" s="52" t="n">
        <v>18.3101717784344</v>
      </c>
    </row>
    <row r="68" customFormat="false" ht="12.75" hidden="false" customHeight="false" outlineLevel="0" collapsed="false">
      <c r="A68" s="53" t="n">
        <v>63</v>
      </c>
      <c r="B68" s="63" t="s">
        <v>161</v>
      </c>
      <c r="C68" s="64" t="s">
        <v>297</v>
      </c>
      <c r="D68" s="65" t="n">
        <v>6.74150472084188</v>
      </c>
      <c r="E68" s="65" t="n">
        <v>1.06104805300956</v>
      </c>
      <c r="F68" s="65" t="n">
        <v>2.76962938132938</v>
      </c>
      <c r="G68" s="65" t="n">
        <v>1.11217522342288</v>
      </c>
      <c r="H68" s="65" t="n">
        <v>0.117725689583349</v>
      </c>
      <c r="I68" s="65" t="n">
        <v>0.00974145812423153</v>
      </c>
      <c r="J68" s="65" t="n">
        <v>0.21577551820844</v>
      </c>
      <c r="K68" s="65" t="n">
        <v>0.489516179581407</v>
      </c>
      <c r="L68" s="65" t="n">
        <v>0.2229793495498</v>
      </c>
      <c r="M68" s="65" t="n">
        <v>0.541522863136755</v>
      </c>
      <c r="N68" s="65" t="n">
        <v>2.00351755706378</v>
      </c>
      <c r="O68" s="65" t="n">
        <v>1.57906731372369</v>
      </c>
      <c r="P68" s="65" t="n">
        <v>0.0266775154811209</v>
      </c>
      <c r="Q68" s="65" t="n">
        <v>0.00596613402383828</v>
      </c>
      <c r="R68" s="65" t="n">
        <v>0.0154717477942191</v>
      </c>
      <c r="S68" s="65" t="n">
        <v>0.197113103521393</v>
      </c>
      <c r="T68" s="65" t="n">
        <v>2.08973630475099</v>
      </c>
      <c r="U68" s="65" t="n">
        <v>10.7291162566958</v>
      </c>
      <c r="V68" s="65" t="n">
        <v>0.0788724321967972</v>
      </c>
      <c r="W68" s="65" t="n">
        <v>1.80970224350942</v>
      </c>
      <c r="X68" s="65" t="n">
        <v>4.93917874345113</v>
      </c>
      <c r="Y68" s="65" t="n">
        <v>0.891558415893885</v>
      </c>
      <c r="Z68" s="65" t="n">
        <v>3.98571310643605</v>
      </c>
      <c r="AA68" s="65" t="n">
        <v>0.0287483511443186</v>
      </c>
      <c r="AB68" s="65" t="n">
        <v>0.140237329714501</v>
      </c>
      <c r="AC68" s="65" t="n">
        <v>1.19702454075597</v>
      </c>
      <c r="AD68" s="65" t="n">
        <v>1.55468597097631</v>
      </c>
      <c r="AE68" s="65" t="n">
        <v>0.216884980501251</v>
      </c>
      <c r="AF68" s="65" t="n">
        <v>0.407444760269732</v>
      </c>
      <c r="AG68" s="65" t="n">
        <v>0.349851832752236</v>
      </c>
      <c r="AH68" s="65" t="n">
        <v>1.24873580461469</v>
      </c>
      <c r="AI68" s="65" t="n">
        <v>0.700864995415394</v>
      </c>
      <c r="AJ68" s="65" t="n">
        <v>0.992608729414139</v>
      </c>
      <c r="AK68" s="65" t="n">
        <v>0.795914703730437</v>
      </c>
      <c r="AL68" s="66" t="n">
        <v>38.2814113962595</v>
      </c>
      <c r="AM68" s="66" t="n">
        <v>0.023274047327459</v>
      </c>
      <c r="AN68" s="66" t="n">
        <v>0.391962401998234</v>
      </c>
      <c r="AO68" s="66" t="n">
        <v>13.4137063831428</v>
      </c>
      <c r="AP68" s="66" t="n">
        <v>0.0347498154072439</v>
      </c>
      <c r="AQ68" s="67" t="n">
        <v>0</v>
      </c>
      <c r="AR68" s="52" t="n">
        <v>101.411415354754</v>
      </c>
    </row>
    <row r="69" customFormat="false" ht="12.75" hidden="false" customHeight="false" outlineLevel="0" collapsed="false">
      <c r="A69" s="53" t="n">
        <v>64</v>
      </c>
      <c r="B69" s="63" t="s">
        <v>163</v>
      </c>
      <c r="C69" s="64" t="s">
        <v>298</v>
      </c>
      <c r="D69" s="65" t="n">
        <v>4.08385327291096</v>
      </c>
      <c r="E69" s="65" t="n">
        <v>0.779795744068387</v>
      </c>
      <c r="F69" s="65" t="n">
        <v>3.47962961557167</v>
      </c>
      <c r="G69" s="65" t="n">
        <v>1.33759377923305</v>
      </c>
      <c r="H69" s="65" t="n">
        <v>0.141396619326696</v>
      </c>
      <c r="I69" s="65" t="n">
        <v>0.00783221375498948</v>
      </c>
      <c r="J69" s="65" t="n">
        <v>0.172436167359237</v>
      </c>
      <c r="K69" s="65" t="n">
        <v>0.853076959882375</v>
      </c>
      <c r="L69" s="65" t="n">
        <v>0.388295687621746</v>
      </c>
      <c r="M69" s="65" t="n">
        <v>1.56201461817662</v>
      </c>
      <c r="N69" s="65" t="n">
        <v>4.68708297777674</v>
      </c>
      <c r="O69" s="65" t="n">
        <v>0.752300199967891</v>
      </c>
      <c r="P69" s="65" t="n">
        <v>0.0393749769866996</v>
      </c>
      <c r="Q69" s="65" t="n">
        <v>0.00921522094532917</v>
      </c>
      <c r="R69" s="65" t="n">
        <v>0.0234702077650244</v>
      </c>
      <c r="S69" s="65" t="n">
        <v>0.138681178411748</v>
      </c>
      <c r="T69" s="65" t="n">
        <v>1.27647500725703</v>
      </c>
      <c r="U69" s="65" t="n">
        <v>16.1244840252814</v>
      </c>
      <c r="V69" s="65" t="n">
        <v>0.0516155195432496</v>
      </c>
      <c r="W69" s="65" t="n">
        <v>2.24172243792928</v>
      </c>
      <c r="X69" s="65" t="n">
        <v>5.93046791648967</v>
      </c>
      <c r="Y69" s="65" t="n">
        <v>1.23079224751745</v>
      </c>
      <c r="Z69" s="65" t="n">
        <v>3.58369672097046</v>
      </c>
      <c r="AA69" s="65" t="n">
        <v>0.0205467046595216</v>
      </c>
      <c r="AB69" s="65" t="n">
        <v>0.111762050287588</v>
      </c>
      <c r="AC69" s="65" t="n">
        <v>1.07326877232242</v>
      </c>
      <c r="AD69" s="65" t="n">
        <v>6.45611441578417</v>
      </c>
      <c r="AE69" s="65" t="n">
        <v>0.638699671097448</v>
      </c>
      <c r="AF69" s="65" t="n">
        <v>2.78780199130828</v>
      </c>
      <c r="AG69" s="65" t="n">
        <v>2.70017215943275</v>
      </c>
      <c r="AH69" s="65" t="n">
        <v>6.68744958149534</v>
      </c>
      <c r="AI69" s="65" t="n">
        <v>0.664597491584456</v>
      </c>
      <c r="AJ69" s="65" t="n">
        <v>0.941343374962252</v>
      </c>
      <c r="AK69" s="65" t="n">
        <v>3.55640574310786</v>
      </c>
      <c r="AL69" s="66" t="n">
        <v>79.4874275277536</v>
      </c>
      <c r="AM69" s="66" t="n">
        <v>0.0590888951466004</v>
      </c>
      <c r="AN69" s="66" t="n">
        <v>0.270447203471255</v>
      </c>
      <c r="AO69" s="66" t="n">
        <v>20.1952049975996</v>
      </c>
      <c r="AP69" s="66" t="n">
        <v>-0.148137763077214</v>
      </c>
      <c r="AQ69" s="67" t="n">
        <v>0</v>
      </c>
      <c r="AR69" s="52" t="n">
        <v>174.397496131684</v>
      </c>
    </row>
    <row r="70" customFormat="false" ht="12.75" hidden="false" customHeight="false" outlineLevel="0" collapsed="false">
      <c r="A70" s="53" t="s">
        <v>200</v>
      </c>
      <c r="B70" s="63" t="s">
        <v>165</v>
      </c>
      <c r="C70" s="64" t="s">
        <v>299</v>
      </c>
      <c r="D70" s="65" t="n">
        <v>0.0598185032665612</v>
      </c>
      <c r="E70" s="65" t="n">
        <v>0.0279448957475651</v>
      </c>
      <c r="F70" s="65" t="n">
        <v>0.159004499624569</v>
      </c>
      <c r="G70" s="65" t="n">
        <v>0.0216569167055286</v>
      </c>
      <c r="H70" s="65" t="n">
        <v>0.00112025267859418</v>
      </c>
      <c r="I70" s="65" t="n">
        <v>0.0183909687068484</v>
      </c>
      <c r="J70" s="65" t="n">
        <v>0.00802046760210853</v>
      </c>
      <c r="K70" s="65" t="n">
        <v>0.0413083661108088</v>
      </c>
      <c r="L70" s="65" t="n">
        <v>0.00187717820028631</v>
      </c>
      <c r="M70" s="65" t="n">
        <v>0.00355715766575738</v>
      </c>
      <c r="N70" s="65" t="n">
        <v>0.0195097120267669</v>
      </c>
      <c r="O70" s="65" t="n">
        <v>0.0160471243543743</v>
      </c>
      <c r="P70" s="65" t="n">
        <v>0.0344826725043742</v>
      </c>
      <c r="Q70" s="65" t="n">
        <v>0.000795640686076884</v>
      </c>
      <c r="R70" s="65" t="n">
        <v>0.0175707538552067</v>
      </c>
      <c r="S70" s="65" t="n">
        <v>0.0121861444015858</v>
      </c>
      <c r="T70" s="65" t="n">
        <v>0.0537450763411158</v>
      </c>
      <c r="U70" s="65" t="n">
        <v>0.0910930797576951</v>
      </c>
      <c r="V70" s="65" t="n">
        <v>0.0049223880844619</v>
      </c>
      <c r="W70" s="65" t="n">
        <v>0.140242475285881</v>
      </c>
      <c r="X70" s="65" t="n">
        <v>0.0692892818707401</v>
      </c>
      <c r="Y70" s="65" t="n">
        <v>0.0882718008776813</v>
      </c>
      <c r="Z70" s="65" t="n">
        <v>0.137056415525471</v>
      </c>
      <c r="AA70" s="65" t="n">
        <v>0.00766341124328177</v>
      </c>
      <c r="AB70" s="65" t="n">
        <v>0.0207340523944039</v>
      </c>
      <c r="AC70" s="65" t="n">
        <v>0.0389892585660129</v>
      </c>
      <c r="AD70" s="65" t="n">
        <v>0.0990888123085314</v>
      </c>
      <c r="AE70" s="65" t="n">
        <v>39.2290624878406</v>
      </c>
      <c r="AF70" s="65" t="n">
        <v>0.0328890326813723</v>
      </c>
      <c r="AG70" s="65" t="n">
        <v>0.0282658995080668</v>
      </c>
      <c r="AH70" s="65" t="n">
        <v>0.0959082886906105</v>
      </c>
      <c r="AI70" s="65" t="n">
        <v>0.164400443551417</v>
      </c>
      <c r="AJ70" s="65" t="n">
        <v>0.000476774324415384</v>
      </c>
      <c r="AK70" s="65" t="n">
        <v>0.0967090660598911</v>
      </c>
      <c r="AL70" s="66" t="n">
        <v>0.963435449724908</v>
      </c>
      <c r="AM70" s="66" t="n">
        <v>0.142284129195363</v>
      </c>
      <c r="AN70" s="66" t="n">
        <v>0.41254603832245</v>
      </c>
      <c r="AO70" s="66" t="n">
        <v>0.458356194694922</v>
      </c>
      <c r="AP70" s="66" t="n">
        <v>0.310833261825116</v>
      </c>
      <c r="AQ70" s="67" t="n">
        <v>0</v>
      </c>
      <c r="AR70" s="52" t="n">
        <v>43.1295543728114</v>
      </c>
    </row>
    <row r="71" customFormat="false" ht="12.75" hidden="false" customHeight="false" outlineLevel="0" collapsed="false">
      <c r="A71" s="53" t="n">
        <v>70</v>
      </c>
      <c r="B71" s="63" t="s">
        <v>167</v>
      </c>
      <c r="C71" s="64" t="s">
        <v>300</v>
      </c>
      <c r="D71" s="65" t="n">
        <v>0.362812087717954</v>
      </c>
      <c r="E71" s="65" t="n">
        <v>0.12515839204876</v>
      </c>
      <c r="F71" s="65" t="n">
        <v>0.210718720247966</v>
      </c>
      <c r="G71" s="65" t="n">
        <v>0.219872608586874</v>
      </c>
      <c r="H71" s="65" t="n">
        <v>0.0112238245085755</v>
      </c>
      <c r="I71" s="65" t="n">
        <v>0.00134866734950384</v>
      </c>
      <c r="J71" s="65" t="n">
        <v>0.0403168305677265</v>
      </c>
      <c r="K71" s="65" t="n">
        <v>0.0374460114165575</v>
      </c>
      <c r="L71" s="65" t="n">
        <v>0.0322254756761811</v>
      </c>
      <c r="M71" s="65" t="n">
        <v>0.0050184202925105</v>
      </c>
      <c r="N71" s="65" t="n">
        <v>0.0936039064755701</v>
      </c>
      <c r="O71" s="65" t="n">
        <v>0.0639310557713337</v>
      </c>
      <c r="P71" s="65" t="n">
        <v>0.0251959610946688</v>
      </c>
      <c r="Q71" s="65" t="n">
        <v>0.0186607167373039</v>
      </c>
      <c r="R71" s="65" t="n">
        <v>0.0218377935790149</v>
      </c>
      <c r="S71" s="65" t="n">
        <v>0.0218610089032715</v>
      </c>
      <c r="T71" s="65" t="n">
        <v>0.0863406544925828</v>
      </c>
      <c r="U71" s="65" t="n">
        <v>0.0641242801311463</v>
      </c>
      <c r="V71" s="65" t="n">
        <v>0.0009041692288831</v>
      </c>
      <c r="W71" s="65" t="n">
        <v>0.0206898775130803</v>
      </c>
      <c r="X71" s="65" t="n">
        <v>0.0202792921027442</v>
      </c>
      <c r="Y71" s="65" t="n">
        <v>0.0210702339378615</v>
      </c>
      <c r="Z71" s="65" t="n">
        <v>0.0603787050887687</v>
      </c>
      <c r="AA71" s="65" t="n">
        <v>4.79789266479175E-006</v>
      </c>
      <c r="AB71" s="65" t="n">
        <v>0.011603832195195</v>
      </c>
      <c r="AC71" s="65" t="n">
        <v>0.0120583049078177</v>
      </c>
      <c r="AD71" s="65" t="n">
        <v>0.0208475602418437</v>
      </c>
      <c r="AE71" s="65" t="n">
        <v>0.0679137269238383</v>
      </c>
      <c r="AF71" s="65" t="n">
        <v>0.0115561680700408</v>
      </c>
      <c r="AG71" s="65" t="n">
        <v>0.0662102457974961</v>
      </c>
      <c r="AH71" s="65" t="n">
        <v>0.0212023416183815</v>
      </c>
      <c r="AI71" s="65" t="n">
        <v>0.0220303558647327</v>
      </c>
      <c r="AJ71" s="65" t="n">
        <v>0.0173211898609375</v>
      </c>
      <c r="AK71" s="65" t="n">
        <v>0.0487633877961521</v>
      </c>
      <c r="AL71" s="66" t="n">
        <v>0.0297411926046241</v>
      </c>
      <c r="AM71" s="66" t="n">
        <v>0.0268502108812265</v>
      </c>
      <c r="AN71" s="66" t="n">
        <v>0.0240789822423125</v>
      </c>
      <c r="AO71" s="66" t="n">
        <v>0.0273516922557982</v>
      </c>
      <c r="AP71" s="66" t="n">
        <v>0.027894038521507</v>
      </c>
      <c r="AQ71" s="67" t="n">
        <v>0</v>
      </c>
      <c r="AR71" s="52" t="n">
        <v>2.00044672114341</v>
      </c>
    </row>
    <row r="72" customFormat="false" ht="12.75" hidden="false" customHeight="false" outlineLevel="0" collapsed="false">
      <c r="A72" s="53" t="s">
        <v>201</v>
      </c>
      <c r="B72" s="63" t="s">
        <v>169</v>
      </c>
      <c r="C72" s="64" t="s">
        <v>301</v>
      </c>
      <c r="D72" s="65" t="n">
        <v>0.0300694618934973</v>
      </c>
      <c r="E72" s="65" t="n">
        <v>0.0374904258918127</v>
      </c>
      <c r="F72" s="65" t="n">
        <v>0.0414030699847555</v>
      </c>
      <c r="G72" s="65" t="n">
        <v>0.0700081312307041</v>
      </c>
      <c r="H72" s="65" t="n">
        <v>0.00969540694197091</v>
      </c>
      <c r="I72" s="65" t="n">
        <v>0.00307340903784219</v>
      </c>
      <c r="J72" s="65" t="n">
        <v>0.0107039894935907</v>
      </c>
      <c r="K72" s="65" t="n">
        <v>0.0134291492388972</v>
      </c>
      <c r="L72" s="65" t="n">
        <v>0.00885600209394456</v>
      </c>
      <c r="M72" s="65" t="n">
        <v>0.00574571877790553</v>
      </c>
      <c r="N72" s="65" t="n">
        <v>0.0138241386764184</v>
      </c>
      <c r="O72" s="65" t="n">
        <v>0.0240126029311479</v>
      </c>
      <c r="P72" s="65" t="n">
        <v>0.014050253734372</v>
      </c>
      <c r="Q72" s="65" t="n">
        <v>0.00213694066489451</v>
      </c>
      <c r="R72" s="65" t="n">
        <v>0.00601467493175738</v>
      </c>
      <c r="S72" s="65" t="n">
        <v>0.00808493016542585</v>
      </c>
      <c r="T72" s="65" t="n">
        <v>0.0181171430510123</v>
      </c>
      <c r="U72" s="65" t="n">
        <v>0.0230232297496694</v>
      </c>
      <c r="V72" s="65" t="n">
        <v>0.000174207712937122</v>
      </c>
      <c r="W72" s="65" t="n">
        <v>0.00685666886971377</v>
      </c>
      <c r="X72" s="65" t="n">
        <v>0.00453277125501064</v>
      </c>
      <c r="Y72" s="65" t="n">
        <v>0.0105811320429233</v>
      </c>
      <c r="Z72" s="65" t="n">
        <v>0.0113328071289369</v>
      </c>
      <c r="AA72" s="65" t="n">
        <v>8.00155006813016E-005</v>
      </c>
      <c r="AB72" s="65" t="n">
        <v>0.00692550606047025</v>
      </c>
      <c r="AC72" s="65" t="n">
        <v>0.00540985507314065</v>
      </c>
      <c r="AD72" s="65" t="n">
        <v>0.0109201719597288</v>
      </c>
      <c r="AE72" s="65" t="n">
        <v>0.0112238187304195</v>
      </c>
      <c r="AF72" s="65" t="n">
        <v>0.00957991292837559</v>
      </c>
      <c r="AG72" s="65" t="n">
        <v>0.0440906872655696</v>
      </c>
      <c r="AH72" s="65" t="n">
        <v>0.0125235166110771</v>
      </c>
      <c r="AI72" s="65" t="n">
        <v>0.0143918023124889</v>
      </c>
      <c r="AJ72" s="65" t="n">
        <v>0.0060299992344813</v>
      </c>
      <c r="AK72" s="65" t="n">
        <v>0.0156701956093989</v>
      </c>
      <c r="AL72" s="66" t="n">
        <v>0.0403480412252752</v>
      </c>
      <c r="AM72" s="66" t="n">
        <v>0.0149241143548098</v>
      </c>
      <c r="AN72" s="66" t="n">
        <v>0.0137432199480668</v>
      </c>
      <c r="AO72" s="66" t="n">
        <v>0.0248502234429493</v>
      </c>
      <c r="AP72" s="66" t="n">
        <v>0.0159411513640132</v>
      </c>
      <c r="AQ72" s="67" t="n">
        <v>0</v>
      </c>
      <c r="AR72" s="52" t="n">
        <v>0.619868497120086</v>
      </c>
    </row>
    <row r="73" customFormat="false" ht="12.75" hidden="false" customHeight="false" outlineLevel="0" collapsed="false">
      <c r="A73" s="53" t="s">
        <v>202</v>
      </c>
      <c r="B73" s="63" t="s">
        <v>171</v>
      </c>
      <c r="C73" s="64" t="s">
        <v>302</v>
      </c>
      <c r="D73" s="65" t="n">
        <v>0.000314039420678445</v>
      </c>
      <c r="E73" s="65" t="n">
        <v>0.000465285955702053</v>
      </c>
      <c r="F73" s="65" t="n">
        <v>0.000524243389000475</v>
      </c>
      <c r="G73" s="65" t="n">
        <v>0.000330245427623995</v>
      </c>
      <c r="H73" s="65" t="n">
        <v>0</v>
      </c>
      <c r="I73" s="65" t="n">
        <v>0.00015240976972762</v>
      </c>
      <c r="J73" s="65" t="n">
        <v>5.96945915378215E-007</v>
      </c>
      <c r="K73" s="65" t="n">
        <v>0.000451652964576862</v>
      </c>
      <c r="L73" s="65" t="n">
        <v>6.17335873344565E-007</v>
      </c>
      <c r="M73" s="65" t="n">
        <v>0.244642817982969</v>
      </c>
      <c r="N73" s="65" t="n">
        <v>0.905458446522777</v>
      </c>
      <c r="O73" s="65" t="n">
        <v>0.000307054637025152</v>
      </c>
      <c r="P73" s="65" t="n">
        <v>0.000395040054212445</v>
      </c>
      <c r="Q73" s="65" t="n">
        <v>5.74549611472403E-007</v>
      </c>
      <c r="R73" s="65" t="n">
        <v>0.000265697481487192</v>
      </c>
      <c r="S73" s="65" t="n">
        <v>0.000264966085346337</v>
      </c>
      <c r="T73" s="65" t="n">
        <v>0.00023666149457099</v>
      </c>
      <c r="U73" s="65" t="n">
        <v>0.00026875758081488</v>
      </c>
      <c r="V73" s="65" t="n">
        <v>1.98016182301491E-006</v>
      </c>
      <c r="W73" s="65" t="n">
        <v>0.000266613841156095</v>
      </c>
      <c r="X73" s="65" t="n">
        <v>0.000159743546485966</v>
      </c>
      <c r="Y73" s="65" t="n">
        <v>0.0843023375470183</v>
      </c>
      <c r="Z73" s="65" t="n">
        <v>0.00115612188008821</v>
      </c>
      <c r="AA73" s="65" t="n">
        <v>2.24472146732196E-005</v>
      </c>
      <c r="AB73" s="65" t="n">
        <v>0.000224188752674685</v>
      </c>
      <c r="AC73" s="65" t="n">
        <v>0.000341632047875603</v>
      </c>
      <c r="AD73" s="65" t="n">
        <v>0.0114081039566753</v>
      </c>
      <c r="AE73" s="65" t="n">
        <v>0.00083970529192561</v>
      </c>
      <c r="AF73" s="65" t="n">
        <v>0.399573560076402</v>
      </c>
      <c r="AG73" s="65" t="n">
        <v>0.426613753969431</v>
      </c>
      <c r="AH73" s="65" t="n">
        <v>0.543437994145007</v>
      </c>
      <c r="AI73" s="65" t="n">
        <v>0.00136354570883081</v>
      </c>
      <c r="AJ73" s="65" t="n">
        <v>1.45621212173104E-006</v>
      </c>
      <c r="AK73" s="65" t="n">
        <v>0.0708373699792991</v>
      </c>
      <c r="AL73" s="66" t="n">
        <v>0.00530060581968601</v>
      </c>
      <c r="AM73" s="66" t="n">
        <v>0.00179720393780855</v>
      </c>
      <c r="AN73" s="66" t="n">
        <v>155.775552074968</v>
      </c>
      <c r="AO73" s="66" t="n">
        <v>11.8581848836498</v>
      </c>
      <c r="AP73" s="66" t="n">
        <v>7.01370726707495</v>
      </c>
      <c r="AQ73" s="67" t="n">
        <v>0</v>
      </c>
      <c r="AR73" s="52" t="n">
        <v>177.34917169738</v>
      </c>
    </row>
    <row r="74" customFormat="false" ht="12.75" hidden="false" customHeight="false" outlineLevel="0" collapsed="false">
      <c r="A74" s="53" t="s">
        <v>203</v>
      </c>
      <c r="B74" s="63" t="s">
        <v>173</v>
      </c>
      <c r="C74" s="64" t="s">
        <v>303</v>
      </c>
      <c r="D74" s="65" t="n">
        <v>0.000289363795204348</v>
      </c>
      <c r="E74" s="65" t="n">
        <v>0.00062389871486179</v>
      </c>
      <c r="F74" s="65" t="n">
        <v>0.000291130775994911</v>
      </c>
      <c r="G74" s="65" t="n">
        <v>0.000222276506827117</v>
      </c>
      <c r="H74" s="65" t="n">
        <v>7.55463783853469E-006</v>
      </c>
      <c r="I74" s="65" t="n">
        <v>0.000105771581432269</v>
      </c>
      <c r="J74" s="65" t="n">
        <v>0.000103687020072713</v>
      </c>
      <c r="K74" s="65" t="n">
        <v>0.000996165456672733</v>
      </c>
      <c r="L74" s="65" t="n">
        <v>3.6721121321641E-005</v>
      </c>
      <c r="M74" s="65" t="n">
        <v>2.59030865690187E-005</v>
      </c>
      <c r="N74" s="65" t="n">
        <v>4.06447229713388E-006</v>
      </c>
      <c r="O74" s="65" t="n">
        <v>0.000201084489989505</v>
      </c>
      <c r="P74" s="65" t="n">
        <v>0.000170099913112416</v>
      </c>
      <c r="Q74" s="65" t="n">
        <v>6.35564233813728E-007</v>
      </c>
      <c r="R74" s="65" t="n">
        <v>0.000233633783511193</v>
      </c>
      <c r="S74" s="65" t="n">
        <v>0.000189450824232917</v>
      </c>
      <c r="T74" s="65" t="n">
        <v>0.000187161031371986</v>
      </c>
      <c r="U74" s="65" t="n">
        <v>0.000297660539975062</v>
      </c>
      <c r="V74" s="65" t="n">
        <v>3.37131439083373E-006</v>
      </c>
      <c r="W74" s="65" t="n">
        <v>0.000201208966284334</v>
      </c>
      <c r="X74" s="65" t="n">
        <v>0.000188881950829619</v>
      </c>
      <c r="Y74" s="65" t="n">
        <v>0.000185218871075658</v>
      </c>
      <c r="Z74" s="65" t="n">
        <v>6.68183203298971E-005</v>
      </c>
      <c r="AA74" s="65" t="n">
        <v>1.4838186175888E-005</v>
      </c>
      <c r="AB74" s="65" t="n">
        <v>0.000151364884742112</v>
      </c>
      <c r="AC74" s="65" t="n">
        <v>3.03240421724754E-005</v>
      </c>
      <c r="AD74" s="65" t="n">
        <v>0.00051766377139252</v>
      </c>
      <c r="AE74" s="65" t="n">
        <v>0.00146052959544826</v>
      </c>
      <c r="AF74" s="65" t="n">
        <v>8.70725911553954E-005</v>
      </c>
      <c r="AG74" s="65" t="n">
        <v>0.000208046775187946</v>
      </c>
      <c r="AH74" s="65" t="n">
        <v>0.000432579428529112</v>
      </c>
      <c r="AI74" s="65" t="n">
        <v>0.00210692485638285</v>
      </c>
      <c r="AJ74" s="65" t="n">
        <v>6.03364717927057E-006</v>
      </c>
      <c r="AK74" s="65" t="n">
        <v>4.15529692854244E-005</v>
      </c>
      <c r="AL74" s="66" t="n">
        <v>0.0132703530738351</v>
      </c>
      <c r="AM74" s="66" t="n">
        <v>0.00589475985648208</v>
      </c>
      <c r="AN74" s="66" t="n">
        <v>0.000344531679607258</v>
      </c>
      <c r="AO74" s="66" t="n">
        <v>0.000263727421081201</v>
      </c>
      <c r="AP74" s="66" t="n">
        <v>7.62234546034408E-005</v>
      </c>
      <c r="AQ74" s="67" t="n">
        <v>0</v>
      </c>
      <c r="AR74" s="52" t="n">
        <v>0.0295382889716898</v>
      </c>
    </row>
    <row r="75" customFormat="false" ht="12.75" hidden="false" customHeight="false" outlineLevel="0" collapsed="false">
      <c r="A75" s="53" t="s">
        <v>204</v>
      </c>
      <c r="B75" s="63" t="s">
        <v>175</v>
      </c>
      <c r="C75" s="64" t="s">
        <v>304</v>
      </c>
      <c r="D75" s="65" t="n">
        <v>0.00066707421429268</v>
      </c>
      <c r="E75" s="65" t="n">
        <v>0.0025851558373619</v>
      </c>
      <c r="F75" s="65" t="n">
        <v>0.00840630285180047</v>
      </c>
      <c r="G75" s="65" t="n">
        <v>0.00221440920507003</v>
      </c>
      <c r="H75" s="65" t="n">
        <v>0.000239065677702059</v>
      </c>
      <c r="I75" s="65" t="n">
        <v>1.15407575411676E-005</v>
      </c>
      <c r="J75" s="65" t="n">
        <v>0.000857577378772246</v>
      </c>
      <c r="K75" s="65" t="n">
        <v>0.00344121478613972</v>
      </c>
      <c r="L75" s="65" t="n">
        <v>0.00150863500496289</v>
      </c>
      <c r="M75" s="65" t="n">
        <v>0.000997405866259109</v>
      </c>
      <c r="N75" s="65" t="n">
        <v>0.00369291882441858</v>
      </c>
      <c r="O75" s="65" t="n">
        <v>5.91798531450625E-005</v>
      </c>
      <c r="P75" s="65" t="n">
        <v>0.00061849473231546</v>
      </c>
      <c r="Q75" s="65" t="n">
        <v>0.000138110318845828</v>
      </c>
      <c r="R75" s="65" t="n">
        <v>0.000356903834302597</v>
      </c>
      <c r="S75" s="65" t="n">
        <v>1.09874581794814E-005</v>
      </c>
      <c r="T75" s="65" t="n">
        <v>0.00553668320282981</v>
      </c>
      <c r="U75" s="65" t="n">
        <v>0.0214736642769133</v>
      </c>
      <c r="V75" s="65" t="n">
        <v>0.000746116712265791</v>
      </c>
      <c r="W75" s="65" t="n">
        <v>0.00357785814815995</v>
      </c>
      <c r="X75" s="65" t="n">
        <v>0.00274154441468175</v>
      </c>
      <c r="Y75" s="65" t="n">
        <v>0.00282730475616709</v>
      </c>
      <c r="Z75" s="65" t="n">
        <v>0.00449618762839841</v>
      </c>
      <c r="AA75" s="65" t="n">
        <v>2.97746207235457E-005</v>
      </c>
      <c r="AB75" s="65" t="n">
        <v>0.000242455043164926</v>
      </c>
      <c r="AC75" s="65" t="n">
        <v>0.00126954805466506</v>
      </c>
      <c r="AD75" s="65" t="n">
        <v>0.000712062351313467</v>
      </c>
      <c r="AE75" s="65" t="n">
        <v>0.00114885816329471</v>
      </c>
      <c r="AF75" s="65" t="n">
        <v>0.00245646285563059</v>
      </c>
      <c r="AG75" s="65" t="n">
        <v>0.00223350932713982</v>
      </c>
      <c r="AH75" s="65" t="n">
        <v>0.0559422287195285</v>
      </c>
      <c r="AI75" s="65" t="n">
        <v>0.169021112742527</v>
      </c>
      <c r="AJ75" s="65" t="n">
        <v>0.0747476960666692</v>
      </c>
      <c r="AK75" s="65" t="n">
        <v>0.0283727172243094</v>
      </c>
      <c r="AL75" s="66" t="n">
        <v>1.1894198127655</v>
      </c>
      <c r="AM75" s="66" t="n">
        <v>1.95928825966222E-005</v>
      </c>
      <c r="AN75" s="66" t="n">
        <v>12.9755309045328</v>
      </c>
      <c r="AO75" s="66" t="n">
        <v>0.309769234781216</v>
      </c>
      <c r="AP75" s="66" t="n">
        <v>0.000718341891897324</v>
      </c>
      <c r="AQ75" s="67" t="n">
        <v>0</v>
      </c>
      <c r="AR75" s="52" t="n">
        <v>14.8788386477635</v>
      </c>
    </row>
    <row r="76" customFormat="false" ht="12.75" hidden="false" customHeight="false" outlineLevel="0" collapsed="false">
      <c r="A76" s="53"/>
      <c r="B76" s="63" t="s">
        <v>177</v>
      </c>
      <c r="C76" s="64" t="s">
        <v>305</v>
      </c>
      <c r="D76" s="65" t="n">
        <v>0.0112050617623</v>
      </c>
      <c r="E76" s="65" t="n">
        <v>0.00305084853537192</v>
      </c>
      <c r="F76" s="65" t="n">
        <v>0.00257659286941702</v>
      </c>
      <c r="G76" s="65" t="n">
        <v>0.00425188361063266</v>
      </c>
      <c r="H76" s="65" t="n">
        <v>0.00314440405986505</v>
      </c>
      <c r="I76" s="65" t="n">
        <v>0.000267558292617816</v>
      </c>
      <c r="J76" s="65" t="n">
        <v>0.000959891133489776</v>
      </c>
      <c r="K76" s="65" t="n">
        <v>0.00115564701942895</v>
      </c>
      <c r="L76" s="65" t="n">
        <v>0.000305852907301158</v>
      </c>
      <c r="M76" s="65" t="n">
        <v>0.00026697239168604</v>
      </c>
      <c r="N76" s="65" t="n">
        <v>0.00228520377231159</v>
      </c>
      <c r="O76" s="65" t="n">
        <v>0.00193582452841341</v>
      </c>
      <c r="P76" s="65" t="n">
        <v>0.00134834714424896</v>
      </c>
      <c r="Q76" s="65" t="n">
        <v>0.000144728830433555</v>
      </c>
      <c r="R76" s="65" t="n">
        <v>0.000762334366875309</v>
      </c>
      <c r="S76" s="65" t="n">
        <v>0.000557658363022938</v>
      </c>
      <c r="T76" s="65" t="n">
        <v>0.00303486671382569</v>
      </c>
      <c r="U76" s="65" t="n">
        <v>0.00135524814044146</v>
      </c>
      <c r="V76" s="65" t="n">
        <v>4.81211760365077E-005</v>
      </c>
      <c r="W76" s="65" t="n">
        <v>0.000536487839171334</v>
      </c>
      <c r="X76" s="65" t="n">
        <v>0.000661966536325349</v>
      </c>
      <c r="Y76" s="65" t="n">
        <v>0.000742335547814628</v>
      </c>
      <c r="Z76" s="65" t="n">
        <v>0.001148195987861</v>
      </c>
      <c r="AA76" s="65" t="n">
        <v>7.64853670300537E-006</v>
      </c>
      <c r="AB76" s="65" t="n">
        <v>0.00043659243872315</v>
      </c>
      <c r="AC76" s="65" t="n">
        <v>0.000337130395320006</v>
      </c>
      <c r="AD76" s="65" t="n">
        <v>0.000258604077039848</v>
      </c>
      <c r="AE76" s="65" t="n">
        <v>0.000719507017771864</v>
      </c>
      <c r="AF76" s="65" t="n">
        <v>0.0003376823617638</v>
      </c>
      <c r="AG76" s="65" t="n">
        <v>0.0032822879184169</v>
      </c>
      <c r="AH76" s="65" t="n">
        <v>0.000704427621089657</v>
      </c>
      <c r="AI76" s="65" t="n">
        <v>0.000148678347204991</v>
      </c>
      <c r="AJ76" s="65" t="n">
        <v>0.000147997215056162</v>
      </c>
      <c r="AK76" s="65" t="n">
        <v>0.00266347414955032</v>
      </c>
      <c r="AL76" s="66" t="n">
        <v>0.000466701156371908</v>
      </c>
      <c r="AM76" s="66" t="n">
        <v>0.000990413430277585</v>
      </c>
      <c r="AN76" s="66" t="n">
        <v>0.000209158462692322</v>
      </c>
      <c r="AO76" s="66" t="n">
        <v>0.0012451425098227</v>
      </c>
      <c r="AP76" s="66" t="n">
        <v>0.000615591562732972</v>
      </c>
      <c r="AQ76" s="67" t="n">
        <v>0</v>
      </c>
      <c r="AR76" s="52" t="n">
        <v>0.0543170687294293</v>
      </c>
    </row>
    <row r="77" customFormat="false" ht="12.75" hidden="false" customHeight="false" outlineLevel="0" collapsed="false">
      <c r="B77" s="35" t="s">
        <v>306</v>
      </c>
      <c r="C77" s="53" t="s">
        <v>307</v>
      </c>
      <c r="D77" s="62" t="n">
        <v>2130.91903902314</v>
      </c>
      <c r="E77" s="62" t="n">
        <v>71.7033736075153</v>
      </c>
      <c r="F77" s="62" t="n">
        <v>454.177672455078</v>
      </c>
      <c r="G77" s="62" t="n">
        <v>84.0831923413777</v>
      </c>
      <c r="H77" s="62" t="n">
        <v>8.90925168407732</v>
      </c>
      <c r="I77" s="62" t="n">
        <v>2.18041245814002</v>
      </c>
      <c r="J77" s="62" t="n">
        <v>25.5131531570974</v>
      </c>
      <c r="K77" s="62" t="n">
        <v>51.9942826590842</v>
      </c>
      <c r="L77" s="62" t="n">
        <v>24.0210663946235</v>
      </c>
      <c r="M77" s="62" t="n">
        <v>46.5906291438183</v>
      </c>
      <c r="N77" s="62" t="n">
        <v>171.06175098491</v>
      </c>
      <c r="O77" s="62" t="n">
        <v>1034.0297456053</v>
      </c>
      <c r="P77" s="62" t="n">
        <v>18.000614913973</v>
      </c>
      <c r="Q77" s="62" t="n">
        <v>4.08464572581399</v>
      </c>
      <c r="R77" s="62" t="n">
        <v>10.383121577906</v>
      </c>
      <c r="S77" s="62" t="n">
        <v>17.3226478557754</v>
      </c>
      <c r="T77" s="62" t="n">
        <v>187.730990453124</v>
      </c>
      <c r="U77" s="62" t="n">
        <v>1305.11471895202</v>
      </c>
      <c r="V77" s="62" t="n">
        <v>5.67532115466873</v>
      </c>
      <c r="W77" s="62" t="n">
        <v>118.032529290481</v>
      </c>
      <c r="X77" s="62" t="n">
        <v>594.249958993309</v>
      </c>
      <c r="Y77" s="62" t="n">
        <v>174.386369225027</v>
      </c>
      <c r="Z77" s="62" t="n">
        <v>272.12365012267</v>
      </c>
      <c r="AA77" s="62" t="n">
        <v>2.61803795846701</v>
      </c>
      <c r="AB77" s="62" t="n">
        <v>13.9953233659749</v>
      </c>
      <c r="AC77" s="62" t="n">
        <v>82.3104345564432</v>
      </c>
      <c r="AD77" s="62" t="n">
        <v>236.903333392427</v>
      </c>
      <c r="AE77" s="62" t="n">
        <v>1357.78371881868</v>
      </c>
      <c r="AF77" s="62" t="n">
        <v>98.9659245436065</v>
      </c>
      <c r="AG77" s="62" t="n">
        <v>76.2089117214287</v>
      </c>
      <c r="AH77" s="62" t="n">
        <v>198.328586473827</v>
      </c>
      <c r="AI77" s="62" t="n">
        <v>137.86818764622</v>
      </c>
      <c r="AJ77" s="62" t="n">
        <v>90.0533706758665</v>
      </c>
      <c r="AK77" s="62" t="n">
        <v>109.708573307507</v>
      </c>
      <c r="AL77" s="62" t="n">
        <v>5641.10295585868</v>
      </c>
      <c r="AM77" s="62" t="n">
        <v>81.576761919735</v>
      </c>
      <c r="AN77" s="62" t="n">
        <v>1302.21019653322</v>
      </c>
      <c r="AO77" s="62" t="n">
        <v>2211.36702851592</v>
      </c>
      <c r="AP77" s="62" t="n">
        <v>218.46815532723</v>
      </c>
      <c r="AQ77" s="62" t="n">
        <v>2712.83160576487</v>
      </c>
      <c r="AR77" s="68" t="n">
        <v>21384.589244159</v>
      </c>
    </row>
    <row r="78" customFormat="false" ht="12.75" hidden="false" customHeight="false" outlineLevel="0" collapsed="false">
      <c r="B78" s="69" t="s">
        <v>308</v>
      </c>
      <c r="C78" s="50" t="s">
        <v>309</v>
      </c>
      <c r="D78" s="70" t="n">
        <v>15.4867950488324</v>
      </c>
      <c r="E78" s="70" t="n">
        <v>2.738770433787</v>
      </c>
      <c r="F78" s="70" t="n">
        <v>14.7115165484692</v>
      </c>
      <c r="G78" s="70" t="n">
        <v>2.91911882718973</v>
      </c>
      <c r="H78" s="70" t="n">
        <v>0.309302770303639</v>
      </c>
      <c r="I78" s="70" t="n">
        <v>0.0871253379386559</v>
      </c>
      <c r="J78" s="70" t="n">
        <v>0.71558914030273</v>
      </c>
      <c r="K78" s="70" t="n">
        <v>3.18336641187788</v>
      </c>
      <c r="L78" s="70" t="n">
        <v>1.47203489149477</v>
      </c>
      <c r="M78" s="70" t="n">
        <v>2.4768402429753</v>
      </c>
      <c r="N78" s="70" t="n">
        <v>9.09394521300341</v>
      </c>
      <c r="O78" s="70" t="n">
        <v>25.6381427081629</v>
      </c>
      <c r="P78" s="70" t="n">
        <v>0.730881983740226</v>
      </c>
      <c r="Q78" s="70" t="n">
        <v>0.168873701018965</v>
      </c>
      <c r="R78" s="70" t="n">
        <v>0.431117105330235</v>
      </c>
      <c r="S78" s="70" t="n">
        <v>0.560543174723397</v>
      </c>
      <c r="T78" s="70" t="n">
        <v>12.5204689449896</v>
      </c>
      <c r="U78" s="70" t="n">
        <v>60.2412185043269</v>
      </c>
      <c r="V78" s="70" t="n">
        <v>0.518347173257253</v>
      </c>
      <c r="W78" s="70" t="n">
        <v>6.68103784798842</v>
      </c>
      <c r="X78" s="70" t="n">
        <v>41.3765837617069</v>
      </c>
      <c r="Y78" s="70" t="n">
        <v>8.49973514904037</v>
      </c>
      <c r="Z78" s="70" t="n">
        <v>14.568980021609</v>
      </c>
      <c r="AA78" s="70" t="n">
        <v>0.13119524698836</v>
      </c>
      <c r="AB78" s="70" t="n">
        <v>0.764603930308264</v>
      </c>
      <c r="AC78" s="70" t="n">
        <v>4.48847115495376</v>
      </c>
      <c r="AD78" s="70" t="n">
        <v>16.3790083476229</v>
      </c>
      <c r="AE78" s="70" t="n">
        <v>21.0679109844074</v>
      </c>
      <c r="AF78" s="70" t="n">
        <v>6.75359820615993</v>
      </c>
      <c r="AG78" s="70" t="n">
        <v>3.30381206886424</v>
      </c>
      <c r="AH78" s="70" t="n">
        <v>8.7640204346156</v>
      </c>
      <c r="AI78" s="70" t="n">
        <v>4.78690947104677</v>
      </c>
      <c r="AJ78" s="70" t="n">
        <v>3.35734034666435</v>
      </c>
      <c r="AK78" s="70" t="n">
        <v>4.46359845736243</v>
      </c>
      <c r="AL78" s="70" t="n">
        <v>544.854446664088</v>
      </c>
      <c r="AM78" s="70" t="n">
        <v>2.04367962018318</v>
      </c>
      <c r="AN78" s="70" t="n">
        <v>17.9048222629381</v>
      </c>
      <c r="AO78" s="70" t="n">
        <v>132.824914110205</v>
      </c>
      <c r="AP78" s="70" t="n">
        <v>7.21673010276284</v>
      </c>
      <c r="AQ78" s="51" t="n">
        <v>0</v>
      </c>
      <c r="AR78" s="52" t="n">
        <v>1004.23539635124</v>
      </c>
    </row>
    <row r="79" customFormat="false" ht="12.75" hidden="false" customHeight="false" outlineLevel="0" collapsed="false">
      <c r="B79" s="69" t="s">
        <v>310</v>
      </c>
      <c r="C79" s="50" t="s">
        <v>311</v>
      </c>
      <c r="D79" s="70" t="n">
        <v>0</v>
      </c>
      <c r="E79" s="70" t="n">
        <v>0</v>
      </c>
      <c r="F79" s="70" t="n">
        <v>0</v>
      </c>
      <c r="G79" s="70" t="n">
        <v>0</v>
      </c>
      <c r="H79" s="70" t="n">
        <v>0</v>
      </c>
      <c r="I79" s="70" t="n">
        <v>0</v>
      </c>
      <c r="J79" s="70" t="n">
        <v>0</v>
      </c>
      <c r="K79" s="70" t="n">
        <v>0</v>
      </c>
      <c r="L79" s="70" t="n">
        <v>0</v>
      </c>
      <c r="M79" s="70" t="n">
        <v>0</v>
      </c>
      <c r="N79" s="70" t="n">
        <v>0</v>
      </c>
      <c r="O79" s="70" t="n">
        <v>0</v>
      </c>
      <c r="P79" s="70" t="n">
        <v>0</v>
      </c>
      <c r="Q79" s="70" t="n">
        <v>0</v>
      </c>
      <c r="R79" s="70" t="n">
        <v>0</v>
      </c>
      <c r="S79" s="70" t="n">
        <v>0</v>
      </c>
      <c r="T79" s="70" t="n">
        <v>0</v>
      </c>
      <c r="U79" s="70" t="n">
        <v>0</v>
      </c>
      <c r="V79" s="70" t="n">
        <v>0</v>
      </c>
      <c r="W79" s="70" t="n">
        <v>0</v>
      </c>
      <c r="X79" s="70" t="n">
        <v>0</v>
      </c>
      <c r="Y79" s="70" t="n">
        <v>0</v>
      </c>
      <c r="Z79" s="70" t="n">
        <v>0</v>
      </c>
      <c r="AA79" s="70" t="n">
        <v>0</v>
      </c>
      <c r="AB79" s="70" t="n">
        <v>0</v>
      </c>
      <c r="AC79" s="70" t="n">
        <v>0</v>
      </c>
      <c r="AD79" s="70" t="n">
        <v>0</v>
      </c>
      <c r="AE79" s="70" t="n">
        <v>0</v>
      </c>
      <c r="AF79" s="70" t="n">
        <v>0</v>
      </c>
      <c r="AG79" s="70" t="n">
        <v>0</v>
      </c>
      <c r="AH79" s="70" t="n">
        <v>0</v>
      </c>
      <c r="AI79" s="70" t="n">
        <v>0</v>
      </c>
      <c r="AJ79" s="70" t="n">
        <v>0</v>
      </c>
      <c r="AK79" s="70" t="n">
        <v>0</v>
      </c>
      <c r="AL79" s="70" t="n">
        <v>0</v>
      </c>
      <c r="AM79" s="70" t="n">
        <v>0</v>
      </c>
      <c r="AN79" s="70" t="n">
        <v>0</v>
      </c>
      <c r="AO79" s="70" t="n">
        <v>0</v>
      </c>
      <c r="AP79" s="70" t="n">
        <v>0</v>
      </c>
      <c r="AQ79" s="51" t="n">
        <v>0</v>
      </c>
      <c r="AR79" s="52" t="n">
        <v>0</v>
      </c>
    </row>
    <row r="80" customFormat="false" ht="12.75" hidden="false" customHeight="false" outlineLevel="0" collapsed="false">
      <c r="B80" s="69" t="s">
        <v>312</v>
      </c>
      <c r="C80" s="50" t="s">
        <v>313</v>
      </c>
      <c r="D80" s="70" t="n">
        <v>0</v>
      </c>
      <c r="E80" s="70" t="n">
        <v>0</v>
      </c>
      <c r="F80" s="70" t="n">
        <v>0</v>
      </c>
      <c r="G80" s="70" t="n">
        <v>0</v>
      </c>
      <c r="H80" s="70" t="n">
        <v>0</v>
      </c>
      <c r="I80" s="70" t="n">
        <v>0</v>
      </c>
      <c r="J80" s="70" t="n">
        <v>0</v>
      </c>
      <c r="K80" s="70" t="n">
        <v>0</v>
      </c>
      <c r="L80" s="70" t="n">
        <v>0</v>
      </c>
      <c r="M80" s="70" t="n">
        <v>0</v>
      </c>
      <c r="N80" s="70" t="n">
        <v>0</v>
      </c>
      <c r="O80" s="70" t="n">
        <v>0</v>
      </c>
      <c r="P80" s="70" t="n">
        <v>0</v>
      </c>
      <c r="Q80" s="70" t="n">
        <v>0</v>
      </c>
      <c r="R80" s="70" t="n">
        <v>0</v>
      </c>
      <c r="S80" s="70" t="n">
        <v>0</v>
      </c>
      <c r="T80" s="70" t="n">
        <v>0</v>
      </c>
      <c r="U80" s="70" t="n">
        <v>0</v>
      </c>
      <c r="V80" s="70" t="n">
        <v>0</v>
      </c>
      <c r="W80" s="70" t="n">
        <v>0</v>
      </c>
      <c r="X80" s="70" t="n">
        <v>0</v>
      </c>
      <c r="Y80" s="70" t="n">
        <v>0</v>
      </c>
      <c r="Z80" s="70" t="n">
        <v>0</v>
      </c>
      <c r="AA80" s="70" t="n">
        <v>0</v>
      </c>
      <c r="AB80" s="70" t="n">
        <v>0</v>
      </c>
      <c r="AC80" s="70" t="n">
        <v>0</v>
      </c>
      <c r="AD80" s="70" t="n">
        <v>0</v>
      </c>
      <c r="AE80" s="70" t="n">
        <v>0</v>
      </c>
      <c r="AF80" s="70" t="n">
        <v>0</v>
      </c>
      <c r="AG80" s="70" t="n">
        <v>0</v>
      </c>
      <c r="AH80" s="70" t="n">
        <v>0</v>
      </c>
      <c r="AI80" s="70" t="n">
        <v>0</v>
      </c>
      <c r="AJ80" s="70" t="n">
        <v>0</v>
      </c>
      <c r="AK80" s="70" t="n">
        <v>0</v>
      </c>
      <c r="AL80" s="70" t="n">
        <v>0</v>
      </c>
      <c r="AM80" s="70" t="n">
        <v>0</v>
      </c>
      <c r="AN80" s="70" t="n">
        <v>0</v>
      </c>
      <c r="AO80" s="70" t="n">
        <v>0</v>
      </c>
      <c r="AP80" s="70" t="n">
        <v>0</v>
      </c>
      <c r="AQ80" s="51" t="n">
        <v>0</v>
      </c>
      <c r="AR80" s="52" t="n">
        <v>0</v>
      </c>
    </row>
    <row r="81" customFormat="false" ht="12.75" hidden="false" customHeight="false" outlineLevel="0" collapsed="false">
      <c r="B81" s="69" t="s">
        <v>314</v>
      </c>
      <c r="C81" s="50" t="s">
        <v>315</v>
      </c>
      <c r="D81" s="70" t="n">
        <v>0</v>
      </c>
      <c r="E81" s="70" t="n">
        <v>0</v>
      </c>
      <c r="F81" s="70" t="n">
        <v>0</v>
      </c>
      <c r="G81" s="70" t="n">
        <v>0</v>
      </c>
      <c r="H81" s="70" t="n">
        <v>0</v>
      </c>
      <c r="I81" s="70" t="n">
        <v>0</v>
      </c>
      <c r="J81" s="70" t="n">
        <v>0</v>
      </c>
      <c r="K81" s="70" t="n">
        <v>0</v>
      </c>
      <c r="L81" s="70" t="n">
        <v>0</v>
      </c>
      <c r="M81" s="70" t="n">
        <v>0</v>
      </c>
      <c r="N81" s="70" t="n">
        <v>0</v>
      </c>
      <c r="O81" s="70" t="n">
        <v>0</v>
      </c>
      <c r="P81" s="70" t="n">
        <v>0</v>
      </c>
      <c r="Q81" s="70" t="n">
        <v>0</v>
      </c>
      <c r="R81" s="70" t="n">
        <v>0</v>
      </c>
      <c r="S81" s="70" t="n">
        <v>0</v>
      </c>
      <c r="T81" s="70" t="n">
        <v>0</v>
      </c>
      <c r="U81" s="70" t="n">
        <v>0</v>
      </c>
      <c r="V81" s="70" t="n">
        <v>0</v>
      </c>
      <c r="W81" s="70" t="n">
        <v>0</v>
      </c>
      <c r="X81" s="70" t="n">
        <v>0</v>
      </c>
      <c r="Y81" s="70" t="n">
        <v>0</v>
      </c>
      <c r="Z81" s="70" t="n">
        <v>0</v>
      </c>
      <c r="AA81" s="70" t="n">
        <v>0</v>
      </c>
      <c r="AB81" s="70" t="n">
        <v>0</v>
      </c>
      <c r="AC81" s="70" t="n">
        <v>0</v>
      </c>
      <c r="AD81" s="70" t="n">
        <v>0</v>
      </c>
      <c r="AE81" s="70" t="n">
        <v>0</v>
      </c>
      <c r="AF81" s="70" t="n">
        <v>0</v>
      </c>
      <c r="AG81" s="70" t="n">
        <v>0</v>
      </c>
      <c r="AH81" s="70" t="n">
        <v>0</v>
      </c>
      <c r="AI81" s="70" t="n">
        <v>0</v>
      </c>
      <c r="AJ81" s="70" t="n">
        <v>0</v>
      </c>
      <c r="AK81" s="70" t="n">
        <v>0</v>
      </c>
      <c r="AL81" s="70" t="n">
        <v>0</v>
      </c>
      <c r="AM81" s="70" t="n">
        <v>0</v>
      </c>
      <c r="AN81" s="70" t="n">
        <v>0</v>
      </c>
      <c r="AO81" s="70" t="n">
        <v>0</v>
      </c>
      <c r="AP81" s="70" t="n">
        <v>0</v>
      </c>
      <c r="AQ81" s="51" t="n">
        <v>0</v>
      </c>
      <c r="AR81" s="52" t="n">
        <v>0</v>
      </c>
    </row>
    <row r="82" customFormat="false" ht="12.75" hidden="false" customHeight="false" outlineLevel="0" collapsed="false">
      <c r="B82" s="71" t="s">
        <v>316</v>
      </c>
      <c r="C82" s="72" t="s">
        <v>317</v>
      </c>
      <c r="D82" s="73" t="n">
        <v>908.062139988137</v>
      </c>
      <c r="E82" s="73" t="n">
        <v>70.9807281169269</v>
      </c>
      <c r="F82" s="73" t="n">
        <v>174.128158049606</v>
      </c>
      <c r="G82" s="73" t="n">
        <v>41.3085218587135</v>
      </c>
      <c r="H82" s="73" t="n">
        <v>4.37695106106692</v>
      </c>
      <c r="I82" s="73" t="n">
        <v>1.68225539393386</v>
      </c>
      <c r="J82" s="73" t="n">
        <v>13.2511937172421</v>
      </c>
      <c r="K82" s="73" t="n">
        <v>29.5295096869655</v>
      </c>
      <c r="L82" s="73" t="n">
        <v>13.6548744202851</v>
      </c>
      <c r="M82" s="73" t="n">
        <v>27.2723558503649</v>
      </c>
      <c r="N82" s="73" t="n">
        <v>100.132945851536</v>
      </c>
      <c r="O82" s="73" t="n">
        <v>668.722530936475</v>
      </c>
      <c r="P82" s="73" t="n">
        <v>15.466765562723</v>
      </c>
      <c r="Q82" s="73" t="n">
        <v>3.5736685285405</v>
      </c>
      <c r="R82" s="73" t="n">
        <v>9.12320640891931</v>
      </c>
      <c r="S82" s="73" t="n">
        <v>10.264208633239</v>
      </c>
      <c r="T82" s="73" t="n">
        <v>158.319981109117</v>
      </c>
      <c r="U82" s="73" t="n">
        <v>607.031349301701</v>
      </c>
      <c r="V82" s="73" t="n">
        <v>19.9321699822008</v>
      </c>
      <c r="W82" s="73" t="n">
        <v>247.099276089851</v>
      </c>
      <c r="X82" s="73" t="n">
        <v>1051.21964475764</v>
      </c>
      <c r="Y82" s="73" t="n">
        <v>126.219380524158</v>
      </c>
      <c r="Z82" s="73" t="n">
        <v>208.293833306349</v>
      </c>
      <c r="AA82" s="73" t="n">
        <v>1.87570858538118</v>
      </c>
      <c r="AB82" s="73" t="n">
        <v>10.9316014826562</v>
      </c>
      <c r="AC82" s="73" t="n">
        <v>64.1720189857907</v>
      </c>
      <c r="AD82" s="73" t="n">
        <v>265.071727319749</v>
      </c>
      <c r="AE82" s="73" t="n">
        <v>213.814544752513</v>
      </c>
      <c r="AF82" s="73" t="n">
        <v>168.012088976008</v>
      </c>
      <c r="AG82" s="73" t="n">
        <v>126.363595695919</v>
      </c>
      <c r="AH82" s="73" t="n">
        <v>402.336293351733</v>
      </c>
      <c r="AI82" s="73" t="n">
        <v>450.393878529797</v>
      </c>
      <c r="AJ82" s="73" t="n">
        <v>239.510295062196</v>
      </c>
      <c r="AK82" s="73" t="n">
        <v>115.643601261671</v>
      </c>
      <c r="AL82" s="70" t="n">
        <v>0</v>
      </c>
      <c r="AM82" s="70" t="n">
        <v>0</v>
      </c>
      <c r="AN82" s="70" t="n">
        <v>0</v>
      </c>
      <c r="AO82" s="70" t="n">
        <v>0</v>
      </c>
      <c r="AP82" s="70" t="n">
        <v>0</v>
      </c>
      <c r="AQ82" s="51" t="n">
        <v>0</v>
      </c>
      <c r="AR82" s="52" t="n">
        <v>6567.77100313911</v>
      </c>
    </row>
    <row r="83" customFormat="false" ht="12.75" hidden="false" customHeight="false" outlineLevel="0" collapsed="false">
      <c r="B83" s="69" t="s">
        <v>318</v>
      </c>
      <c r="C83" s="50"/>
      <c r="D83" s="70" t="n">
        <v>0</v>
      </c>
      <c r="E83" s="70" t="n">
        <v>0</v>
      </c>
      <c r="F83" s="70" t="n">
        <v>0</v>
      </c>
      <c r="G83" s="70" t="n">
        <v>0</v>
      </c>
      <c r="H83" s="70" t="n">
        <v>0</v>
      </c>
      <c r="I83" s="70" t="n">
        <v>0</v>
      </c>
      <c r="J83" s="70" t="n">
        <v>0</v>
      </c>
      <c r="K83" s="70" t="n">
        <v>0</v>
      </c>
      <c r="L83" s="70" t="n">
        <v>0</v>
      </c>
      <c r="M83" s="70" t="n">
        <v>0</v>
      </c>
      <c r="N83" s="70" t="n">
        <v>0</v>
      </c>
      <c r="O83" s="70" t="n">
        <v>0</v>
      </c>
      <c r="P83" s="70" t="n">
        <v>0</v>
      </c>
      <c r="Q83" s="70" t="n">
        <v>0</v>
      </c>
      <c r="R83" s="70" t="n">
        <v>0</v>
      </c>
      <c r="S83" s="70" t="n">
        <v>0</v>
      </c>
      <c r="T83" s="70" t="n">
        <v>0</v>
      </c>
      <c r="U83" s="70" t="n">
        <v>0</v>
      </c>
      <c r="V83" s="70" t="n">
        <v>0</v>
      </c>
      <c r="W83" s="70" t="n">
        <v>0</v>
      </c>
      <c r="X83" s="70" t="n">
        <v>0</v>
      </c>
      <c r="Y83" s="70" t="n">
        <v>0</v>
      </c>
      <c r="Z83" s="70" t="n">
        <v>0</v>
      </c>
      <c r="AA83" s="70" t="n">
        <v>0</v>
      </c>
      <c r="AB83" s="70" t="n">
        <v>0</v>
      </c>
      <c r="AC83" s="70" t="n">
        <v>0</v>
      </c>
      <c r="AD83" s="70" t="n">
        <v>0</v>
      </c>
      <c r="AE83" s="70" t="n">
        <v>0</v>
      </c>
      <c r="AF83" s="70" t="n">
        <v>0</v>
      </c>
      <c r="AG83" s="70" t="n">
        <v>0</v>
      </c>
      <c r="AH83" s="70" t="n">
        <v>0</v>
      </c>
      <c r="AI83" s="70" t="n">
        <v>0</v>
      </c>
      <c r="AJ83" s="70" t="n">
        <v>0</v>
      </c>
      <c r="AK83" s="70" t="n">
        <v>0</v>
      </c>
      <c r="AL83" s="70" t="n">
        <v>0</v>
      </c>
      <c r="AM83" s="70" t="n">
        <v>0</v>
      </c>
      <c r="AN83" s="70" t="n">
        <v>0</v>
      </c>
      <c r="AO83" s="70" t="n">
        <v>0</v>
      </c>
      <c r="AP83" s="70" t="n">
        <v>0</v>
      </c>
      <c r="AQ83" s="51" t="n">
        <v>0</v>
      </c>
      <c r="AR83" s="52" t="n">
        <v>0</v>
      </c>
    </row>
    <row r="84" customFormat="false" ht="12.75" hidden="false" customHeight="false" outlineLevel="0" collapsed="false">
      <c r="B84" s="74" t="s">
        <v>319</v>
      </c>
      <c r="C84" s="75" t="s">
        <v>320</v>
      </c>
      <c r="D84" s="76" t="n">
        <v>3054.46797406011</v>
      </c>
      <c r="E84" s="76" t="n">
        <v>145.422872158229</v>
      </c>
      <c r="F84" s="76" t="n">
        <v>643.017347053154</v>
      </c>
      <c r="G84" s="76" t="n">
        <v>128.310833027281</v>
      </c>
      <c r="H84" s="76" t="n">
        <v>13.5955055154479</v>
      </c>
      <c r="I84" s="76" t="n">
        <v>3.94979319001253</v>
      </c>
      <c r="J84" s="76" t="n">
        <v>39.4799360146423</v>
      </c>
      <c r="K84" s="76" t="n">
        <v>84.7071587579276</v>
      </c>
      <c r="L84" s="76" t="n">
        <v>39.1479757064034</v>
      </c>
      <c r="M84" s="76" t="n">
        <v>76.3398252371585</v>
      </c>
      <c r="N84" s="76" t="n">
        <v>280.288642049449</v>
      </c>
      <c r="O84" s="76" t="n">
        <v>1728.39041924994</v>
      </c>
      <c r="P84" s="76" t="n">
        <v>34.1982624604363</v>
      </c>
      <c r="Q84" s="76" t="n">
        <v>7.82718795537345</v>
      </c>
      <c r="R84" s="76" t="n">
        <v>19.9374450921555</v>
      </c>
      <c r="S84" s="76" t="n">
        <v>28.1473996637378</v>
      </c>
      <c r="T84" s="76" t="n">
        <v>358.571440507231</v>
      </c>
      <c r="U84" s="76" t="n">
        <v>1972.38728675805</v>
      </c>
      <c r="V84" s="76" t="n">
        <v>26.1258383101268</v>
      </c>
      <c r="W84" s="76" t="n">
        <v>371.81284322832</v>
      </c>
      <c r="X84" s="76" t="n">
        <v>1686.84618751266</v>
      </c>
      <c r="Y84" s="76" t="n">
        <v>309.105484898226</v>
      </c>
      <c r="Z84" s="76" t="n">
        <v>494.986463450628</v>
      </c>
      <c r="AA84" s="76" t="n">
        <v>4.62494179083655</v>
      </c>
      <c r="AB84" s="76" t="n">
        <v>25.6915287789394</v>
      </c>
      <c r="AC84" s="76" t="n">
        <v>150.970924697188</v>
      </c>
      <c r="AD84" s="76" t="n">
        <v>518.354069059799</v>
      </c>
      <c r="AE84" s="76" t="n">
        <v>1592.6661745556</v>
      </c>
      <c r="AF84" s="76" t="n">
        <v>273.731611725774</v>
      </c>
      <c r="AG84" s="76" t="n">
        <v>205.876319486212</v>
      </c>
      <c r="AH84" s="76" t="n">
        <v>609.428900260175</v>
      </c>
      <c r="AI84" s="76" t="n">
        <v>593.048975647064</v>
      </c>
      <c r="AJ84" s="76" t="n">
        <v>332.921006084727</v>
      </c>
      <c r="AK84" s="76" t="n">
        <v>229.81577302654</v>
      </c>
      <c r="AL84" s="76" t="n">
        <v>6185.95740252277</v>
      </c>
      <c r="AM84" s="76" t="n">
        <v>83.6204415399182</v>
      </c>
      <c r="AN84" s="76" t="n">
        <v>1320.11501879616</v>
      </c>
      <c r="AO84" s="76" t="n">
        <v>2344.19194262613</v>
      </c>
      <c r="AP84" s="76" t="n">
        <v>225.684885429993</v>
      </c>
      <c r="AQ84" s="76" t="n">
        <v>2712.83160576487</v>
      </c>
      <c r="AR84" s="77" t="n">
        <v>28956.5956436494</v>
      </c>
    </row>
    <row r="85" customFormat="false" ht="12.75" hidden="false" customHeight="false" outlineLevel="0" collapsed="false">
      <c r="B85" s="78"/>
    </row>
    <row r="86" customFormat="false" ht="12.75" hidden="false" customHeight="false" outlineLevel="0" collapsed="false">
      <c r="B86" s="19" t="s">
        <v>321</v>
      </c>
    </row>
    <row r="87" customFormat="false" ht="12.75" hidden="false" customHeight="false" outlineLevel="0" collapsed="false">
      <c r="B87" s="19" t="s">
        <v>322</v>
      </c>
    </row>
    <row r="89" customFormat="false" ht="12.75" hidden="false" customHeight="false" outlineLevel="0" collapsed="false">
      <c r="B89" s="30" t="s">
        <v>323</v>
      </c>
    </row>
    <row r="91" s="79" customFormat="true" ht="12.75" hidden="true" customHeight="false" outlineLevel="0" collapsed="false">
      <c r="D91" s="80" t="s">
        <v>324</v>
      </c>
      <c r="E91" s="80"/>
      <c r="F91" s="80"/>
      <c r="G91" s="80"/>
      <c r="H91" s="80"/>
      <c r="I91" s="80"/>
      <c r="J91" s="80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  <c r="AD91" s="81"/>
      <c r="AE91" s="81"/>
      <c r="AF91" s="81"/>
      <c r="AG91" s="81"/>
      <c r="AH91" s="81"/>
      <c r="AI91" s="81"/>
      <c r="AJ91" s="81"/>
      <c r="AK91" s="81"/>
      <c r="AS91" s="81"/>
    </row>
    <row r="92" s="79" customFormat="true" ht="12.75" hidden="true" customHeight="false" outlineLevel="0" collapsed="false">
      <c r="D92" s="82" t="s">
        <v>325</v>
      </c>
      <c r="E92" s="82"/>
      <c r="F92" s="82"/>
      <c r="G92" s="82"/>
      <c r="H92" s="82"/>
      <c r="I92" s="82" t="s">
        <v>326</v>
      </c>
      <c r="J92" s="82"/>
      <c r="K92" s="82"/>
      <c r="L92" s="82"/>
      <c r="M92" s="82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  <c r="AD92" s="81"/>
      <c r="AE92" s="81"/>
      <c r="AF92" s="81"/>
      <c r="AG92" s="81"/>
      <c r="AH92" s="81"/>
      <c r="AI92" s="81"/>
      <c r="AJ92" s="81"/>
      <c r="AK92" s="81"/>
      <c r="AL92" s="81"/>
      <c r="AM92" s="81"/>
      <c r="AN92" s="81"/>
      <c r="AV92" s="81"/>
      <c r="AW92" s="81"/>
    </row>
    <row r="93" s="79" customFormat="true" ht="12.75" hidden="true" customHeight="false" outlineLevel="0" collapsed="false">
      <c r="D93" s="83" t="s">
        <v>327</v>
      </c>
      <c r="E93" s="83"/>
      <c r="F93" s="83"/>
      <c r="G93" s="83"/>
      <c r="H93" s="84" t="n">
        <v>410979.720080867</v>
      </c>
      <c r="I93" s="83" t="s">
        <v>328</v>
      </c>
      <c r="J93" s="83"/>
      <c r="K93" s="83"/>
      <c r="L93" s="83"/>
      <c r="M93" s="84" t="n">
        <v>168320.45797956</v>
      </c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  <c r="AD93" s="81"/>
      <c r="AE93" s="81"/>
      <c r="AF93" s="81"/>
      <c r="AG93" s="81"/>
      <c r="AH93" s="81"/>
      <c r="AI93" s="81"/>
      <c r="AJ93" s="81"/>
      <c r="AK93" s="81"/>
      <c r="AL93" s="81"/>
      <c r="AM93" s="81"/>
      <c r="AN93" s="81"/>
      <c r="AV93" s="81"/>
      <c r="AW93" s="81"/>
    </row>
    <row r="94" s="79" customFormat="true" ht="12.75" hidden="true" customHeight="false" outlineLevel="0" collapsed="false">
      <c r="D94" s="83" t="s">
        <v>329</v>
      </c>
      <c r="E94" s="83"/>
      <c r="F94" s="83"/>
      <c r="G94" s="83"/>
      <c r="H94" s="84" t="n">
        <v>-178510.768238832</v>
      </c>
      <c r="I94" s="83" t="s">
        <v>330</v>
      </c>
      <c r="J94" s="83"/>
      <c r="K94" s="83"/>
      <c r="L94" s="83"/>
      <c r="M94" s="84" t="n">
        <v>0</v>
      </c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  <c r="AD94" s="81"/>
      <c r="AE94" s="81"/>
      <c r="AF94" s="81"/>
      <c r="AG94" s="81"/>
      <c r="AH94" s="81"/>
      <c r="AI94" s="81"/>
      <c r="AJ94" s="81"/>
      <c r="AK94" s="81"/>
      <c r="AL94" s="81"/>
      <c r="AM94" s="81"/>
      <c r="AN94" s="81"/>
      <c r="AV94" s="81"/>
      <c r="AW94" s="81"/>
    </row>
    <row r="95" s="79" customFormat="true" ht="12.75" hidden="true" customHeight="false" outlineLevel="0" collapsed="false">
      <c r="D95" s="83" t="s">
        <v>331</v>
      </c>
      <c r="E95" s="83"/>
      <c r="F95" s="83"/>
      <c r="G95" s="83"/>
      <c r="H95" s="84" t="n">
        <v>232468.951842035</v>
      </c>
      <c r="I95" s="83" t="s">
        <v>332</v>
      </c>
      <c r="J95" s="83"/>
      <c r="K95" s="83"/>
      <c r="L95" s="83"/>
      <c r="M95" s="84" t="n">
        <v>14736.4146733129</v>
      </c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  <c r="AD95" s="81"/>
      <c r="AE95" s="81"/>
      <c r="AF95" s="81"/>
      <c r="AG95" s="81"/>
      <c r="AH95" s="81"/>
      <c r="AI95" s="81"/>
      <c r="AJ95" s="81"/>
      <c r="AK95" s="81"/>
      <c r="AL95" s="81"/>
      <c r="AM95" s="81"/>
      <c r="AN95" s="81"/>
      <c r="AV95" s="81"/>
      <c r="AW95" s="81"/>
    </row>
    <row r="96" s="79" customFormat="true" ht="12.75" hidden="true" customHeight="false" outlineLevel="0" collapsed="false">
      <c r="D96" s="83" t="s">
        <v>333</v>
      </c>
      <c r="E96" s="83"/>
      <c r="F96" s="83"/>
      <c r="G96" s="83"/>
      <c r="H96" s="84" t="n">
        <v>13164.5370813069</v>
      </c>
      <c r="I96" s="83" t="s">
        <v>334</v>
      </c>
      <c r="J96" s="83"/>
      <c r="K96" s="83"/>
      <c r="L96" s="83"/>
      <c r="M96" s="84" t="n">
        <v>75579.06646279</v>
      </c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  <c r="AD96" s="81"/>
      <c r="AE96" s="81"/>
      <c r="AF96" s="81"/>
      <c r="AG96" s="81"/>
      <c r="AH96" s="81"/>
      <c r="AI96" s="81"/>
      <c r="AJ96" s="81"/>
      <c r="AK96" s="81"/>
      <c r="AL96" s="81"/>
      <c r="AM96" s="81"/>
      <c r="AN96" s="81"/>
      <c r="AV96" s="81"/>
      <c r="AW96" s="81"/>
    </row>
    <row r="97" s="79" customFormat="true" ht="12.75" hidden="true" customHeight="false" outlineLevel="0" collapsed="false">
      <c r="D97" s="83"/>
      <c r="E97" s="85"/>
      <c r="F97" s="85"/>
      <c r="G97" s="85"/>
      <c r="H97" s="84"/>
      <c r="I97" s="83" t="s">
        <v>335</v>
      </c>
      <c r="J97" s="85"/>
      <c r="K97" s="85"/>
      <c r="L97" s="85"/>
      <c r="M97" s="84" t="n">
        <v>0</v>
      </c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  <c r="AD97" s="81"/>
      <c r="AE97" s="81"/>
      <c r="AF97" s="81"/>
      <c r="AG97" s="81"/>
      <c r="AH97" s="81"/>
      <c r="AI97" s="81"/>
      <c r="AJ97" s="81"/>
      <c r="AK97" s="81"/>
      <c r="AL97" s="81"/>
      <c r="AM97" s="81"/>
      <c r="AN97" s="81"/>
      <c r="AV97" s="81"/>
      <c r="AW97" s="81"/>
    </row>
    <row r="98" s="79" customFormat="true" ht="12.75" hidden="true" customHeight="false" outlineLevel="0" collapsed="false">
      <c r="D98" s="83"/>
      <c r="E98" s="83"/>
      <c r="F98" s="83"/>
      <c r="G98" s="83"/>
      <c r="H98" s="84"/>
      <c r="I98" s="83" t="s">
        <v>336</v>
      </c>
      <c r="J98" s="83"/>
      <c r="K98" s="83"/>
      <c r="L98" s="83"/>
      <c r="M98" s="84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  <c r="AD98" s="81"/>
      <c r="AE98" s="81"/>
      <c r="AF98" s="81"/>
      <c r="AG98" s="81"/>
      <c r="AH98" s="81"/>
      <c r="AI98" s="81"/>
      <c r="AJ98" s="81"/>
      <c r="AK98" s="81"/>
      <c r="AL98" s="81"/>
      <c r="AM98" s="81"/>
      <c r="AN98" s="81"/>
      <c r="AV98" s="81"/>
      <c r="AW98" s="81"/>
    </row>
    <row r="99" s="79" customFormat="true" ht="12.75" hidden="true" customHeight="false" outlineLevel="0" collapsed="false">
      <c r="D99" s="83"/>
      <c r="E99" s="83"/>
      <c r="F99" s="83"/>
      <c r="G99" s="83"/>
      <c r="H99" s="86"/>
      <c r="I99" s="83" t="s">
        <v>337</v>
      </c>
      <c r="J99" s="83"/>
      <c r="K99" s="83"/>
      <c r="L99" s="83"/>
      <c r="M99" s="86" t="n">
        <v>30734.2084150133</v>
      </c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  <c r="AD99" s="81"/>
      <c r="AE99" s="81"/>
      <c r="AF99" s="81"/>
      <c r="AG99" s="81"/>
      <c r="AH99" s="81"/>
      <c r="AI99" s="81"/>
      <c r="AJ99" s="81"/>
      <c r="AK99" s="81"/>
      <c r="AL99" s="81"/>
      <c r="AM99" s="81"/>
      <c r="AN99" s="81"/>
      <c r="AV99" s="81"/>
      <c r="AW99" s="81"/>
    </row>
    <row r="100" s="79" customFormat="true" ht="12.75" hidden="true" customHeight="false" outlineLevel="0" collapsed="false">
      <c r="D100" s="83"/>
      <c r="E100" s="83"/>
      <c r="F100" s="83"/>
      <c r="G100" s="83"/>
      <c r="H100" s="84"/>
      <c r="I100" s="83" t="s">
        <v>338</v>
      </c>
      <c r="J100" s="83"/>
      <c r="K100" s="83"/>
      <c r="L100" s="83"/>
      <c r="M100" s="84" t="n">
        <v>-43736.6586073342</v>
      </c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  <c r="AD100" s="81"/>
      <c r="AE100" s="81"/>
      <c r="AF100" s="81"/>
      <c r="AG100" s="81"/>
      <c r="AH100" s="81"/>
      <c r="AI100" s="81"/>
      <c r="AJ100" s="81"/>
      <c r="AK100" s="81"/>
      <c r="AL100" s="81"/>
      <c r="AM100" s="81"/>
      <c r="AN100" s="81"/>
      <c r="AV100" s="81"/>
      <c r="AW100" s="81"/>
    </row>
    <row r="101" s="79" customFormat="true" ht="12.75" hidden="true" customHeight="false" outlineLevel="0" collapsed="false">
      <c r="D101" s="83"/>
      <c r="E101" s="83"/>
      <c r="F101" s="83"/>
      <c r="G101" s="83"/>
      <c r="H101" s="84"/>
      <c r="I101" s="83" t="s">
        <v>339</v>
      </c>
      <c r="J101" s="83"/>
      <c r="K101" s="83"/>
      <c r="L101" s="83"/>
      <c r="M101" s="84" t="n">
        <v>0</v>
      </c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  <c r="AD101" s="81"/>
      <c r="AE101" s="81"/>
      <c r="AF101" s="81"/>
      <c r="AG101" s="81"/>
      <c r="AH101" s="81"/>
      <c r="AI101" s="81"/>
      <c r="AJ101" s="81"/>
      <c r="AK101" s="81"/>
      <c r="AL101" s="81"/>
      <c r="AM101" s="81"/>
      <c r="AN101" s="81"/>
      <c r="AV101" s="81"/>
      <c r="AW101" s="81"/>
    </row>
    <row r="102" s="79" customFormat="true" ht="12.75" hidden="true" customHeight="false" outlineLevel="0" collapsed="false">
      <c r="D102" s="87" t="s">
        <v>340</v>
      </c>
      <c r="E102" s="87"/>
      <c r="F102" s="87"/>
      <c r="G102" s="87"/>
      <c r="H102" s="88" t="n">
        <v>245633.488923342</v>
      </c>
      <c r="I102" s="87" t="s">
        <v>340</v>
      </c>
      <c r="J102" s="87"/>
      <c r="K102" s="87"/>
      <c r="L102" s="87"/>
      <c r="M102" s="88" t="n">
        <v>245633.488923342</v>
      </c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  <c r="AF102" s="81"/>
      <c r="AG102" s="81"/>
      <c r="AH102" s="81"/>
      <c r="AI102" s="81"/>
      <c r="AJ102" s="81"/>
      <c r="AK102" s="81"/>
      <c r="AL102" s="81"/>
      <c r="AM102" s="81"/>
      <c r="AN102" s="81"/>
      <c r="AV102" s="81"/>
      <c r="AW102" s="81"/>
    </row>
    <row r="105" customFormat="false" ht="91.7" hidden="false" customHeight="false" outlineLevel="0" collapsed="false">
      <c r="C105" s="30"/>
      <c r="D105" s="37" t="s">
        <v>111</v>
      </c>
      <c r="E105" s="37" t="s">
        <v>113</v>
      </c>
      <c r="F105" s="37" t="s">
        <v>115</v>
      </c>
      <c r="G105" s="37" t="s">
        <v>117</v>
      </c>
      <c r="H105" s="37" t="s">
        <v>119</v>
      </c>
      <c r="I105" s="37" t="s">
        <v>121</v>
      </c>
      <c r="J105" s="37" t="s">
        <v>123</v>
      </c>
      <c r="K105" s="37" t="s">
        <v>125</v>
      </c>
      <c r="L105" s="37" t="s">
        <v>127</v>
      </c>
      <c r="M105" s="37" t="s">
        <v>129</v>
      </c>
      <c r="N105" s="37" t="s">
        <v>131</v>
      </c>
      <c r="O105" s="37" t="s">
        <v>133</v>
      </c>
      <c r="P105" s="37" t="s">
        <v>135</v>
      </c>
      <c r="Q105" s="37" t="s">
        <v>137</v>
      </c>
      <c r="R105" s="37" t="s">
        <v>139</v>
      </c>
      <c r="S105" s="37" t="s">
        <v>141</v>
      </c>
      <c r="T105" s="37" t="s">
        <v>143</v>
      </c>
      <c r="U105" s="37" t="s">
        <v>145</v>
      </c>
      <c r="V105" s="37" t="s">
        <v>147</v>
      </c>
      <c r="W105" s="37" t="s">
        <v>149</v>
      </c>
      <c r="X105" s="37" t="s">
        <v>151</v>
      </c>
      <c r="Y105" s="37" t="s">
        <v>153</v>
      </c>
      <c r="Z105" s="37" t="s">
        <v>155</v>
      </c>
      <c r="AA105" s="37" t="s">
        <v>157</v>
      </c>
      <c r="AB105" s="37" t="s">
        <v>159</v>
      </c>
      <c r="AC105" s="37" t="s">
        <v>161</v>
      </c>
      <c r="AD105" s="37" t="s">
        <v>163</v>
      </c>
      <c r="AE105" s="37" t="s">
        <v>165</v>
      </c>
      <c r="AF105" s="37" t="s">
        <v>167</v>
      </c>
      <c r="AG105" s="37" t="s">
        <v>169</v>
      </c>
      <c r="AH105" s="37" t="s">
        <v>171</v>
      </c>
      <c r="AI105" s="37" t="s">
        <v>173</v>
      </c>
      <c r="AJ105" s="37" t="s">
        <v>175</v>
      </c>
      <c r="AK105" s="37" t="s">
        <v>177</v>
      </c>
    </row>
    <row r="106" customFormat="false" ht="12.75" hidden="false" customHeight="false" outlineLevel="0" collapsed="false">
      <c r="B106" s="19" t="s">
        <v>97</v>
      </c>
      <c r="C106" s="19" t="n">
        <v>1</v>
      </c>
      <c r="D106" s="19" t="n">
        <v>52400</v>
      </c>
      <c r="E106" s="19" t="n">
        <v>4200</v>
      </c>
      <c r="F106" s="19" t="n">
        <v>1314.78060931213</v>
      </c>
      <c r="G106" s="19" t="n">
        <v>311.906150892094</v>
      </c>
      <c r="H106" s="19" t="n">
        <v>33.0488213248056</v>
      </c>
      <c r="I106" s="19" t="n">
        <v>12.7021200742552</v>
      </c>
      <c r="J106" s="19" t="n">
        <v>100.055113112179</v>
      </c>
      <c r="K106" s="19" t="n">
        <v>222.966963952243</v>
      </c>
      <c r="L106" s="19" t="n">
        <v>103.10316442484</v>
      </c>
      <c r="M106" s="19" t="n">
        <v>205.923987504106</v>
      </c>
      <c r="N106" s="19" t="n">
        <v>756.068731407562</v>
      </c>
      <c r="O106" s="19" t="n">
        <v>5049.28913584978</v>
      </c>
      <c r="P106" s="19" t="n">
        <v>116.784118539011</v>
      </c>
      <c r="Q106" s="19" t="n">
        <v>26.9835168422072</v>
      </c>
      <c r="R106" s="19" t="n">
        <v>68.8861297078793</v>
      </c>
      <c r="S106" s="19" t="n">
        <v>77.5014370569077</v>
      </c>
      <c r="T106" s="19" t="n">
        <v>2200</v>
      </c>
      <c r="U106" s="19" t="n">
        <v>28200</v>
      </c>
      <c r="V106" s="19" t="n">
        <v>399.172275441783</v>
      </c>
      <c r="W106" s="19" t="n">
        <v>4948.54199943525</v>
      </c>
      <c r="X106" s="19" t="n">
        <v>21052.285725123</v>
      </c>
      <c r="Y106" s="19" t="n">
        <v>10200</v>
      </c>
      <c r="Z106" s="19" t="n">
        <v>11390.4293439159</v>
      </c>
      <c r="AA106" s="19" t="n">
        <v>102.572053010028</v>
      </c>
      <c r="AB106" s="19" t="n">
        <v>597.788385414703</v>
      </c>
      <c r="AC106" s="19" t="n">
        <v>3509.21021765937</v>
      </c>
      <c r="AD106" s="19" t="n">
        <v>1200</v>
      </c>
      <c r="AE106" s="19" t="n">
        <v>1000</v>
      </c>
      <c r="AF106" s="19" t="n">
        <v>200</v>
      </c>
      <c r="AG106" s="19" t="n">
        <v>3500</v>
      </c>
      <c r="AH106" s="19" t="n">
        <v>4400</v>
      </c>
      <c r="AI106" s="19" t="n">
        <v>16400</v>
      </c>
      <c r="AJ106" s="19" t="n">
        <v>5100</v>
      </c>
      <c r="AK106" s="19" t="n">
        <v>5400</v>
      </c>
    </row>
    <row r="107" customFormat="false" ht="12.75" hidden="false" customHeight="false" outlineLevel="0" collapsed="false">
      <c r="B107" s="19" t="s">
        <v>98</v>
      </c>
      <c r="C107" s="19" t="n">
        <v>2</v>
      </c>
      <c r="D107" s="19" t="n">
        <v>125200</v>
      </c>
      <c r="E107" s="19" t="n">
        <v>1400</v>
      </c>
      <c r="F107" s="19" t="n">
        <v>5306.0788875811</v>
      </c>
      <c r="G107" s="19" t="n">
        <v>1258.76410895738</v>
      </c>
      <c r="H107" s="19" t="n">
        <v>133.375600346537</v>
      </c>
      <c r="I107" s="19" t="n">
        <v>51.2621274425298</v>
      </c>
      <c r="J107" s="19" t="n">
        <v>403.793849345578</v>
      </c>
      <c r="K107" s="19" t="n">
        <v>899.830961664409</v>
      </c>
      <c r="L107" s="19" t="n">
        <v>416.094913571676</v>
      </c>
      <c r="M107" s="19" t="n">
        <v>831.05037814157</v>
      </c>
      <c r="N107" s="19" t="n">
        <v>3051.27738032338</v>
      </c>
      <c r="O107" s="19" t="n">
        <v>20377.4882982509</v>
      </c>
      <c r="P107" s="19" t="n">
        <v>471.307335532437</v>
      </c>
      <c r="Q107" s="19" t="n">
        <v>108.897764398908</v>
      </c>
      <c r="R107" s="19" t="n">
        <v>278.004737749656</v>
      </c>
      <c r="S107" s="19" t="n">
        <v>312.773656693949</v>
      </c>
      <c r="T107" s="19" t="n">
        <v>5200</v>
      </c>
      <c r="U107" s="19" t="n">
        <v>40400</v>
      </c>
      <c r="V107" s="19" t="n">
        <v>706.111562997397</v>
      </c>
      <c r="W107" s="19" t="n">
        <v>8753.67088536463</v>
      </c>
      <c r="X107" s="19" t="n">
        <v>37240.217551638</v>
      </c>
      <c r="Y107" s="19" t="n">
        <v>10900</v>
      </c>
      <c r="Z107" s="19" t="n">
        <v>18472.9398975046</v>
      </c>
      <c r="AA107" s="19" t="n">
        <v>166.350829561135</v>
      </c>
      <c r="AB107" s="19" t="n">
        <v>969.490137884102</v>
      </c>
      <c r="AC107" s="19" t="n">
        <v>5691.21913505014</v>
      </c>
      <c r="AD107" s="19" t="n">
        <v>3100</v>
      </c>
      <c r="AE107" s="19" t="n">
        <v>6400</v>
      </c>
      <c r="AF107" s="19" t="n">
        <v>500</v>
      </c>
      <c r="AG107" s="19" t="n">
        <v>6800</v>
      </c>
      <c r="AH107" s="19" t="n">
        <v>13900</v>
      </c>
      <c r="AI107" s="19" t="n">
        <v>36700</v>
      </c>
      <c r="AJ107" s="19" t="n">
        <v>15500</v>
      </c>
      <c r="AK107" s="19" t="n">
        <v>8200</v>
      </c>
    </row>
    <row r="108" customFormat="false" ht="12.75" hidden="false" customHeight="false" outlineLevel="0" collapsed="false">
      <c r="B108" s="19" t="s">
        <v>99</v>
      </c>
      <c r="C108" s="19" t="n">
        <v>3</v>
      </c>
      <c r="D108" s="19" t="n">
        <v>42300</v>
      </c>
      <c r="E108" s="19" t="n">
        <v>2100</v>
      </c>
      <c r="F108" s="19" t="n">
        <v>1596.51931130759</v>
      </c>
      <c r="G108" s="19" t="n">
        <v>378.743183226114</v>
      </c>
      <c r="H108" s="19" t="n">
        <v>40.1307116086925</v>
      </c>
      <c r="I108" s="19" t="n">
        <v>15.4240029473099</v>
      </c>
      <c r="J108" s="19" t="n">
        <v>121.49549449336</v>
      </c>
      <c r="K108" s="19" t="n">
        <v>270.745599084867</v>
      </c>
      <c r="L108" s="19" t="n">
        <v>125.196699658734</v>
      </c>
      <c r="M108" s="19" t="n">
        <v>250.050556254986</v>
      </c>
      <c r="N108" s="19" t="n">
        <v>918.083459566326</v>
      </c>
      <c r="O108" s="19" t="n">
        <v>6131.27966496045</v>
      </c>
      <c r="P108" s="19" t="n">
        <v>141.809286797371</v>
      </c>
      <c r="Q108" s="19" t="n">
        <v>32.7656990226802</v>
      </c>
      <c r="R108" s="19" t="n">
        <v>83.6474432167106</v>
      </c>
      <c r="S108" s="19" t="n">
        <v>94.1088878548164</v>
      </c>
      <c r="T108" s="19" t="n">
        <v>2300</v>
      </c>
      <c r="U108" s="19" t="n">
        <v>17500</v>
      </c>
      <c r="V108" s="19" t="n">
        <v>290.307109412206</v>
      </c>
      <c r="W108" s="19" t="n">
        <v>3598.93963595291</v>
      </c>
      <c r="X108" s="19" t="n">
        <v>15310.7532546349</v>
      </c>
      <c r="Y108" s="19" t="n">
        <v>12100</v>
      </c>
      <c r="Z108" s="19" t="n">
        <v>6352.35482641463</v>
      </c>
      <c r="AA108" s="19" t="n">
        <v>57.2036449479002</v>
      </c>
      <c r="AB108" s="19" t="n">
        <v>333.381984173584</v>
      </c>
      <c r="AC108" s="19" t="n">
        <v>1957.05954446388</v>
      </c>
      <c r="AD108" s="19" t="n">
        <v>1900</v>
      </c>
      <c r="AE108" s="19" t="n">
        <v>5800</v>
      </c>
      <c r="AF108" s="19" t="n">
        <v>0</v>
      </c>
      <c r="AG108" s="19" t="n">
        <v>3800</v>
      </c>
      <c r="AH108" s="19" t="n">
        <v>7000</v>
      </c>
      <c r="AI108" s="19" t="n">
        <v>13400</v>
      </c>
      <c r="AJ108" s="19" t="n">
        <v>8100</v>
      </c>
      <c r="AK108" s="19" t="n">
        <v>3800</v>
      </c>
    </row>
    <row r="109" customFormat="false" ht="12.75" hidden="false" customHeight="false" outlineLevel="0" collapsed="false">
      <c r="B109" s="19" t="s">
        <v>100</v>
      </c>
      <c r="C109" s="19" t="n">
        <v>4</v>
      </c>
      <c r="D109" s="19" t="n">
        <v>41000</v>
      </c>
      <c r="E109" s="19" t="n">
        <v>3300</v>
      </c>
      <c r="F109" s="19" t="n">
        <v>313.043002217174</v>
      </c>
      <c r="G109" s="19" t="n">
        <v>74.2633692600224</v>
      </c>
      <c r="H109" s="19" t="n">
        <v>7.86876698209658</v>
      </c>
      <c r="I109" s="19" t="n">
        <v>3.02431430339409</v>
      </c>
      <c r="J109" s="19" t="n">
        <v>23.8226459790902</v>
      </c>
      <c r="K109" s="19" t="n">
        <v>53.0873723695817</v>
      </c>
      <c r="L109" s="19" t="n">
        <v>24.5483724821048</v>
      </c>
      <c r="M109" s="19" t="n">
        <v>49.0295208343109</v>
      </c>
      <c r="N109" s="19" t="n">
        <v>180.016364620848</v>
      </c>
      <c r="O109" s="19" t="n">
        <v>1202.21169901185</v>
      </c>
      <c r="P109" s="19" t="n">
        <v>27.8057425092883</v>
      </c>
      <c r="Q109" s="19" t="n">
        <v>6.4246468671922</v>
      </c>
      <c r="R109" s="19" t="n">
        <v>16.401459454257</v>
      </c>
      <c r="S109" s="19" t="n">
        <v>18.4527231087875</v>
      </c>
      <c r="T109" s="19" t="n">
        <v>1300</v>
      </c>
      <c r="U109" s="19" t="n">
        <v>3700</v>
      </c>
      <c r="V109" s="19" t="n">
        <v>66.5287125736306</v>
      </c>
      <c r="W109" s="19" t="n">
        <v>824.756999905876</v>
      </c>
      <c r="X109" s="19" t="n">
        <v>3508.71428752049</v>
      </c>
      <c r="Y109" s="19" t="n">
        <v>300</v>
      </c>
      <c r="Z109" s="19" t="n">
        <v>2044.43603608747</v>
      </c>
      <c r="AA109" s="19" t="n">
        <v>18.4103684889794</v>
      </c>
      <c r="AB109" s="19" t="n">
        <v>107.29535122828</v>
      </c>
      <c r="AC109" s="19" t="n">
        <v>629.858244195272</v>
      </c>
      <c r="AD109" s="19" t="n">
        <v>500</v>
      </c>
      <c r="AE109" s="19" t="n">
        <v>400</v>
      </c>
      <c r="AF109" s="19" t="n">
        <v>0</v>
      </c>
      <c r="AG109" s="19" t="n">
        <v>900</v>
      </c>
      <c r="AH109" s="19" t="n">
        <v>3900</v>
      </c>
      <c r="AI109" s="19" t="n">
        <v>17100</v>
      </c>
      <c r="AJ109" s="19" t="n">
        <v>3200</v>
      </c>
      <c r="AK109" s="19" t="n">
        <v>2900</v>
      </c>
    </row>
    <row r="110" customFormat="false" ht="12.75" hidden="false" customHeight="false" outlineLevel="0" collapsed="false">
      <c r="B110" s="19" t="s">
        <v>101</v>
      </c>
      <c r="C110" s="19" t="n">
        <v>5</v>
      </c>
      <c r="D110" s="19" t="n">
        <v>175600</v>
      </c>
      <c r="E110" s="19" t="n">
        <v>0</v>
      </c>
      <c r="F110" s="19" t="n">
        <v>3928.68967782553</v>
      </c>
      <c r="G110" s="19" t="n">
        <v>932.005284213281</v>
      </c>
      <c r="H110" s="19" t="n">
        <v>98.753025625312</v>
      </c>
      <c r="I110" s="19" t="n">
        <v>37.9551445075958</v>
      </c>
      <c r="J110" s="19" t="n">
        <v>298.974207037581</v>
      </c>
      <c r="K110" s="19" t="n">
        <v>666.24652323825</v>
      </c>
      <c r="L110" s="19" t="n">
        <v>308.082074650415</v>
      </c>
      <c r="M110" s="19" t="n">
        <v>615.320486470602</v>
      </c>
      <c r="N110" s="19" t="n">
        <v>2259.20537599164</v>
      </c>
      <c r="O110" s="19" t="n">
        <v>15087.7568225987</v>
      </c>
      <c r="P110" s="19" t="n">
        <v>348.962068491569</v>
      </c>
      <c r="Q110" s="19" t="n">
        <v>80.6293181832621</v>
      </c>
      <c r="R110" s="19" t="n">
        <v>205.838316150925</v>
      </c>
      <c r="S110" s="19" t="n">
        <v>231.581675015284</v>
      </c>
      <c r="T110" s="19" t="n">
        <v>8800</v>
      </c>
      <c r="U110" s="19" t="n">
        <v>64800</v>
      </c>
      <c r="V110" s="19" t="n">
        <v>1564.93676167517</v>
      </c>
      <c r="W110" s="19" t="n">
        <v>19400.5339750587</v>
      </c>
      <c r="X110" s="19" t="n">
        <v>82534.5292632662</v>
      </c>
      <c r="Y110" s="19" t="n">
        <v>36200</v>
      </c>
      <c r="Z110" s="19" t="n">
        <v>31688.7585593558</v>
      </c>
      <c r="AA110" s="19" t="n">
        <v>285.36071157918</v>
      </c>
      <c r="AB110" s="19" t="n">
        <v>1663.07794403834</v>
      </c>
      <c r="AC110" s="19" t="n">
        <v>9762.80278502672</v>
      </c>
      <c r="AD110" s="19" t="n">
        <v>3900</v>
      </c>
      <c r="AE110" s="19" t="n">
        <v>2800</v>
      </c>
      <c r="AF110" s="19" t="n">
        <v>0</v>
      </c>
      <c r="AG110" s="19" t="n">
        <v>6900</v>
      </c>
      <c r="AH110" s="19" t="n">
        <v>13500</v>
      </c>
      <c r="AI110" s="19" t="n">
        <v>32900</v>
      </c>
      <c r="AJ110" s="19" t="n">
        <v>14800</v>
      </c>
      <c r="AK110" s="19" t="n">
        <v>5100</v>
      </c>
    </row>
    <row r="111" customFormat="false" ht="12.75" hidden="false" customHeight="false" outlineLevel="0" collapsed="false">
      <c r="B111" s="19" t="s">
        <v>102</v>
      </c>
      <c r="C111" s="19" t="n">
        <v>6</v>
      </c>
      <c r="D111" s="19" t="n">
        <v>58400</v>
      </c>
      <c r="E111" s="19" t="n">
        <v>100</v>
      </c>
      <c r="F111" s="19" t="n">
        <v>626.086004434348</v>
      </c>
      <c r="G111" s="19" t="n">
        <v>148.526738520045</v>
      </c>
      <c r="H111" s="19" t="n">
        <v>15.7375339641932</v>
      </c>
      <c r="I111" s="19" t="n">
        <v>6.04862860678818</v>
      </c>
      <c r="J111" s="19" t="n">
        <v>47.6452919581803</v>
      </c>
      <c r="K111" s="19" t="n">
        <v>106.174744739163</v>
      </c>
      <c r="L111" s="19" t="n">
        <v>49.0967449642096</v>
      </c>
      <c r="M111" s="19" t="n">
        <v>98.0590416686218</v>
      </c>
      <c r="N111" s="19" t="n">
        <v>360.032729241696</v>
      </c>
      <c r="O111" s="19" t="n">
        <v>2404.4233980237</v>
      </c>
      <c r="P111" s="19" t="n">
        <v>55.6114850185767</v>
      </c>
      <c r="Q111" s="19" t="n">
        <v>12.8492937343844</v>
      </c>
      <c r="R111" s="19" t="n">
        <v>32.802918908514</v>
      </c>
      <c r="S111" s="19" t="n">
        <v>36.9054462175751</v>
      </c>
      <c r="T111" s="19" t="n">
        <v>1800</v>
      </c>
      <c r="U111" s="19" t="n">
        <v>7500</v>
      </c>
      <c r="V111" s="19" t="n">
        <v>169.345813823787</v>
      </c>
      <c r="W111" s="19" t="n">
        <v>2099.38145430587</v>
      </c>
      <c r="X111" s="19" t="n">
        <v>8931.27273187035</v>
      </c>
      <c r="Y111" s="19" t="n">
        <v>2400</v>
      </c>
      <c r="Z111" s="19" t="n">
        <v>3723.79420858789</v>
      </c>
      <c r="AA111" s="19" t="n">
        <v>33.5331711763553</v>
      </c>
      <c r="AB111" s="19" t="n">
        <v>195.430818308653</v>
      </c>
      <c r="AC111" s="19" t="n">
        <v>1147.2418019271</v>
      </c>
      <c r="AD111" s="19" t="n">
        <v>300</v>
      </c>
      <c r="AE111" s="19" t="n">
        <v>700</v>
      </c>
      <c r="AF111" s="19" t="n">
        <v>0</v>
      </c>
      <c r="AG111" s="19" t="n">
        <v>500</v>
      </c>
      <c r="AH111" s="19" t="n">
        <v>3400</v>
      </c>
      <c r="AI111" s="19" t="n">
        <v>10700</v>
      </c>
      <c r="AJ111" s="19" t="n">
        <v>3400</v>
      </c>
      <c r="AK111" s="19" t="n">
        <v>1800</v>
      </c>
    </row>
    <row r="112" customFormat="false" ht="12.75" hidden="false" customHeight="false" outlineLevel="0" collapsed="false">
      <c r="B112" s="19" t="s">
        <v>103</v>
      </c>
      <c r="C112" s="19" t="n">
        <v>7</v>
      </c>
      <c r="D112" s="19" t="n">
        <v>42100</v>
      </c>
      <c r="E112" s="19" t="n">
        <v>1600</v>
      </c>
      <c r="F112" s="19" t="n">
        <v>11269.5480798183</v>
      </c>
      <c r="G112" s="19" t="n">
        <v>2673.48129336081</v>
      </c>
      <c r="H112" s="19" t="n">
        <v>283.275611355477</v>
      </c>
      <c r="I112" s="19" t="n">
        <v>108.875314922187</v>
      </c>
      <c r="J112" s="19" t="n">
        <v>857.615255247246</v>
      </c>
      <c r="K112" s="19" t="n">
        <v>1911.14540530494</v>
      </c>
      <c r="L112" s="19" t="n">
        <v>883.741409355772</v>
      </c>
      <c r="M112" s="19" t="n">
        <v>1765.06275003519</v>
      </c>
      <c r="N112" s="19" t="n">
        <v>6480.58912635053</v>
      </c>
      <c r="O112" s="19" t="n">
        <v>43279.6211644267</v>
      </c>
      <c r="P112" s="19" t="n">
        <v>1001.00673033438</v>
      </c>
      <c r="Q112" s="19" t="n">
        <v>231.287287218919</v>
      </c>
      <c r="R112" s="19" t="n">
        <v>590.452540353251</v>
      </c>
      <c r="S112" s="19" t="n">
        <v>664.298031916351</v>
      </c>
      <c r="T112" s="19" t="n">
        <v>6100</v>
      </c>
      <c r="U112" s="19" t="n">
        <v>35300</v>
      </c>
      <c r="V112" s="19" t="n">
        <v>728.791805920226</v>
      </c>
      <c r="W112" s="19" t="n">
        <v>9034.83804442346</v>
      </c>
      <c r="X112" s="19" t="n">
        <v>38436.3701496563</v>
      </c>
      <c r="Y112" s="19" t="n">
        <v>15800</v>
      </c>
      <c r="Z112" s="19" t="n">
        <v>28184.0110689201</v>
      </c>
      <c r="AA112" s="19" t="n">
        <v>253.800079883787</v>
      </c>
      <c r="AB112" s="19" t="n">
        <v>1479.14305621843</v>
      </c>
      <c r="AC112" s="19" t="n">
        <v>8683.04579497768</v>
      </c>
      <c r="AD112" s="19" t="n">
        <v>2700</v>
      </c>
      <c r="AE112" s="19" t="n">
        <v>1500</v>
      </c>
      <c r="AF112" s="19" t="n">
        <v>400</v>
      </c>
      <c r="AG112" s="19" t="n">
        <v>5500</v>
      </c>
      <c r="AH112" s="19" t="n">
        <v>11300</v>
      </c>
      <c r="AI112" s="19" t="n">
        <v>27000</v>
      </c>
      <c r="AJ112" s="19" t="n">
        <v>17400</v>
      </c>
      <c r="AK112" s="19" t="n">
        <v>8300</v>
      </c>
    </row>
    <row r="113" customFormat="false" ht="12.75" hidden="false" customHeight="false" outlineLevel="0" collapsed="false">
      <c r="B113" s="19" t="s">
        <v>104</v>
      </c>
      <c r="C113" s="19" t="n">
        <v>8</v>
      </c>
      <c r="D113" s="19" t="n">
        <v>3200</v>
      </c>
      <c r="E113" s="19" t="n">
        <v>0</v>
      </c>
      <c r="F113" s="19" t="n">
        <v>11504.3303314811</v>
      </c>
      <c r="G113" s="19" t="n">
        <v>2729.17882030582</v>
      </c>
      <c r="H113" s="19" t="n">
        <v>289.177186592049</v>
      </c>
      <c r="I113" s="19" t="n">
        <v>111.143550649733</v>
      </c>
      <c r="J113" s="19" t="n">
        <v>875.482239731563</v>
      </c>
      <c r="K113" s="19" t="n">
        <v>1950.96093458213</v>
      </c>
      <c r="L113" s="19" t="n">
        <v>902.152688717351</v>
      </c>
      <c r="M113" s="19" t="n">
        <v>1801.83489066093</v>
      </c>
      <c r="N113" s="19" t="n">
        <v>6615.60139981617</v>
      </c>
      <c r="O113" s="19" t="n">
        <v>44181.2799386856</v>
      </c>
      <c r="P113" s="19" t="n">
        <v>1021.86103721635</v>
      </c>
      <c r="Q113" s="19" t="n">
        <v>236.105772369313</v>
      </c>
      <c r="R113" s="19" t="n">
        <v>602.753634943944</v>
      </c>
      <c r="S113" s="19" t="n">
        <v>678.137574247942</v>
      </c>
      <c r="T113" s="19" t="n">
        <v>9300</v>
      </c>
      <c r="U113" s="19" t="n">
        <v>36400</v>
      </c>
      <c r="V113" s="19" t="n">
        <v>1542.25651875235</v>
      </c>
      <c r="W113" s="19" t="n">
        <v>19119.3668159998</v>
      </c>
      <c r="X113" s="19" t="n">
        <v>81338.3766652478</v>
      </c>
      <c r="Y113" s="19" t="n">
        <v>21200</v>
      </c>
      <c r="Z113" s="19" t="n">
        <v>29936.3848141379</v>
      </c>
      <c r="AA113" s="19" t="n">
        <v>269.580395731484</v>
      </c>
      <c r="AB113" s="19" t="n">
        <v>1571.11050012839</v>
      </c>
      <c r="AC113" s="19" t="n">
        <v>9222.9242900022</v>
      </c>
      <c r="AD113" s="19" t="n">
        <v>12700</v>
      </c>
      <c r="AE113" s="19" t="n">
        <v>9900</v>
      </c>
      <c r="AF113" s="19" t="n">
        <v>7900</v>
      </c>
      <c r="AG113" s="19" t="n">
        <v>11600</v>
      </c>
      <c r="AH113" s="19" t="n">
        <v>33000</v>
      </c>
      <c r="AI113" s="19" t="n">
        <v>43000</v>
      </c>
      <c r="AJ113" s="19" t="n">
        <v>20900</v>
      </c>
      <c r="AK113" s="19" t="n">
        <v>30900</v>
      </c>
    </row>
    <row r="114" customFormat="false" ht="12.75" hidden="false" customHeight="false" outlineLevel="0" collapsed="false">
      <c r="B114" s="19" t="s">
        <v>105</v>
      </c>
      <c r="C114" s="19" t="n">
        <v>9</v>
      </c>
      <c r="D114" s="19" t="n">
        <v>1200</v>
      </c>
      <c r="E114" s="19" t="n">
        <v>0</v>
      </c>
      <c r="F114" s="19" t="n">
        <v>1205.21555853612</v>
      </c>
      <c r="G114" s="19" t="n">
        <v>285.913971651086</v>
      </c>
      <c r="H114" s="19" t="n">
        <v>30.2947528810718</v>
      </c>
      <c r="I114" s="19" t="n">
        <v>11.6436100680673</v>
      </c>
      <c r="J114" s="19" t="n">
        <v>91.7171870194971</v>
      </c>
      <c r="K114" s="19" t="n">
        <v>204.386383622889</v>
      </c>
      <c r="L114" s="19" t="n">
        <v>94.5112340561034</v>
      </c>
      <c r="M114" s="19" t="n">
        <v>188.763655212097</v>
      </c>
      <c r="N114" s="19" t="n">
        <v>693.063003790265</v>
      </c>
      <c r="O114" s="19" t="n">
        <v>4628.51504119563</v>
      </c>
      <c r="P114" s="19" t="n">
        <v>107.05210866076</v>
      </c>
      <c r="Q114" s="19" t="n">
        <v>24.73489043869</v>
      </c>
      <c r="R114" s="19" t="n">
        <v>63.1456188988894</v>
      </c>
      <c r="S114" s="19" t="n">
        <v>71.042983968832</v>
      </c>
      <c r="T114" s="19" t="n">
        <v>1800</v>
      </c>
      <c r="U114" s="19" t="n">
        <v>21800</v>
      </c>
      <c r="V114" s="19" t="n">
        <v>382.540097298376</v>
      </c>
      <c r="W114" s="19" t="n">
        <v>4742.35274945878</v>
      </c>
      <c r="X114" s="19" t="n">
        <v>20175.1071532428</v>
      </c>
      <c r="Y114" s="19" t="n">
        <v>6600</v>
      </c>
      <c r="Z114" s="19" t="n">
        <v>6790.44826271909</v>
      </c>
      <c r="AA114" s="19" t="n">
        <v>61.1487239098244</v>
      </c>
      <c r="AB114" s="19" t="n">
        <v>356.373845151073</v>
      </c>
      <c r="AC114" s="19" t="n">
        <v>2092.02916822001</v>
      </c>
      <c r="AD114" s="19" t="n">
        <v>1400</v>
      </c>
      <c r="AE114" s="19" t="n">
        <v>3200</v>
      </c>
      <c r="AF114" s="19" t="n">
        <v>0</v>
      </c>
      <c r="AG114" s="19" t="n">
        <v>2000</v>
      </c>
      <c r="AH114" s="19" t="n">
        <v>3700</v>
      </c>
      <c r="AI114" s="19" t="n">
        <v>9000</v>
      </c>
      <c r="AJ114" s="19" t="n">
        <v>3700</v>
      </c>
      <c r="AK114" s="19" t="n">
        <v>4800</v>
      </c>
    </row>
    <row r="115" customFormat="false" ht="12.75" hidden="false" customHeight="false" outlineLevel="0" collapsed="false">
      <c r="B115" s="19" t="s">
        <v>341</v>
      </c>
      <c r="D115" s="19" t="n">
        <v>541400</v>
      </c>
      <c r="E115" s="19" t="n">
        <v>12700</v>
      </c>
      <c r="F115" s="19" t="n">
        <v>37064.2914625134</v>
      </c>
      <c r="G115" s="19" t="n">
        <v>8792.78292038665</v>
      </c>
      <c r="H115" s="19" t="n">
        <v>931.662010680235</v>
      </c>
      <c r="I115" s="19" t="n">
        <v>358.07881352186</v>
      </c>
      <c r="J115" s="19" t="n">
        <v>2820.60128392427</v>
      </c>
      <c r="K115" s="19" t="n">
        <v>6285.54488855847</v>
      </c>
      <c r="L115" s="19" t="n">
        <v>2906.52730188121</v>
      </c>
      <c r="M115" s="19" t="n">
        <v>5805.09526678241</v>
      </c>
      <c r="N115" s="19" t="n">
        <v>21313.9375711084</v>
      </c>
      <c r="O115" s="19" t="n">
        <v>142341.865163003</v>
      </c>
      <c r="P115" s="19" t="n">
        <v>3292.19991309974</v>
      </c>
      <c r="Q115" s="19" t="n">
        <v>760.678189075556</v>
      </c>
      <c r="R115" s="19" t="n">
        <v>1941.93279938403</v>
      </c>
      <c r="S115" s="19" t="n">
        <v>2184.80241608045</v>
      </c>
      <c r="T115" s="19" t="n">
        <v>38800</v>
      </c>
      <c r="U115" s="19" t="n">
        <v>255600</v>
      </c>
      <c r="V115" s="19" t="n">
        <v>5849.99065789493</v>
      </c>
      <c r="W115" s="19" t="n">
        <v>72522.3825599053</v>
      </c>
      <c r="X115" s="19" t="n">
        <v>308527.6267822</v>
      </c>
      <c r="Y115" s="19" t="n">
        <v>115700</v>
      </c>
      <c r="Z115" s="19" t="n">
        <v>138583.557017643</v>
      </c>
      <c r="AA115" s="19" t="n">
        <v>1247.95997828867</v>
      </c>
      <c r="AB115" s="19" t="n">
        <v>7273.09202254555</v>
      </c>
      <c r="AC115" s="19" t="n">
        <v>42695.3909815224</v>
      </c>
      <c r="AD115" s="19" t="n">
        <v>27700</v>
      </c>
      <c r="AE115" s="19" t="n">
        <v>31700</v>
      </c>
      <c r="AF115" s="19" t="n">
        <v>9000</v>
      </c>
      <c r="AG115" s="19" t="n">
        <v>41500</v>
      </c>
      <c r="AH115" s="19" t="n">
        <v>94100</v>
      </c>
      <c r="AI115" s="19" t="n">
        <v>206200</v>
      </c>
      <c r="AJ115" s="19" t="n">
        <v>92100</v>
      </c>
      <c r="AK115" s="19" t="n">
        <v>71200</v>
      </c>
    </row>
    <row r="118" customFormat="false" ht="12.75" hidden="false" customHeight="false" outlineLevel="0" collapsed="false">
      <c r="B118" s="30" t="s">
        <v>342</v>
      </c>
    </row>
    <row r="120" customFormat="false" ht="12.75" hidden="false" customHeight="false" outlineLevel="0" collapsed="false">
      <c r="D120" s="37" t="n">
        <v>1</v>
      </c>
      <c r="E120" s="37" t="n">
        <v>2</v>
      </c>
      <c r="F120" s="37" t="n">
        <v>3</v>
      </c>
      <c r="G120" s="37" t="n">
        <v>4</v>
      </c>
      <c r="H120" s="37" t="n">
        <v>5</v>
      </c>
      <c r="I120" s="37" t="n">
        <v>6</v>
      </c>
      <c r="J120" s="37" t="n">
        <v>7</v>
      </c>
      <c r="K120" s="37" t="n">
        <v>8</v>
      </c>
      <c r="L120" s="37" t="n">
        <v>9</v>
      </c>
      <c r="M120" s="37" t="n">
        <v>10</v>
      </c>
      <c r="N120" s="37" t="n">
        <v>11</v>
      </c>
      <c r="O120" s="37" t="n">
        <v>12</v>
      </c>
      <c r="P120" s="37" t="n">
        <v>13</v>
      </c>
      <c r="Q120" s="37" t="n">
        <v>14</v>
      </c>
      <c r="R120" s="37" t="n">
        <v>15</v>
      </c>
      <c r="S120" s="37" t="n">
        <v>16</v>
      </c>
      <c r="T120" s="37" t="n">
        <v>17</v>
      </c>
      <c r="U120" s="37" t="n">
        <v>18</v>
      </c>
      <c r="V120" s="37" t="n">
        <v>19</v>
      </c>
      <c r="W120" s="37" t="n">
        <v>20</v>
      </c>
      <c r="X120" s="37" t="n">
        <v>21</v>
      </c>
      <c r="Y120" s="37" t="n">
        <v>22</v>
      </c>
      <c r="Z120" s="37" t="n">
        <v>23</v>
      </c>
      <c r="AA120" s="37" t="n">
        <v>24</v>
      </c>
      <c r="AB120" s="37" t="n">
        <v>25</v>
      </c>
      <c r="AC120" s="37" t="n">
        <v>26</v>
      </c>
      <c r="AD120" s="37" t="n">
        <v>27</v>
      </c>
      <c r="AE120" s="37" t="n">
        <v>28</v>
      </c>
      <c r="AF120" s="37" t="n">
        <v>29</v>
      </c>
      <c r="AG120" s="37" t="n">
        <v>30</v>
      </c>
      <c r="AH120" s="37" t="n">
        <v>31</v>
      </c>
      <c r="AI120" s="37" t="n">
        <v>32</v>
      </c>
      <c r="AJ120" s="37" t="n">
        <v>33</v>
      </c>
      <c r="AK120" s="37" t="n">
        <v>34</v>
      </c>
    </row>
    <row r="121" customFormat="false" ht="91.7" hidden="false" customHeight="false" outlineLevel="0" collapsed="false">
      <c r="D121" s="37" t="s">
        <v>208</v>
      </c>
      <c r="E121" s="37" t="s">
        <v>209</v>
      </c>
      <c r="F121" s="37" t="s">
        <v>210</v>
      </c>
      <c r="G121" s="37" t="s">
        <v>211</v>
      </c>
      <c r="H121" s="37" t="s">
        <v>212</v>
      </c>
      <c r="I121" s="37" t="s">
        <v>213</v>
      </c>
      <c r="J121" s="37" t="s">
        <v>214</v>
      </c>
      <c r="K121" s="37" t="s">
        <v>215</v>
      </c>
      <c r="L121" s="37" t="s">
        <v>216</v>
      </c>
      <c r="M121" s="37" t="s">
        <v>217</v>
      </c>
      <c r="N121" s="37" t="s">
        <v>218</v>
      </c>
      <c r="O121" s="37" t="s">
        <v>219</v>
      </c>
      <c r="P121" s="37" t="s">
        <v>135</v>
      </c>
      <c r="Q121" s="37" t="s">
        <v>220</v>
      </c>
      <c r="R121" s="37" t="s">
        <v>221</v>
      </c>
      <c r="S121" s="37" t="s">
        <v>222</v>
      </c>
      <c r="T121" s="37" t="s">
        <v>223</v>
      </c>
      <c r="U121" s="37" t="s">
        <v>145</v>
      </c>
      <c r="V121" s="37" t="s">
        <v>224</v>
      </c>
      <c r="W121" s="37" t="s">
        <v>225</v>
      </c>
      <c r="X121" s="37" t="s">
        <v>226</v>
      </c>
      <c r="Y121" s="37" t="s">
        <v>227</v>
      </c>
      <c r="Z121" s="37" t="s">
        <v>228</v>
      </c>
      <c r="AA121" s="37" t="s">
        <v>229</v>
      </c>
      <c r="AB121" s="37" t="s">
        <v>230</v>
      </c>
      <c r="AC121" s="37" t="s">
        <v>231</v>
      </c>
      <c r="AD121" s="37" t="s">
        <v>232</v>
      </c>
      <c r="AE121" s="37" t="s">
        <v>233</v>
      </c>
      <c r="AF121" s="37" t="s">
        <v>234</v>
      </c>
      <c r="AG121" s="37" t="s">
        <v>235</v>
      </c>
      <c r="AH121" s="37" t="s">
        <v>236</v>
      </c>
      <c r="AI121" s="37" t="s">
        <v>173</v>
      </c>
      <c r="AJ121" s="37" t="s">
        <v>237</v>
      </c>
      <c r="AK121" s="37" t="s">
        <v>238</v>
      </c>
    </row>
    <row r="122" customFormat="false" ht="12.75" hidden="false" customHeight="false" outlineLevel="0" collapsed="false">
      <c r="B122" s="19" t="s">
        <v>106</v>
      </c>
      <c r="D122" s="19" t="n">
        <v>1912.09992504445</v>
      </c>
      <c r="E122" s="19" t="n">
        <v>147.723954992324</v>
      </c>
      <c r="F122" s="19" t="n">
        <v>736.616036330329</v>
      </c>
      <c r="G122" s="19" t="n">
        <v>257.577016747075</v>
      </c>
      <c r="H122" s="19" t="n">
        <v>33.1072648182111</v>
      </c>
      <c r="I122" s="19" t="n">
        <v>22.7137894477542</v>
      </c>
      <c r="J122" s="19" t="n">
        <v>78.9937434444016</v>
      </c>
      <c r="K122" s="19" t="n">
        <v>8207.63013494229</v>
      </c>
      <c r="L122" s="19" t="n">
        <v>128.449826904795</v>
      </c>
      <c r="M122" s="19" t="n">
        <v>6052.63658610024</v>
      </c>
      <c r="N122" s="19" t="n">
        <v>436.365944772958</v>
      </c>
      <c r="O122" s="19" t="n">
        <v>1297.77363431867</v>
      </c>
      <c r="P122" s="19" t="n">
        <v>4162.26532964067</v>
      </c>
      <c r="Q122" s="19" t="n">
        <v>9.68047751155055</v>
      </c>
      <c r="R122" s="19" t="n">
        <v>15.4370268543592</v>
      </c>
      <c r="S122" s="19" t="n">
        <v>2873.83768869872</v>
      </c>
      <c r="T122" s="19" t="n">
        <v>252288.190670197</v>
      </c>
      <c r="U122" s="19" t="n">
        <v>1428.78795070217</v>
      </c>
      <c r="V122" s="19" t="n">
        <v>53.2328811134959</v>
      </c>
      <c r="W122" s="19" t="n">
        <v>785.16850691413</v>
      </c>
      <c r="X122" s="19" t="n">
        <v>863.195860819132</v>
      </c>
      <c r="Y122" s="19" t="n">
        <v>450.569042246066</v>
      </c>
      <c r="Z122" s="19" t="n">
        <v>260.49153068138</v>
      </c>
      <c r="AA122" s="19" t="n">
        <v>2685.54735782267</v>
      </c>
      <c r="AB122" s="19" t="n">
        <v>2514.51338506226</v>
      </c>
      <c r="AC122" s="19" t="n">
        <v>217.011895729467</v>
      </c>
      <c r="AD122" s="19" t="n">
        <v>480.983717193427</v>
      </c>
      <c r="AE122" s="19" t="n">
        <v>556813.447289637</v>
      </c>
      <c r="AF122" s="19" t="n">
        <v>92.0816311710715</v>
      </c>
      <c r="AG122" s="19" t="n">
        <v>179.463761267822</v>
      </c>
      <c r="AH122" s="19" t="n">
        <v>160.527041186816</v>
      </c>
      <c r="AI122" s="19" t="n">
        <v>243.879568244388</v>
      </c>
      <c r="AJ122" s="19" t="n">
        <v>270.223446139053</v>
      </c>
      <c r="AK122" s="19" t="n">
        <v>481.278132054096</v>
      </c>
    </row>
    <row r="123" customFormat="false" ht="12.75" hidden="false" customHeight="false" outlineLevel="0" collapsed="false">
      <c r="B123" s="19" t="s">
        <v>251</v>
      </c>
      <c r="D123" s="19" t="n">
        <v>1350.7741981623</v>
      </c>
      <c r="E123" s="19" t="n">
        <v>181.807869510856</v>
      </c>
      <c r="F123" s="19" t="n">
        <v>280.608863962536</v>
      </c>
      <c r="G123" s="19" t="n">
        <v>63.0246127538948</v>
      </c>
      <c r="H123" s="19" t="n">
        <v>6.13926041371224</v>
      </c>
      <c r="I123" s="19" t="n">
        <v>1.7543551177829</v>
      </c>
      <c r="J123" s="19" t="n">
        <v>17.7575724653384</v>
      </c>
      <c r="K123" s="19" t="n">
        <v>93.4030206485396</v>
      </c>
      <c r="L123" s="19" t="n">
        <v>39.6099754296402</v>
      </c>
      <c r="M123" s="19" t="n">
        <v>89.7573015697249</v>
      </c>
      <c r="N123" s="19" t="n">
        <v>351.342258695891</v>
      </c>
      <c r="O123" s="19" t="n">
        <v>2080.16983781721</v>
      </c>
      <c r="P123" s="19" t="n">
        <v>42.0377457173351</v>
      </c>
      <c r="Q123" s="19" t="n">
        <v>9.04565194723758</v>
      </c>
      <c r="R123" s="19" t="n">
        <v>21.6729812300714</v>
      </c>
      <c r="S123" s="19" t="n">
        <v>31.9682495538352</v>
      </c>
      <c r="T123" s="19" t="n">
        <v>2977.62194344532</v>
      </c>
      <c r="U123" s="19" t="n">
        <v>12556.8711398412</v>
      </c>
      <c r="V123" s="19" t="n">
        <v>11.498623083081</v>
      </c>
      <c r="W123" s="19" t="n">
        <v>144.60640407898</v>
      </c>
      <c r="X123" s="19" t="n">
        <v>621.457122863625</v>
      </c>
      <c r="Y123" s="19" t="n">
        <v>146.667661686704</v>
      </c>
      <c r="Z123" s="19" t="n">
        <v>46.3110483762786</v>
      </c>
      <c r="AA123" s="19" t="n">
        <v>0.445181075238628</v>
      </c>
      <c r="AB123" s="19" t="n">
        <v>2.44684332889905</v>
      </c>
      <c r="AC123" s="19" t="n">
        <v>70.6429192114115</v>
      </c>
      <c r="AD123" s="19" t="n">
        <v>227.955051981186</v>
      </c>
      <c r="AE123" s="19" t="n">
        <v>729.259857791374</v>
      </c>
      <c r="AF123" s="19" t="n">
        <v>124.212901166887</v>
      </c>
      <c r="AG123" s="19" t="n">
        <v>92.5494382494087</v>
      </c>
      <c r="AH123" s="19" t="n">
        <v>265.461355593392</v>
      </c>
      <c r="AI123" s="19" t="n">
        <v>262.325218519668</v>
      </c>
      <c r="AJ123" s="19" t="n">
        <v>144.994738494827</v>
      </c>
      <c r="AK123" s="19" t="n">
        <v>100.881868700183</v>
      </c>
    </row>
    <row r="124" customFormat="false" ht="12.75" hidden="false" customHeight="false" outlineLevel="0" collapsed="false">
      <c r="B124" s="19" t="s">
        <v>108</v>
      </c>
      <c r="D124" s="19" t="n">
        <v>7117.8215054029</v>
      </c>
      <c r="E124" s="19" t="n">
        <v>0.220261948528099</v>
      </c>
      <c r="F124" s="19" t="n">
        <v>1.18781403471344</v>
      </c>
      <c r="G124" s="19" t="n">
        <v>0.484474205970995</v>
      </c>
      <c r="H124" s="19" t="n">
        <v>0.0654302411045681</v>
      </c>
      <c r="I124" s="19" t="n">
        <v>0.0495614954920319</v>
      </c>
      <c r="J124" s="19" t="n">
        <v>0.158933456718732</v>
      </c>
      <c r="K124" s="19" t="n">
        <v>0.118811056631799</v>
      </c>
      <c r="L124" s="19" t="n">
        <v>0.265350461063442</v>
      </c>
      <c r="M124" s="19" t="n">
        <v>0.476994514870646</v>
      </c>
      <c r="N124" s="19" t="n">
        <v>0.803487731155202</v>
      </c>
      <c r="O124" s="19" t="n">
        <v>1.38342836776183</v>
      </c>
      <c r="P124" s="19" t="n">
        <v>0.0465555715962332</v>
      </c>
      <c r="Q124" s="19" t="n">
        <v>0.015848715305113</v>
      </c>
      <c r="R124" s="19" t="n">
        <v>0.0198113547521791</v>
      </c>
      <c r="S124" s="19" t="n">
        <v>0.0704423524450932</v>
      </c>
      <c r="T124" s="19" t="n">
        <v>0.685187416360441</v>
      </c>
      <c r="U124" s="19" t="n">
        <v>2.08604526784442</v>
      </c>
      <c r="V124" s="19" t="n">
        <v>0.106367366763695</v>
      </c>
      <c r="W124" s="19" t="n">
        <v>1.66012539542001</v>
      </c>
      <c r="X124" s="19" t="n">
        <v>1.6753642007115</v>
      </c>
      <c r="Y124" s="19" t="n">
        <v>0.929197850188004</v>
      </c>
      <c r="Z124" s="19" t="n">
        <v>0.309242771089945</v>
      </c>
      <c r="AA124" s="19" t="n">
        <v>0.0187029390159049</v>
      </c>
      <c r="AB124" s="19" t="n">
        <v>0.0933863967875077</v>
      </c>
      <c r="AC124" s="19" t="n">
        <v>0.416584527142996</v>
      </c>
      <c r="AD124" s="19" t="n">
        <v>0.905967285515791</v>
      </c>
      <c r="AE124" s="19" t="n">
        <v>2.39361097013002</v>
      </c>
      <c r="AF124" s="19" t="n">
        <v>0.145303785713278</v>
      </c>
      <c r="AG124" s="19" t="n">
        <v>0.288258262805043</v>
      </c>
      <c r="AH124" s="19" t="n">
        <v>0.203377519735004</v>
      </c>
      <c r="AI124" s="19" t="n">
        <v>0.320328455039834</v>
      </c>
      <c r="AJ124" s="19" t="n">
        <v>0.499033681303203</v>
      </c>
      <c r="AK124" s="19" t="n">
        <v>1.023467647277</v>
      </c>
    </row>
    <row r="125" customFormat="false" ht="12.75" hidden="false" customHeight="false" outlineLevel="0" collapsed="false">
      <c r="B125" s="19" t="s">
        <v>109</v>
      </c>
      <c r="D125" s="19" t="n">
        <v>11933.1218865023</v>
      </c>
      <c r="E125" s="19" t="n">
        <v>0</v>
      </c>
      <c r="F125" s="19" t="n">
        <v>0</v>
      </c>
      <c r="G125" s="19" t="n">
        <v>0</v>
      </c>
      <c r="H125" s="19" t="n">
        <v>0</v>
      </c>
      <c r="I125" s="19" t="n">
        <v>0</v>
      </c>
      <c r="J125" s="19" t="n">
        <v>0</v>
      </c>
      <c r="K125" s="19" t="n">
        <v>0</v>
      </c>
      <c r="L125" s="19" t="n">
        <v>0</v>
      </c>
      <c r="M125" s="19" t="n">
        <v>0</v>
      </c>
      <c r="N125" s="19" t="n">
        <v>0</v>
      </c>
      <c r="O125" s="19" t="n">
        <v>0</v>
      </c>
      <c r="P125" s="19" t="n">
        <v>0</v>
      </c>
      <c r="Q125" s="19" t="n">
        <v>0</v>
      </c>
      <c r="R125" s="19" t="n">
        <v>0</v>
      </c>
      <c r="S125" s="19" t="n">
        <v>0</v>
      </c>
      <c r="T125" s="19" t="n">
        <v>0</v>
      </c>
      <c r="U125" s="19" t="n">
        <v>0</v>
      </c>
      <c r="V125" s="19" t="n">
        <v>0</v>
      </c>
      <c r="W125" s="19" t="n">
        <v>0</v>
      </c>
      <c r="X125" s="19" t="n">
        <v>0</v>
      </c>
      <c r="Y125" s="19" t="n">
        <v>0</v>
      </c>
      <c r="Z125" s="19" t="n">
        <v>0</v>
      </c>
      <c r="AA125" s="19" t="n">
        <v>0</v>
      </c>
      <c r="AB125" s="19" t="n">
        <v>0</v>
      </c>
      <c r="AC125" s="19" t="n">
        <v>0</v>
      </c>
      <c r="AD125" s="19" t="n">
        <v>0</v>
      </c>
      <c r="AE125" s="19" t="n">
        <v>0</v>
      </c>
      <c r="AF125" s="19" t="n">
        <v>0</v>
      </c>
      <c r="AG125" s="19" t="n">
        <v>0</v>
      </c>
      <c r="AH125" s="19" t="n">
        <v>0</v>
      </c>
      <c r="AI125" s="19" t="n">
        <v>0</v>
      </c>
      <c r="AJ125" s="19" t="n">
        <v>0</v>
      </c>
      <c r="AK125" s="19" t="n">
        <v>0</v>
      </c>
    </row>
    <row r="126" customFormat="false" ht="12.75" hidden="false" customHeight="false" outlineLevel="0" collapsed="false">
      <c r="B126" s="19" t="s">
        <v>110</v>
      </c>
      <c r="D126" s="19" t="n">
        <v>432.855331999285</v>
      </c>
      <c r="E126" s="19" t="n">
        <v>3.05524703355594</v>
      </c>
      <c r="F126" s="19" t="n">
        <v>16.4761336682327</v>
      </c>
      <c r="G126" s="19" t="n">
        <v>6.72012751416488</v>
      </c>
      <c r="H126" s="19" t="n">
        <v>0.907580957017089</v>
      </c>
      <c r="I126" s="19" t="n">
        <v>0.687466051637643</v>
      </c>
      <c r="J126" s="19" t="n">
        <v>2.20456132081638</v>
      </c>
      <c r="K126" s="19" t="n">
        <v>1.64802468494299</v>
      </c>
      <c r="L126" s="19" t="n">
        <v>3.68066846967603</v>
      </c>
      <c r="M126" s="19" t="n">
        <v>6.61637693809414</v>
      </c>
      <c r="N126" s="19" t="n">
        <v>11.1451547737368</v>
      </c>
      <c r="O126" s="19" t="n">
        <v>19.1894943497344</v>
      </c>
      <c r="P126" s="19" t="n">
        <v>0.645770969363538</v>
      </c>
      <c r="Q126" s="19" t="n">
        <v>0.21983706557214</v>
      </c>
      <c r="R126" s="19" t="n">
        <v>0.274802721222626</v>
      </c>
      <c r="S126" s="19" t="n">
        <v>0.977103806548395</v>
      </c>
      <c r="T126" s="19" t="n">
        <v>9.50421457384879</v>
      </c>
      <c r="U126" s="19" t="n">
        <v>28.9354727815457</v>
      </c>
      <c r="V126" s="19" t="n">
        <v>1.47541862742796</v>
      </c>
      <c r="W126" s="19" t="n">
        <v>23.0275507121503</v>
      </c>
      <c r="X126" s="19" t="n">
        <v>23.2389277337961</v>
      </c>
      <c r="Y126" s="19" t="n">
        <v>12.8888761510765</v>
      </c>
      <c r="Z126" s="19" t="n">
        <v>4.28949741584911</v>
      </c>
      <c r="AA126" s="19" t="n">
        <v>0.259427919025384</v>
      </c>
      <c r="AB126" s="19" t="n">
        <v>1.29535997327796</v>
      </c>
      <c r="AC126" s="19" t="n">
        <v>5.77843176855656</v>
      </c>
      <c r="AD126" s="19" t="n">
        <v>12.5666456692484</v>
      </c>
      <c r="AE126" s="19" t="n">
        <v>33.201707625154</v>
      </c>
      <c r="AF126" s="19" t="n">
        <v>2.01550455369873</v>
      </c>
      <c r="AG126" s="19" t="n">
        <v>3.99842191635175</v>
      </c>
      <c r="AH126" s="19" t="n">
        <v>2.82104361654216</v>
      </c>
      <c r="AI126" s="19" t="n">
        <v>4.4432666130671</v>
      </c>
      <c r="AJ126" s="19" t="n">
        <v>6.92208156985229</v>
      </c>
      <c r="AK126" s="19" t="n">
        <v>14.1964897440495</v>
      </c>
    </row>
    <row r="127" customFormat="false" ht="12.75" hidden="false" customHeight="false" outlineLevel="0" collapsed="false">
      <c r="B127" s="19" t="s">
        <v>341</v>
      </c>
      <c r="D127" s="19" t="n">
        <v>541400</v>
      </c>
      <c r="E127" s="19" t="n">
        <v>12700</v>
      </c>
      <c r="F127" s="19" t="n">
        <v>37064.2914625134</v>
      </c>
      <c r="G127" s="19" t="n">
        <v>8792.78292038665</v>
      </c>
      <c r="H127" s="19" t="n">
        <v>931.662010680235</v>
      </c>
      <c r="I127" s="19" t="n">
        <v>358.07881352186</v>
      </c>
      <c r="J127" s="19" t="n">
        <v>2820.60128392427</v>
      </c>
      <c r="K127" s="19" t="n">
        <v>6285.54488855847</v>
      </c>
      <c r="L127" s="19" t="n">
        <v>2906.52730188121</v>
      </c>
      <c r="M127" s="19" t="n">
        <v>5805.09526678241</v>
      </c>
      <c r="N127" s="19" t="n">
        <v>21313.9375711084</v>
      </c>
      <c r="O127" s="19" t="n">
        <v>142341.865163003</v>
      </c>
      <c r="P127" s="19" t="n">
        <v>3292.19991309974</v>
      </c>
      <c r="Q127" s="19" t="n">
        <v>760.678189075556</v>
      </c>
      <c r="R127" s="19" t="n">
        <v>1941.93279938403</v>
      </c>
      <c r="S127" s="19" t="n">
        <v>2184.80241608045</v>
      </c>
      <c r="T127" s="19" t="n">
        <v>38800</v>
      </c>
      <c r="U127" s="19" t="n">
        <v>255600</v>
      </c>
      <c r="V127" s="19" t="n">
        <v>5849.99065789493</v>
      </c>
      <c r="W127" s="19" t="n">
        <v>72522.3825599053</v>
      </c>
      <c r="X127" s="19" t="n">
        <v>308527.6267822</v>
      </c>
      <c r="Y127" s="19" t="n">
        <v>115700</v>
      </c>
      <c r="Z127" s="19" t="n">
        <v>138583.557017643</v>
      </c>
      <c r="AA127" s="19" t="n">
        <v>1247.95997828867</v>
      </c>
      <c r="AB127" s="19" t="n">
        <v>7273.09202254555</v>
      </c>
      <c r="AC127" s="19" t="n">
        <v>42695.3909815224</v>
      </c>
      <c r="AD127" s="19" t="n">
        <v>27700</v>
      </c>
      <c r="AE127" s="19" t="n">
        <v>31700</v>
      </c>
      <c r="AF127" s="19" t="n">
        <v>9000</v>
      </c>
      <c r="AG127" s="19" t="n">
        <v>41500</v>
      </c>
      <c r="AH127" s="19" t="n">
        <v>94100</v>
      </c>
      <c r="AI127" s="19" t="n">
        <v>206200</v>
      </c>
      <c r="AJ127" s="19" t="n">
        <v>92100</v>
      </c>
      <c r="AK127" s="19" t="n">
        <v>71200</v>
      </c>
    </row>
    <row r="128" customFormat="false" ht="12.75" hidden="false" customHeight="false" outlineLevel="0" collapsed="false">
      <c r="B128" s="30" t="s">
        <v>343</v>
      </c>
    </row>
    <row r="130" customFormat="false" ht="12.75" hidden="false" customHeight="false" outlineLevel="0" collapsed="false">
      <c r="D130" s="37" t="n">
        <v>1</v>
      </c>
      <c r="E130" s="37" t="n">
        <v>2</v>
      </c>
      <c r="F130" s="37" t="n">
        <v>3</v>
      </c>
      <c r="G130" s="37" t="n">
        <v>4</v>
      </c>
      <c r="H130" s="37" t="n">
        <v>5</v>
      </c>
      <c r="I130" s="37" t="n">
        <v>6</v>
      </c>
      <c r="J130" s="37" t="n">
        <v>7</v>
      </c>
      <c r="K130" s="37" t="n">
        <v>8</v>
      </c>
      <c r="L130" s="37" t="n">
        <v>9</v>
      </c>
      <c r="M130" s="37" t="n">
        <v>10</v>
      </c>
      <c r="N130" s="37" t="n">
        <v>11</v>
      </c>
      <c r="O130" s="37" t="n">
        <v>12</v>
      </c>
      <c r="P130" s="37" t="n">
        <v>13</v>
      </c>
      <c r="Q130" s="37" t="n">
        <v>14</v>
      </c>
      <c r="R130" s="37" t="n">
        <v>15</v>
      </c>
      <c r="S130" s="37" t="n">
        <v>16</v>
      </c>
      <c r="T130" s="37" t="n">
        <v>17</v>
      </c>
      <c r="U130" s="37" t="n">
        <v>18</v>
      </c>
      <c r="V130" s="37" t="n">
        <v>19</v>
      </c>
      <c r="W130" s="37" t="n">
        <v>20</v>
      </c>
      <c r="X130" s="37" t="n">
        <v>21</v>
      </c>
      <c r="Y130" s="37" t="n">
        <v>22</v>
      </c>
      <c r="Z130" s="37" t="n">
        <v>23</v>
      </c>
      <c r="AA130" s="37" t="n">
        <v>24</v>
      </c>
      <c r="AB130" s="37" t="n">
        <v>25</v>
      </c>
      <c r="AC130" s="37" t="n">
        <v>26</v>
      </c>
      <c r="AD130" s="37" t="n">
        <v>27</v>
      </c>
      <c r="AE130" s="37" t="n">
        <v>28</v>
      </c>
      <c r="AF130" s="37" t="n">
        <v>29</v>
      </c>
      <c r="AG130" s="37" t="n">
        <v>30</v>
      </c>
      <c r="AH130" s="37" t="n">
        <v>31</v>
      </c>
      <c r="AI130" s="37" t="n">
        <v>32</v>
      </c>
      <c r="AJ130" s="37" t="n">
        <v>33</v>
      </c>
      <c r="AK130" s="37" t="n">
        <v>34</v>
      </c>
    </row>
    <row r="131" customFormat="false" ht="91.7" hidden="false" customHeight="false" outlineLevel="0" collapsed="false">
      <c r="D131" s="37" t="s">
        <v>208</v>
      </c>
      <c r="E131" s="37" t="s">
        <v>209</v>
      </c>
      <c r="F131" s="37" t="s">
        <v>210</v>
      </c>
      <c r="G131" s="37" t="s">
        <v>211</v>
      </c>
      <c r="H131" s="37" t="s">
        <v>212</v>
      </c>
      <c r="I131" s="37" t="s">
        <v>213</v>
      </c>
      <c r="J131" s="37" t="s">
        <v>214</v>
      </c>
      <c r="K131" s="37" t="s">
        <v>215</v>
      </c>
      <c r="L131" s="37" t="s">
        <v>216</v>
      </c>
      <c r="M131" s="37" t="s">
        <v>217</v>
      </c>
      <c r="N131" s="37" t="s">
        <v>218</v>
      </c>
      <c r="O131" s="37" t="s">
        <v>219</v>
      </c>
      <c r="P131" s="37" t="s">
        <v>135</v>
      </c>
      <c r="Q131" s="37" t="s">
        <v>220</v>
      </c>
      <c r="R131" s="37" t="s">
        <v>221</v>
      </c>
      <c r="S131" s="37" t="s">
        <v>222</v>
      </c>
      <c r="T131" s="37" t="s">
        <v>223</v>
      </c>
      <c r="U131" s="37" t="s">
        <v>145</v>
      </c>
      <c r="V131" s="37" t="s">
        <v>224</v>
      </c>
      <c r="W131" s="37" t="s">
        <v>225</v>
      </c>
      <c r="X131" s="37" t="s">
        <v>226</v>
      </c>
      <c r="Y131" s="37" t="s">
        <v>227</v>
      </c>
      <c r="Z131" s="37" t="s">
        <v>228</v>
      </c>
      <c r="AA131" s="37" t="s">
        <v>229</v>
      </c>
      <c r="AB131" s="37" t="s">
        <v>230</v>
      </c>
      <c r="AC131" s="37" t="s">
        <v>231</v>
      </c>
      <c r="AD131" s="37" t="s">
        <v>232</v>
      </c>
      <c r="AE131" s="37" t="s">
        <v>233</v>
      </c>
      <c r="AF131" s="37" t="s">
        <v>234</v>
      </c>
      <c r="AG131" s="37" t="s">
        <v>235</v>
      </c>
      <c r="AH131" s="37" t="s">
        <v>236</v>
      </c>
      <c r="AI131" s="37" t="s">
        <v>173</v>
      </c>
      <c r="AJ131" s="37" t="s">
        <v>237</v>
      </c>
      <c r="AK131" s="37" t="s">
        <v>238</v>
      </c>
    </row>
    <row r="132" customFormat="false" ht="12.75" hidden="false" customHeight="false" outlineLevel="0" collapsed="false">
      <c r="B132" s="19" t="s">
        <v>106</v>
      </c>
      <c r="D132" s="60" t="n">
        <f aca="false">D122/D$84</f>
        <v>0.626000973420854</v>
      </c>
      <c r="E132" s="60" t="n">
        <f aca="false">E122/E$84</f>
        <v>1.0158233900895</v>
      </c>
      <c r="F132" s="60" t="n">
        <f aca="false">F122/F$84</f>
        <v>1.14556168617553</v>
      </c>
      <c r="G132" s="60" t="n">
        <f aca="false">G122/G$84</f>
        <v>2.00744559652504</v>
      </c>
      <c r="H132" s="60" t="n">
        <f aca="false">H122/H$84</f>
        <v>2.43516247193552</v>
      </c>
      <c r="I132" s="60" t="n">
        <f aca="false">I122/I$84</f>
        <v>5.75062752783828</v>
      </c>
      <c r="J132" s="60" t="n">
        <f aca="false">J122/J$84</f>
        <v>2.00085793996993</v>
      </c>
      <c r="K132" s="60" t="n">
        <f aca="false">K122/K$84</f>
        <v>96.8941734711903</v>
      </c>
      <c r="L132" s="60" t="n">
        <f aca="false">L122/L$84</f>
        <v>3.2811358591853</v>
      </c>
      <c r="M132" s="60" t="n">
        <f aca="false">M122/M$84</f>
        <v>79.2854393797343</v>
      </c>
      <c r="N132" s="60" t="n">
        <f aca="false">N122/N$84</f>
        <v>1.55684490667293</v>
      </c>
      <c r="O132" s="60" t="n">
        <f aca="false">O122/O$84</f>
        <v>0.7508567623754</v>
      </c>
      <c r="P132" s="60" t="n">
        <f aca="false">P122/P$84</f>
        <v>121.709848108686</v>
      </c>
      <c r="Q132" s="60" t="n">
        <f aca="false">Q122/Q$84</f>
        <v>1.23677591067745</v>
      </c>
      <c r="R132" s="60" t="n">
        <f aca="false">R122/R$84</f>
        <v>0.774273071750453</v>
      </c>
      <c r="S132" s="60" t="n">
        <f aca="false">S122/S$84</f>
        <v>102.099580175467</v>
      </c>
      <c r="T132" s="60" t="n">
        <f aca="false">T122/T$84</f>
        <v>703.592540201509</v>
      </c>
      <c r="U132" s="60" t="n">
        <f aca="false">U122/U$84</f>
        <v>0.724395234290229</v>
      </c>
      <c r="V132" s="60" t="n">
        <f aca="false">V122/V$84</f>
        <v>2.03755686158641</v>
      </c>
      <c r="W132" s="60" t="n">
        <f aca="false">W122/W$84</f>
        <v>2.11173046120943</v>
      </c>
      <c r="X132" s="60" t="n">
        <f aca="false">X122/X$84</f>
        <v>0.511721736818198</v>
      </c>
      <c r="Y132" s="60" t="n">
        <f aca="false">Y122/Y$84</f>
        <v>1.45765463331852</v>
      </c>
      <c r="Z132" s="60" t="n">
        <f aca="false">Z122/Z$84</f>
        <v>0.526259907928497</v>
      </c>
      <c r="AA132" s="60" t="n">
        <f aca="false">AA122/AA$84</f>
        <v>580.666196306206</v>
      </c>
      <c r="AB132" s="60" t="n">
        <f aca="false">AB122/AB$84</f>
        <v>97.8732486765652</v>
      </c>
      <c r="AC132" s="60" t="n">
        <f aca="false">AC122/AC$84</f>
        <v>1.43744165417773</v>
      </c>
      <c r="AD132" s="60" t="n">
        <f aca="false">AD122/AD$84</f>
        <v>0.927905742238784</v>
      </c>
      <c r="AE132" s="60" t="n">
        <f aca="false">AE122/AE$84</f>
        <v>349.610895356024</v>
      </c>
      <c r="AF132" s="60" t="n">
        <f aca="false">AF122/AF$84</f>
        <v>0.336393851592557</v>
      </c>
      <c r="AG132" s="60" t="n">
        <f aca="false">AG122/AG$84</f>
        <v>0.871706671829449</v>
      </c>
      <c r="AH132" s="60" t="n">
        <f aca="false">AH122/AH$84</f>
        <v>0.263405691981926</v>
      </c>
      <c r="AI132" s="60" t="n">
        <f aca="false">AI122/AI$84</f>
        <v>0.411230064057182</v>
      </c>
      <c r="AJ132" s="60" t="n">
        <f aca="false">AJ122/AJ$84</f>
        <v>0.811674364789955</v>
      </c>
      <c r="AK132" s="60" t="n">
        <f aca="false">AK122/AK$84</f>
        <v>2.09419103709002</v>
      </c>
    </row>
    <row r="133" customFormat="false" ht="12.75" hidden="false" customHeight="false" outlineLevel="0" collapsed="false">
      <c r="B133" s="19" t="s">
        <v>251</v>
      </c>
      <c r="D133" s="60" t="n">
        <f aca="false">D123/D$84</f>
        <v>0.442228960864434</v>
      </c>
      <c r="E133" s="60" t="n">
        <f aca="false">E123/E$84</f>
        <v>1.25020133911973</v>
      </c>
      <c r="F133" s="60" t="n">
        <f aca="false">F123/F$84</f>
        <v>0.436393925060533</v>
      </c>
      <c r="G133" s="60" t="n">
        <f aca="false">G123/G$84</f>
        <v>0.491186996973941</v>
      </c>
      <c r="H133" s="60" t="n">
        <f aca="false">H123/H$84</f>
        <v>0.451565438794204</v>
      </c>
      <c r="I133" s="60" t="n">
        <f aca="false">I123/I$84</f>
        <v>0.444163791212911</v>
      </c>
      <c r="J133" s="60" t="n">
        <f aca="false">J123/J$84</f>
        <v>0.449787265580991</v>
      </c>
      <c r="K133" s="60" t="n">
        <f aca="false">K123/K$84</f>
        <v>1.10265793373453</v>
      </c>
      <c r="L133" s="60" t="n">
        <f aca="false">L123/L$84</f>
        <v>1.01180136941694</v>
      </c>
      <c r="M133" s="60" t="n">
        <f aca="false">M123/M$84</f>
        <v>1.17575985130806</v>
      </c>
      <c r="N133" s="60" t="n">
        <f aca="false">N123/N$84</f>
        <v>1.25350159081333</v>
      </c>
      <c r="O133" s="60" t="n">
        <f aca="false">O123/O$84</f>
        <v>1.20353006742535</v>
      </c>
      <c r="P133" s="60" t="n">
        <f aca="false">P123/P$84</f>
        <v>1.22923630304225</v>
      </c>
      <c r="Q133" s="60" t="n">
        <f aca="false">Q123/Q$84</f>
        <v>1.15567072092956</v>
      </c>
      <c r="R133" s="60" t="n">
        <f aca="false">R123/R$84</f>
        <v>1.08704907423663</v>
      </c>
      <c r="S133" s="60" t="n">
        <f aca="false">S123/S$84</f>
        <v>1.13574432934279</v>
      </c>
      <c r="T133" s="60" t="n">
        <f aca="false">T123/T$84</f>
        <v>8.30412466545917</v>
      </c>
      <c r="U133" s="60" t="n">
        <f aca="false">U123/U$84</f>
        <v>6.36633141175863</v>
      </c>
      <c r="V133" s="60" t="n">
        <f aca="false">V123/V$84</f>
        <v>0.440124559701648</v>
      </c>
      <c r="W133" s="60" t="n">
        <f aca="false">W123/W$84</f>
        <v>0.388922563361214</v>
      </c>
      <c r="X133" s="60" t="n">
        <f aca="false">X123/X$84</f>
        <v>0.368413627433333</v>
      </c>
      <c r="Y133" s="60" t="n">
        <f aca="false">Y123/Y$84</f>
        <v>0.474490647537345</v>
      </c>
      <c r="Z133" s="60" t="n">
        <f aca="false">Z123/Z$84</f>
        <v>0.093560232038341</v>
      </c>
      <c r="AA133" s="60" t="n">
        <f aca="false">AA123/AA$84</f>
        <v>0.0962565790818538</v>
      </c>
      <c r="AB133" s="60" t="n">
        <f aca="false">AB123/AB$84</f>
        <v>0.095239304361866</v>
      </c>
      <c r="AC133" s="60" t="n">
        <f aca="false">AC123/AC$84</f>
        <v>0.467924001612262</v>
      </c>
      <c r="AD133" s="60" t="n">
        <f aca="false">AD123/AD$84</f>
        <v>0.439767073488311</v>
      </c>
      <c r="AE133" s="60" t="n">
        <f aca="false">AE123/AE$84</f>
        <v>0.45788619702108</v>
      </c>
      <c r="AF133" s="60" t="n">
        <f aca="false">AF123/AF$84</f>
        <v>0.45377623864402</v>
      </c>
      <c r="AG133" s="60" t="n">
        <f aca="false">AG123/AG$84</f>
        <v>0.449539016825133</v>
      </c>
      <c r="AH133" s="60" t="n">
        <f aca="false">AH123/AH$84</f>
        <v>0.43559036251819</v>
      </c>
      <c r="AI133" s="60" t="n">
        <f aca="false">AI123/AI$84</f>
        <v>0.442333144970784</v>
      </c>
      <c r="AJ133" s="60" t="n">
        <f aca="false">AJ123/AJ$84</f>
        <v>0.435522949422804</v>
      </c>
      <c r="AK133" s="60" t="n">
        <f aca="false">AK123/AK$84</f>
        <v>0.438968428370372</v>
      </c>
    </row>
    <row r="134" customFormat="false" ht="12.75" hidden="false" customHeight="false" outlineLevel="0" collapsed="false">
      <c r="B134" s="19" t="s">
        <v>108</v>
      </c>
      <c r="D134" s="60" t="n">
        <f aca="false">D124/D$84</f>
        <v>2.33029829281256</v>
      </c>
      <c r="E134" s="60" t="n">
        <f aca="false">E124/E$84</f>
        <v>0.00151463071289392</v>
      </c>
      <c r="F134" s="60" t="n">
        <f aca="false">F124/F$84</f>
        <v>0.00184725037381496</v>
      </c>
      <c r="G134" s="60" t="n">
        <f aca="false">G124/G$84</f>
        <v>0.00377578568029395</v>
      </c>
      <c r="H134" s="60" t="n">
        <f aca="false">H124/H$84</f>
        <v>0.0048126376051426</v>
      </c>
      <c r="I134" s="60" t="n">
        <f aca="false">I124/I$84</f>
        <v>0.0125478710169822</v>
      </c>
      <c r="J134" s="60" t="n">
        <f aca="false">J124/J$84</f>
        <v>0.00402567665408037</v>
      </c>
      <c r="K134" s="60" t="n">
        <f aca="false">K124/K$84</f>
        <v>0.00140260939422289</v>
      </c>
      <c r="L134" s="60" t="n">
        <f aca="false">L124/L$84</f>
        <v>0.00677814002576993</v>
      </c>
      <c r="M134" s="60" t="n">
        <f aca="false">M124/M$84</f>
        <v>0.00624830504116047</v>
      </c>
      <c r="N134" s="60" t="n">
        <f aca="false">N124/N$84</f>
        <v>0.00286664391849831</v>
      </c>
      <c r="O134" s="60" t="n">
        <f aca="false">O124/O$84</f>
        <v>0.000800414276979264</v>
      </c>
      <c r="P134" s="60" t="n">
        <f aca="false">P124/P$84</f>
        <v>0.00136134318666315</v>
      </c>
      <c r="Q134" s="60" t="n">
        <f aca="false">Q124/Q$84</f>
        <v>0.00202482876295729</v>
      </c>
      <c r="R134" s="60" t="n">
        <f aca="false">R124/R$84</f>
        <v>0.000993675702207903</v>
      </c>
      <c r="S134" s="60" t="n">
        <f aca="false">S124/S$84</f>
        <v>0.00250262380492092</v>
      </c>
      <c r="T134" s="60" t="n">
        <f aca="false">T124/T$84</f>
        <v>0.00191088117723816</v>
      </c>
      <c r="U134" s="60" t="n">
        <f aca="false">U124/U$84</f>
        <v>0.00105762457598943</v>
      </c>
      <c r="V134" s="60" t="n">
        <f aca="false">V124/V$84</f>
        <v>0.00407134751050134</v>
      </c>
      <c r="W134" s="60" t="n">
        <f aca="false">W124/W$84</f>
        <v>0.00446494903458881</v>
      </c>
      <c r="X134" s="60" t="n">
        <f aca="false">X124/X$84</f>
        <v>0.000993193222425285</v>
      </c>
      <c r="Y134" s="60" t="n">
        <f aca="false">Y124/Y$84</f>
        <v>0.0030060865807475</v>
      </c>
      <c r="Z134" s="60" t="n">
        <f aca="false">Z124/Z$84</f>
        <v>0.000624749955653666</v>
      </c>
      <c r="AA134" s="60" t="n">
        <f aca="false">AA124/AA$84</f>
        <v>0.00404392960208954</v>
      </c>
      <c r="AB134" s="60" t="n">
        <f aca="false">AB124/AB$84</f>
        <v>0.00363491007448577</v>
      </c>
      <c r="AC134" s="60" t="n">
        <f aca="false">AC124/AC$84</f>
        <v>0.00275936924926814</v>
      </c>
      <c r="AD134" s="60" t="n">
        <f aca="false">AD124/AD$84</f>
        <v>0.00174777693393833</v>
      </c>
      <c r="AE134" s="60" t="n">
        <f aca="false">AE124/AE$84</f>
        <v>0.00150289559003029</v>
      </c>
      <c r="AF134" s="60" t="n">
        <f aca="false">AF124/AF$84</f>
        <v>0.00053082574130621</v>
      </c>
      <c r="AG134" s="60" t="n">
        <f aca="false">AG124/AG$84</f>
        <v>0.00140015259416151</v>
      </c>
      <c r="AH134" s="60" t="n">
        <f aca="false">AH124/AH$84</f>
        <v>0.000333718206747626</v>
      </c>
      <c r="AI134" s="60" t="n">
        <f aca="false">AI124/AI$84</f>
        <v>0.000540138282323698</v>
      </c>
      <c r="AJ134" s="60" t="n">
        <f aca="false">AJ124/AJ$84</f>
        <v>0.0014989552241597</v>
      </c>
      <c r="AK134" s="60" t="n">
        <f aca="false">AK124/AK$84</f>
        <v>0.00445342647198894</v>
      </c>
    </row>
    <row r="135" customFormat="false" ht="12.75" hidden="false" customHeight="false" outlineLevel="0" collapsed="false">
      <c r="B135" s="19" t="s">
        <v>109</v>
      </c>
      <c r="D135" s="60" t="n">
        <f aca="false">D125/D$84</f>
        <v>3.90677590593309</v>
      </c>
      <c r="E135" s="60" t="n">
        <f aca="false">E125/E$84</f>
        <v>0</v>
      </c>
      <c r="F135" s="60" t="n">
        <f aca="false">F125/F$84</f>
        <v>0</v>
      </c>
      <c r="G135" s="60" t="n">
        <f aca="false">G125/G$84</f>
        <v>0</v>
      </c>
      <c r="H135" s="60" t="n">
        <f aca="false">H125/H$84</f>
        <v>0</v>
      </c>
      <c r="I135" s="60" t="n">
        <f aca="false">I125/I$84</f>
        <v>0</v>
      </c>
      <c r="J135" s="60" t="n">
        <f aca="false">J125/J$84</f>
        <v>0</v>
      </c>
      <c r="K135" s="60" t="n">
        <f aca="false">K125/K$84</f>
        <v>0</v>
      </c>
      <c r="L135" s="60" t="n">
        <f aca="false">L125/L$84</f>
        <v>0</v>
      </c>
      <c r="M135" s="60" t="n">
        <f aca="false">M125/M$84</f>
        <v>0</v>
      </c>
      <c r="N135" s="60" t="n">
        <f aca="false">N125/N$84</f>
        <v>0</v>
      </c>
      <c r="O135" s="60" t="n">
        <f aca="false">O125/O$84</f>
        <v>0</v>
      </c>
      <c r="P135" s="60" t="n">
        <f aca="false">P125/P$84</f>
        <v>0</v>
      </c>
      <c r="Q135" s="60" t="n">
        <f aca="false">Q125/Q$84</f>
        <v>0</v>
      </c>
      <c r="R135" s="60" t="n">
        <f aca="false">R125/R$84</f>
        <v>0</v>
      </c>
      <c r="S135" s="60" t="n">
        <f aca="false">S125/S$84</f>
        <v>0</v>
      </c>
      <c r="T135" s="60" t="n">
        <f aca="false">T125/T$84</f>
        <v>0</v>
      </c>
      <c r="U135" s="60" t="n">
        <f aca="false">U125/U$84</f>
        <v>0</v>
      </c>
      <c r="V135" s="60" t="n">
        <f aca="false">V125/V$84</f>
        <v>0</v>
      </c>
      <c r="W135" s="60" t="n">
        <f aca="false">W125/W$84</f>
        <v>0</v>
      </c>
      <c r="X135" s="60" t="n">
        <f aca="false">X125/X$84</f>
        <v>0</v>
      </c>
      <c r="Y135" s="60" t="n">
        <f aca="false">Y125/Y$84</f>
        <v>0</v>
      </c>
      <c r="Z135" s="60" t="n">
        <f aca="false">Z125/Z$84</f>
        <v>0</v>
      </c>
      <c r="AA135" s="60" t="n">
        <f aca="false">AA125/AA$84</f>
        <v>0</v>
      </c>
      <c r="AB135" s="60" t="n">
        <f aca="false">AB125/AB$84</f>
        <v>0</v>
      </c>
      <c r="AC135" s="60" t="n">
        <f aca="false">AC125/AC$84</f>
        <v>0</v>
      </c>
      <c r="AD135" s="60" t="n">
        <f aca="false">AD125/AD$84</f>
        <v>0</v>
      </c>
      <c r="AE135" s="60" t="n">
        <f aca="false">AE125/AE$84</f>
        <v>0</v>
      </c>
      <c r="AF135" s="60" t="n">
        <f aca="false">AF125/AF$84</f>
        <v>0</v>
      </c>
      <c r="AG135" s="60" t="n">
        <f aca="false">AG125/AG$84</f>
        <v>0</v>
      </c>
      <c r="AH135" s="60" t="n">
        <f aca="false">AH125/AH$84</f>
        <v>0</v>
      </c>
      <c r="AI135" s="60" t="n">
        <f aca="false">AI125/AI$84</f>
        <v>0</v>
      </c>
      <c r="AJ135" s="60" t="n">
        <f aca="false">AJ125/AJ$84</f>
        <v>0</v>
      </c>
      <c r="AK135" s="60" t="n">
        <f aca="false">AK125/AK$84</f>
        <v>0</v>
      </c>
    </row>
    <row r="136" customFormat="false" ht="12.75" hidden="false" customHeight="false" outlineLevel="0" collapsed="false">
      <c r="B136" s="19" t="s">
        <v>110</v>
      </c>
      <c r="D136" s="60" t="n">
        <f aca="false">D126/D$84</f>
        <v>0.141712185452682</v>
      </c>
      <c r="E136" s="60" t="n">
        <f aca="false">E126/E$84</f>
        <v>0.021009398234355</v>
      </c>
      <c r="F136" s="60" t="n">
        <f aca="false">F126/F$84</f>
        <v>0.0256231558040233</v>
      </c>
      <c r="G136" s="60" t="n">
        <f aca="false">G126/G$84</f>
        <v>0.0523738125270847</v>
      </c>
      <c r="H136" s="60" t="n">
        <f aca="false">H126/H$84</f>
        <v>0.0667559551931225</v>
      </c>
      <c r="I136" s="60" t="n">
        <f aca="false">I126/I$84</f>
        <v>0.174051151178237</v>
      </c>
      <c r="J136" s="60" t="n">
        <f aca="false">J126/J$84</f>
        <v>0.0558400429017605</v>
      </c>
      <c r="K136" s="60" t="n">
        <f aca="false">K126/K$84</f>
        <v>0.0194555538057019</v>
      </c>
      <c r="L136" s="60" t="n">
        <f aca="false">L126/L$84</f>
        <v>0.0940193816732646</v>
      </c>
      <c r="M136" s="60" t="n">
        <f aca="false">M126/M$84</f>
        <v>0.0866700561278415</v>
      </c>
      <c r="N136" s="60" t="n">
        <f aca="false">N126/N$84</f>
        <v>0.0397631337903823</v>
      </c>
      <c r="O136" s="60" t="n">
        <f aca="false">O126/O$84</f>
        <v>0.0111025229809258</v>
      </c>
      <c r="P136" s="60" t="n">
        <f aca="false">P126/P$84</f>
        <v>0.0188831514498909</v>
      </c>
      <c r="Q136" s="60" t="n">
        <f aca="false">Q126/Q$84</f>
        <v>0.0280863404361229</v>
      </c>
      <c r="R136" s="60" t="n">
        <f aca="false">R126/R$84</f>
        <v>0.0137832465470086</v>
      </c>
      <c r="S136" s="60" t="n">
        <f aca="false">S126/S$84</f>
        <v>0.0347138214620655</v>
      </c>
      <c r="T136" s="60" t="n">
        <f aca="false">T126/T$84</f>
        <v>0.0265057768136922</v>
      </c>
      <c r="U136" s="60" t="n">
        <f aca="false">U126/U$84</f>
        <v>0.0146702795012972</v>
      </c>
      <c r="V136" s="60" t="n">
        <f aca="false">V126/V$84</f>
        <v>0.0564735420128534</v>
      </c>
      <c r="W136" s="60" t="n">
        <f aca="false">W126/W$84</f>
        <v>0.0619331772195124</v>
      </c>
      <c r="X136" s="60" t="n">
        <f aca="false">X126/X$84</f>
        <v>0.0137765540840823</v>
      </c>
      <c r="Y136" s="60" t="n">
        <f aca="false">Y126/Y$84</f>
        <v>0.0416973388722629</v>
      </c>
      <c r="Z136" s="60" t="n">
        <f aca="false">Z126/Z$84</f>
        <v>0.00866588832742283</v>
      </c>
      <c r="AA136" s="60" t="n">
        <f aca="false">AA126/AA$84</f>
        <v>0.0560932290087178</v>
      </c>
      <c r="AB136" s="60" t="n">
        <f aca="false">AB126/AB$84</f>
        <v>0.0504197311270878</v>
      </c>
      <c r="AC136" s="60" t="n">
        <f aca="false">AC126/AC$84</f>
        <v>0.0382751299970292</v>
      </c>
      <c r="AD136" s="60" t="n">
        <f aca="false">AD126/AD$84</f>
        <v>0.0242433626344286</v>
      </c>
      <c r="AE136" s="60" t="n">
        <f aca="false">AE126/AE$84</f>
        <v>0.0208466206889955</v>
      </c>
      <c r="AF136" s="60" t="n">
        <f aca="false">AF126/AF$84</f>
        <v>0.00736306830253084</v>
      </c>
      <c r="AG136" s="60" t="n">
        <f aca="false">AG126/AG$84</f>
        <v>0.0194214756040436</v>
      </c>
      <c r="AH136" s="60" t="n">
        <f aca="false">AH126/AH$84</f>
        <v>0.00462899546663739</v>
      </c>
      <c r="AI136" s="60" t="n">
        <f aca="false">AI126/AI$84</f>
        <v>0.00749224228609304</v>
      </c>
      <c r="AJ136" s="60" t="n">
        <f aca="false">AJ126/AJ$84</f>
        <v>0.0207919639894716</v>
      </c>
      <c r="AK136" s="60" t="n">
        <f aca="false">AK126/AK$84</f>
        <v>0.0617733480913427</v>
      </c>
    </row>
    <row r="137" customFormat="false" ht="12.75" hidden="false" customHeight="false" outlineLevel="0" collapsed="false">
      <c r="B137" s="19" t="s">
        <v>341</v>
      </c>
      <c r="D137" s="60" t="n">
        <f aca="false">D127/D$84</f>
        <v>177.248543640924</v>
      </c>
      <c r="E137" s="60" t="n">
        <f aca="false">E127/E$84</f>
        <v>87.3315167794349</v>
      </c>
      <c r="F137" s="60" t="n">
        <f aca="false">F127/F$84</f>
        <v>57.6411999339881</v>
      </c>
      <c r="G137" s="60" t="n">
        <f aca="false">G127/G$84</f>
        <v>68.5272062610424</v>
      </c>
      <c r="H137" s="60" t="n">
        <f aca="false">H127/H$84</f>
        <v>68.5272062610423</v>
      </c>
      <c r="I137" s="60" t="n">
        <f aca="false">I127/I$84</f>
        <v>90.6576107395446</v>
      </c>
      <c r="J137" s="60" t="n">
        <f aca="false">J127/J$84</f>
        <v>71.4439173072159</v>
      </c>
      <c r="K137" s="60" t="n">
        <f aca="false">K127/K$84</f>
        <v>74.2032312348125</v>
      </c>
      <c r="L137" s="60" t="n">
        <f aca="false">L127/L$84</f>
        <v>74.2446384374809</v>
      </c>
      <c r="M137" s="60" t="n">
        <f aca="false">M127/M$84</f>
        <v>76.0428157747049</v>
      </c>
      <c r="N137" s="60" t="n">
        <f aca="false">N127/N$84</f>
        <v>76.0428157747047</v>
      </c>
      <c r="O137" s="60" t="n">
        <f aca="false">O127/O$84</f>
        <v>82.3551574792774</v>
      </c>
      <c r="P137" s="60" t="n">
        <f aca="false">P127/P$84</f>
        <v>96.2680462759902</v>
      </c>
      <c r="Q137" s="60" t="n">
        <f aca="false">Q127/Q$84</f>
        <v>97.1840964357246</v>
      </c>
      <c r="R137" s="60" t="n">
        <f aca="false">R127/R$84</f>
        <v>97.4012863939166</v>
      </c>
      <c r="S137" s="60" t="n">
        <f aca="false">S127/S$84</f>
        <v>77.6200445576193</v>
      </c>
      <c r="T137" s="60" t="n">
        <f aca="false">T127/T$84</f>
        <v>108.207167712838</v>
      </c>
      <c r="U137" s="60" t="n">
        <f aca="false">U127/U$84</f>
        <v>129.589154075375</v>
      </c>
      <c r="V137" s="60" t="n">
        <f aca="false">V127/V$84</f>
        <v>223.915902274699</v>
      </c>
      <c r="W137" s="60" t="n">
        <f aca="false">W127/W$84</f>
        <v>195.050773206807</v>
      </c>
      <c r="X137" s="60" t="n">
        <f aca="false">X127/X$84</f>
        <v>182.902050623323</v>
      </c>
      <c r="Y137" s="60" t="n">
        <f aca="false">Y127/Y$84</f>
        <v>374.305878260603</v>
      </c>
      <c r="Z137" s="60" t="n">
        <f aca="false">Z127/Z$84</f>
        <v>279.974438192826</v>
      </c>
      <c r="AA137" s="60" t="n">
        <f aca="false">AA127/AA$84</f>
        <v>269.832580544316</v>
      </c>
      <c r="AB137" s="60" t="n">
        <f aca="false">AB127/AB$84</f>
        <v>283.093002566187</v>
      </c>
      <c r="AC137" s="60" t="n">
        <f aca="false">AC127/AC$84</f>
        <v>282.805388303472</v>
      </c>
      <c r="AD137" s="60" t="n">
        <f aca="false">AD127/AD$84</f>
        <v>53.4383766876622</v>
      </c>
      <c r="AE137" s="60" t="n">
        <f aca="false">AE127/AE$84</f>
        <v>19.903731558087</v>
      </c>
      <c r="AF137" s="60" t="n">
        <f aca="false">AF127/AF$84</f>
        <v>32.8789208643401</v>
      </c>
      <c r="AG137" s="60" t="n">
        <f aca="false">AG127/AG$84</f>
        <v>201.577335866349</v>
      </c>
      <c r="AH137" s="60" t="n">
        <f aca="false">AH127/AH$84</f>
        <v>154.406855270282</v>
      </c>
      <c r="AI137" s="60" t="n">
        <f aca="false">AI127/AI$84</f>
        <v>347.694724158353</v>
      </c>
      <c r="AJ137" s="60" t="n">
        <f aca="false">AJ127/AJ$84</f>
        <v>276.642201353197</v>
      </c>
      <c r="AK137" s="60" t="n">
        <f aca="false">AK127/AK$84</f>
        <v>309.813373826945</v>
      </c>
    </row>
    <row r="142" customFormat="false" ht="12.75" hidden="false" customHeight="false" outlineLevel="0" collapsed="false">
      <c r="B142" s="30" t="s">
        <v>344</v>
      </c>
    </row>
    <row r="144" customFormat="false" ht="12.75" hidden="false" customHeight="false" outlineLevel="0" collapsed="false">
      <c r="B144" s="30" t="s">
        <v>345</v>
      </c>
    </row>
    <row r="145" customFormat="false" ht="12.75" hidden="false" customHeight="false" outlineLevel="0" collapsed="false">
      <c r="B145" s="30"/>
    </row>
    <row r="146" customFormat="false" ht="91.7" hidden="false" customHeight="false" outlineLevel="0" collapsed="false">
      <c r="B146" s="89"/>
      <c r="C146" s="89"/>
      <c r="D146" s="90" t="s">
        <v>208</v>
      </c>
      <c r="E146" s="90" t="s">
        <v>209</v>
      </c>
      <c r="F146" s="90" t="s">
        <v>210</v>
      </c>
      <c r="G146" s="90" t="s">
        <v>211</v>
      </c>
      <c r="H146" s="90" t="s">
        <v>212</v>
      </c>
      <c r="I146" s="90" t="s">
        <v>213</v>
      </c>
      <c r="J146" s="90" t="s">
        <v>214</v>
      </c>
      <c r="K146" s="90" t="s">
        <v>215</v>
      </c>
      <c r="L146" s="90" t="s">
        <v>216</v>
      </c>
      <c r="M146" s="90" t="s">
        <v>217</v>
      </c>
      <c r="N146" s="90" t="s">
        <v>218</v>
      </c>
      <c r="O146" s="90" t="s">
        <v>219</v>
      </c>
      <c r="P146" s="90" t="s">
        <v>135</v>
      </c>
      <c r="Q146" s="90" t="s">
        <v>220</v>
      </c>
      <c r="R146" s="90" t="s">
        <v>221</v>
      </c>
      <c r="S146" s="90" t="s">
        <v>222</v>
      </c>
      <c r="T146" s="90" t="s">
        <v>223</v>
      </c>
      <c r="U146" s="90" t="s">
        <v>145</v>
      </c>
      <c r="V146" s="90" t="s">
        <v>224</v>
      </c>
      <c r="W146" s="90" t="s">
        <v>225</v>
      </c>
      <c r="X146" s="90" t="s">
        <v>226</v>
      </c>
      <c r="Y146" s="90" t="s">
        <v>227</v>
      </c>
      <c r="Z146" s="90" t="s">
        <v>228</v>
      </c>
      <c r="AA146" s="90" t="s">
        <v>229</v>
      </c>
      <c r="AB146" s="90" t="s">
        <v>230</v>
      </c>
      <c r="AC146" s="90" t="s">
        <v>231</v>
      </c>
      <c r="AD146" s="90" t="s">
        <v>232</v>
      </c>
      <c r="AE146" s="90" t="s">
        <v>233</v>
      </c>
      <c r="AF146" s="90" t="s">
        <v>234</v>
      </c>
      <c r="AG146" s="90" t="s">
        <v>235</v>
      </c>
      <c r="AH146" s="90" t="s">
        <v>236</v>
      </c>
      <c r="AI146" s="90" t="s">
        <v>173</v>
      </c>
      <c r="AJ146" s="90" t="s">
        <v>237</v>
      </c>
      <c r="AK146" s="90" t="s">
        <v>238</v>
      </c>
    </row>
    <row r="147" customFormat="false" ht="12.75" hidden="false" customHeight="false" outlineLevel="0" collapsed="false">
      <c r="B147" s="89"/>
      <c r="C147" s="89"/>
      <c r="D147" s="89" t="s">
        <v>112</v>
      </c>
      <c r="E147" s="89" t="s">
        <v>114</v>
      </c>
      <c r="F147" s="89" t="s">
        <v>116</v>
      </c>
      <c r="G147" s="89" t="s">
        <v>118</v>
      </c>
      <c r="H147" s="89" t="s">
        <v>120</v>
      </c>
      <c r="I147" s="89" t="s">
        <v>122</v>
      </c>
      <c r="J147" s="89" t="s">
        <v>124</v>
      </c>
      <c r="K147" s="89" t="s">
        <v>126</v>
      </c>
      <c r="L147" s="89" t="s">
        <v>128</v>
      </c>
      <c r="M147" s="89" t="s">
        <v>130</v>
      </c>
      <c r="N147" s="89" t="s">
        <v>132</v>
      </c>
      <c r="O147" s="89" t="s">
        <v>134</v>
      </c>
      <c r="P147" s="89" t="s">
        <v>136</v>
      </c>
      <c r="Q147" s="89" t="s">
        <v>138</v>
      </c>
      <c r="R147" s="89" t="s">
        <v>140</v>
      </c>
      <c r="S147" s="89" t="s">
        <v>142</v>
      </c>
      <c r="T147" s="89" t="s">
        <v>144</v>
      </c>
      <c r="U147" s="89" t="s">
        <v>146</v>
      </c>
      <c r="V147" s="89" t="s">
        <v>148</v>
      </c>
      <c r="W147" s="89" t="s">
        <v>150</v>
      </c>
      <c r="X147" s="89" t="s">
        <v>152</v>
      </c>
      <c r="Y147" s="89" t="s">
        <v>154</v>
      </c>
      <c r="Z147" s="89" t="s">
        <v>156</v>
      </c>
      <c r="AA147" s="89" t="s">
        <v>158</v>
      </c>
      <c r="AB147" s="89" t="s">
        <v>160</v>
      </c>
      <c r="AC147" s="89" t="s">
        <v>162</v>
      </c>
      <c r="AD147" s="89" t="s">
        <v>164</v>
      </c>
      <c r="AE147" s="89" t="s">
        <v>166</v>
      </c>
      <c r="AF147" s="89" t="s">
        <v>168</v>
      </c>
      <c r="AG147" s="89" t="s">
        <v>170</v>
      </c>
      <c r="AH147" s="89" t="s">
        <v>172</v>
      </c>
      <c r="AI147" s="89" t="s">
        <v>174</v>
      </c>
      <c r="AJ147" s="89" t="s">
        <v>176</v>
      </c>
      <c r="AK147" s="89" t="s">
        <v>178</v>
      </c>
    </row>
    <row r="148" customFormat="false" ht="12.75" hidden="false" customHeight="false" outlineLevel="0" collapsed="false">
      <c r="B148" s="89" t="s">
        <v>111</v>
      </c>
      <c r="C148" s="89" t="s">
        <v>112</v>
      </c>
      <c r="D148" s="91" t="n">
        <f aca="false">D8/D$84</f>
        <v>0.451252162864499</v>
      </c>
      <c r="E148" s="91" t="n">
        <f aca="false">E8/E$84</f>
        <v>0.00221617413541719</v>
      </c>
      <c r="F148" s="91" t="n">
        <f aca="false">F8/F$84</f>
        <v>0.179245217764241</v>
      </c>
      <c r="G148" s="91" t="n">
        <f aca="false">G8/G$84</f>
        <v>0.133147386165569</v>
      </c>
      <c r="H148" s="91" t="n">
        <f aca="false">H8/H$84</f>
        <v>0.12146327771202</v>
      </c>
      <c r="I148" s="91" t="n">
        <f aca="false">I8/I$84</f>
        <v>0.00226525734744479</v>
      </c>
      <c r="J148" s="91" t="n">
        <f aca="false">J8/J$84</f>
        <v>0.0019276059427764</v>
      </c>
      <c r="K148" s="91" t="n">
        <f aca="false">K8/K$84</f>
        <v>0.00287853707619722</v>
      </c>
      <c r="L148" s="91" t="n">
        <f aca="false">L8/L$84</f>
        <v>0.0030392634587225</v>
      </c>
      <c r="M148" s="91" t="n">
        <f aca="false">M8/M$84</f>
        <v>0.000720588870270366</v>
      </c>
      <c r="N148" s="91" t="n">
        <f aca="false">N8/N$84</f>
        <v>0.000714649667737304</v>
      </c>
      <c r="O148" s="91" t="n">
        <f aca="false">O8/O$84</f>
        <v>2.6117809222648E-005</v>
      </c>
      <c r="P148" s="91" t="n">
        <f aca="false">P8/P$84</f>
        <v>0</v>
      </c>
      <c r="Q148" s="91" t="n">
        <f aca="false">Q8/Q$84</f>
        <v>0</v>
      </c>
      <c r="R148" s="91" t="n">
        <f aca="false">R8/R$84</f>
        <v>0</v>
      </c>
      <c r="S148" s="91" t="n">
        <f aca="false">S8/S$84</f>
        <v>0</v>
      </c>
      <c r="T148" s="91" t="n">
        <f aca="false">T8/T$84</f>
        <v>0</v>
      </c>
      <c r="U148" s="91" t="n">
        <f aca="false">U8/U$84</f>
        <v>8.81277747536711E-005</v>
      </c>
      <c r="V148" s="91" t="n">
        <f aca="false">V8/V$84</f>
        <v>0</v>
      </c>
      <c r="W148" s="91" t="n">
        <f aca="false">W8/W$84</f>
        <v>0.00263506056603786</v>
      </c>
      <c r="X148" s="91" t="n">
        <f aca="false">X8/X$84</f>
        <v>8.07822977358744E-005</v>
      </c>
      <c r="Y148" s="91" t="n">
        <f aca="false">Y8/Y$84</f>
        <v>0.0399283348089905</v>
      </c>
      <c r="Z148" s="91" t="n">
        <f aca="false">Z8/Z$84</f>
        <v>0</v>
      </c>
      <c r="AA148" s="91" t="n">
        <f aca="false">AA8/AA$84</f>
        <v>0</v>
      </c>
      <c r="AB148" s="91" t="n">
        <f aca="false">AB8/AB$84</f>
        <v>0</v>
      </c>
      <c r="AC148" s="91" t="n">
        <f aca="false">AC8/AC$84</f>
        <v>0</v>
      </c>
      <c r="AD148" s="91" t="n">
        <f aca="false">AD8/AD$84</f>
        <v>0</v>
      </c>
      <c r="AE148" s="91" t="n">
        <f aca="false">AE8/AE$84</f>
        <v>0</v>
      </c>
      <c r="AF148" s="91" t="n">
        <f aca="false">AF8/AF$84</f>
        <v>0.00100525502232843</v>
      </c>
      <c r="AG148" s="91" t="n">
        <f aca="false">AG8/AG$84</f>
        <v>0.00102923580045598</v>
      </c>
      <c r="AH148" s="91" t="n">
        <f aca="false">AH8/AH$84</f>
        <v>0.0342752515310736</v>
      </c>
      <c r="AI148" s="91" t="n">
        <f aca="false">AI8/AI$84</f>
        <v>0.017941122276997</v>
      </c>
      <c r="AJ148" s="91" t="n">
        <f aca="false">AJ8/AJ$84</f>
        <v>0.0360410327513355</v>
      </c>
      <c r="AK148" s="91" t="n">
        <f aca="false">AK8/AK$84</f>
        <v>0.000310229564168507</v>
      </c>
    </row>
    <row r="149" customFormat="false" ht="12.75" hidden="false" customHeight="false" outlineLevel="0" collapsed="false">
      <c r="B149" s="89" t="s">
        <v>113</v>
      </c>
      <c r="C149" s="89" t="s">
        <v>114</v>
      </c>
      <c r="D149" s="91" t="n">
        <f aca="false">D9/D$84</f>
        <v>9.33327489489378E-007</v>
      </c>
      <c r="E149" s="91" t="n">
        <f aca="false">E9/E$84</f>
        <v>0.0317303992804627</v>
      </c>
      <c r="F149" s="91" t="n">
        <f aca="false">F9/F$84</f>
        <v>0.00448885153523126</v>
      </c>
      <c r="G149" s="91" t="n">
        <f aca="false">G9/G$84</f>
        <v>0.00237054991837362</v>
      </c>
      <c r="H149" s="91" t="n">
        <f aca="false">H9/H$84</f>
        <v>0.00236143519478076</v>
      </c>
      <c r="I149" s="91" t="n">
        <f aca="false">I9/I$84</f>
        <v>0.000722935429973692</v>
      </c>
      <c r="J149" s="91" t="n">
        <f aca="false">J9/J$84</f>
        <v>0.000588105014249988</v>
      </c>
      <c r="K149" s="91" t="n">
        <f aca="false">K9/K$84</f>
        <v>0.0990585290253169</v>
      </c>
      <c r="L149" s="91" t="n">
        <f aca="false">L9/L$84</f>
        <v>0.0990126744971333</v>
      </c>
      <c r="M149" s="91" t="n">
        <f aca="false">M9/M$84</f>
        <v>0.0246609548721813</v>
      </c>
      <c r="N149" s="91" t="n">
        <f aca="false">N9/N$84</f>
        <v>0.0244576955495808</v>
      </c>
      <c r="O149" s="91" t="n">
        <f aca="false">O9/O$84</f>
        <v>0.00807667662853071</v>
      </c>
      <c r="P149" s="91" t="n">
        <f aca="false">P9/P$84</f>
        <v>0.0287970033599892</v>
      </c>
      <c r="Q149" s="91" t="n">
        <f aca="false">Q9/Q$84</f>
        <v>0.028550428385253</v>
      </c>
      <c r="R149" s="91" t="n">
        <f aca="false">R9/R$84</f>
        <v>0.0284919669485238</v>
      </c>
      <c r="S149" s="91" t="n">
        <f aca="false">S9/S$84</f>
        <v>0.0345283123480921</v>
      </c>
      <c r="T149" s="91" t="n">
        <f aca="false">T9/T$84</f>
        <v>0.0617182049534604</v>
      </c>
      <c r="U149" s="91" t="n">
        <f aca="false">U9/U$84</f>
        <v>0.00707735857227023</v>
      </c>
      <c r="V149" s="91" t="n">
        <f aca="false">V9/V$84</f>
        <v>0.00864136366034703</v>
      </c>
      <c r="W149" s="91" t="n">
        <f aca="false">W9/W$84</f>
        <v>0.000258930755104337</v>
      </c>
      <c r="X149" s="91" t="n">
        <f aca="false">X9/X$84</f>
        <v>0.00027193647973576</v>
      </c>
      <c r="Y149" s="91" t="n">
        <f aca="false">Y9/Y$84</f>
        <v>0.000563188829968637</v>
      </c>
      <c r="Z149" s="91" t="n">
        <f aca="false">Z9/Z$84</f>
        <v>0.00135014017089816</v>
      </c>
      <c r="AA149" s="91" t="n">
        <f aca="false">AA9/AA$84</f>
        <v>0.00139437276307094</v>
      </c>
      <c r="AB149" s="91" t="n">
        <f aca="false">AB9/AB$84</f>
        <v>0.00134184456857838</v>
      </c>
      <c r="AC149" s="91" t="n">
        <f aca="false">AC9/AC$84</f>
        <v>0.00134284179304587</v>
      </c>
      <c r="AD149" s="91" t="n">
        <f aca="false">AD9/AD$84</f>
        <v>0.000986524331954289</v>
      </c>
      <c r="AE149" s="91" t="n">
        <f aca="false">AE9/AE$84</f>
        <v>0</v>
      </c>
      <c r="AF149" s="91" t="n">
        <f aca="false">AF9/AF$84</f>
        <v>3.66305693293409E-005</v>
      </c>
      <c r="AG149" s="91" t="n">
        <f aca="false">AG9/AG$84</f>
        <v>3.7504406849434E-005</v>
      </c>
      <c r="AH149" s="91" t="n">
        <f aca="false">AH9/AH$84</f>
        <v>0.00279199594138527</v>
      </c>
      <c r="AI149" s="91" t="n">
        <f aca="false">AI9/AI$84</f>
        <v>0.00971782634670099</v>
      </c>
      <c r="AJ149" s="91" t="n">
        <f aca="false">AJ9/AJ$84</f>
        <v>0.000128557633368162</v>
      </c>
      <c r="AK149" s="91" t="n">
        <f aca="false">AK9/AK$84</f>
        <v>0.000647682512097589</v>
      </c>
    </row>
    <row r="150" customFormat="false" ht="12.75" hidden="false" customHeight="false" outlineLevel="0" collapsed="false">
      <c r="B150" s="89" t="s">
        <v>115</v>
      </c>
      <c r="C150" s="89" t="s">
        <v>116</v>
      </c>
      <c r="D150" s="91" t="n">
        <f aca="false">D10/D$84</f>
        <v>0.00244055770956993</v>
      </c>
      <c r="E150" s="91" t="n">
        <f aca="false">E10/E$84</f>
        <v>0.00120531785002058</v>
      </c>
      <c r="F150" s="91" t="n">
        <f aca="false">F10/F$84</f>
        <v>0.09343119376858</v>
      </c>
      <c r="G150" s="91" t="n">
        <f aca="false">G10/G$84</f>
        <v>0.00742587314260568</v>
      </c>
      <c r="H150" s="91" t="n">
        <f aca="false">H10/H$84</f>
        <v>0.00739732078831604</v>
      </c>
      <c r="I150" s="91" t="n">
        <f aca="false">I10/I$84</f>
        <v>0.000117510458959246</v>
      </c>
      <c r="J150" s="91" t="n">
        <f aca="false">J10/J$84</f>
        <v>0.000579647067404921</v>
      </c>
      <c r="K150" s="91" t="n">
        <f aca="false">K10/K$84</f>
        <v>0.0265069750435195</v>
      </c>
      <c r="L150" s="91" t="n">
        <f aca="false">L10/L$84</f>
        <v>0.0264897585373334</v>
      </c>
      <c r="M150" s="91" t="n">
        <f aca="false">M10/M$84</f>
        <v>0.00638488886818608</v>
      </c>
      <c r="N150" s="91" t="n">
        <f aca="false">N10/N$84</f>
        <v>0.00633226364775354</v>
      </c>
      <c r="O150" s="91" t="n">
        <f aca="false">O10/O$84</f>
        <v>0.000772272509685461</v>
      </c>
      <c r="P150" s="91" t="n">
        <f aca="false">P10/P$84</f>
        <v>0.000107051223789687</v>
      </c>
      <c r="Q150" s="91" t="n">
        <f aca="false">Q10/Q$84</f>
        <v>0.000106134595331113</v>
      </c>
      <c r="R150" s="91" t="n">
        <f aca="false">R10/R$84</f>
        <v>0.00010591726826176</v>
      </c>
      <c r="S150" s="91" t="n">
        <f aca="false">S10/S$84</f>
        <v>0.000184019742708838</v>
      </c>
      <c r="T150" s="91" t="n">
        <f aca="false">T10/T$84</f>
        <v>0.00383628976621221</v>
      </c>
      <c r="U150" s="91" t="n">
        <f aca="false">U10/U$84</f>
        <v>0.0170553129652573</v>
      </c>
      <c r="V150" s="91" t="n">
        <f aca="false">V10/V$84</f>
        <v>0.000162071705426881</v>
      </c>
      <c r="W150" s="91" t="n">
        <f aca="false">W10/W$84</f>
        <v>0.0121104577196797</v>
      </c>
      <c r="X150" s="91" t="n">
        <f aca="false">X10/X$84</f>
        <v>0.0336192859241723</v>
      </c>
      <c r="Y150" s="91" t="n">
        <f aca="false">Y10/Y$84</f>
        <v>0.0785733020004991</v>
      </c>
      <c r="Z150" s="91" t="n">
        <f aca="false">Z10/Z$84</f>
        <v>0.00598866458127619</v>
      </c>
      <c r="AA150" s="91" t="n">
        <f aca="false">AA10/AA$84</f>
        <v>0.0061848621049058</v>
      </c>
      <c r="AB150" s="91" t="n">
        <f aca="false">AB10/AB$84</f>
        <v>0.00595186871306655</v>
      </c>
      <c r="AC150" s="91" t="n">
        <f aca="false">AC10/AC$84</f>
        <v>0.00595629198923956</v>
      </c>
      <c r="AD150" s="91" t="n">
        <f aca="false">AD10/AD$84</f>
        <v>0.00781068919754724</v>
      </c>
      <c r="AE150" s="91" t="n">
        <f aca="false">AE10/AE$84</f>
        <v>0.000191220477378893</v>
      </c>
      <c r="AF150" s="91" t="n">
        <f aca="false">AF10/AF$84</f>
        <v>0.0193345668370948</v>
      </c>
      <c r="AG150" s="91" t="n">
        <f aca="false">AG10/AG$84</f>
        <v>0.0197958009987892</v>
      </c>
      <c r="AH150" s="91" t="n">
        <f aca="false">AH10/AH$84</f>
        <v>0.0348982181707289</v>
      </c>
      <c r="AI150" s="91" t="n">
        <f aca="false">AI10/AI$84</f>
        <v>0.0168784676080094</v>
      </c>
      <c r="AJ150" s="91" t="n">
        <f aca="false">AJ10/AJ$84</f>
        <v>0.0186065112535883</v>
      </c>
      <c r="AK150" s="91" t="n">
        <f aca="false">AK10/AK$84</f>
        <v>0.0101544058072175</v>
      </c>
    </row>
    <row r="151" customFormat="false" ht="12.75" hidden="false" customHeight="false" outlineLevel="0" collapsed="false">
      <c r="B151" s="89" t="s">
        <v>117</v>
      </c>
      <c r="C151" s="89" t="s">
        <v>118</v>
      </c>
      <c r="D151" s="91" t="n">
        <f aca="false">D11/D$84</f>
        <v>6.27918315514915E-007</v>
      </c>
      <c r="E151" s="91" t="n">
        <f aca="false">E11/E$84</f>
        <v>0.000245099167383247</v>
      </c>
      <c r="F151" s="91" t="n">
        <f aca="false">F11/F$84</f>
        <v>0.000438981106696443</v>
      </c>
      <c r="G151" s="91" t="n">
        <f aca="false">G11/G$84</f>
        <v>0.0260862400092023</v>
      </c>
      <c r="H151" s="91" t="n">
        <f aca="false">H11/H$84</f>
        <v>0.027836745504615</v>
      </c>
      <c r="I151" s="91" t="n">
        <f aca="false">I11/I$84</f>
        <v>0.00167053517790614</v>
      </c>
      <c r="J151" s="91" t="n">
        <f aca="false">J11/J$84</f>
        <v>0.00213254487577696</v>
      </c>
      <c r="K151" s="91" t="n">
        <f aca="false">K11/K$84</f>
        <v>0.00917063045843107</v>
      </c>
      <c r="L151" s="91" t="n">
        <f aca="false">L11/L$84</f>
        <v>0.00916467405579525</v>
      </c>
      <c r="M151" s="91" t="n">
        <f aca="false">M11/M$84</f>
        <v>0.00088574882234209</v>
      </c>
      <c r="N151" s="91" t="n">
        <f aca="false">N11/N$84</f>
        <v>0.000878448346486375</v>
      </c>
      <c r="O151" s="91" t="n">
        <f aca="false">O11/O$84</f>
        <v>0.000133195829392839</v>
      </c>
      <c r="P151" s="91" t="n">
        <f aca="false">P11/P$84</f>
        <v>0.00292404564718975</v>
      </c>
      <c r="Q151" s="91" t="n">
        <f aca="false">Q11/Q$84</f>
        <v>0.00289900844201357</v>
      </c>
      <c r="R151" s="91" t="n">
        <f aca="false">R11/R$84</f>
        <v>0.00289307227193853</v>
      </c>
      <c r="S151" s="91" t="n">
        <f aca="false">S11/S$84</f>
        <v>0.00878867310377072</v>
      </c>
      <c r="T151" s="91" t="n">
        <f aca="false">T11/T$84</f>
        <v>0.000357890860077603</v>
      </c>
      <c r="U151" s="91" t="n">
        <f aca="false">U11/U$84</f>
        <v>1.22973115681468E-005</v>
      </c>
      <c r="V151" s="91" t="n">
        <f aca="false">V11/V$84</f>
        <v>0.00013401460474481</v>
      </c>
      <c r="W151" s="91" t="n">
        <f aca="false">W11/W$84</f>
        <v>7.02517215916092E-005</v>
      </c>
      <c r="X151" s="91" t="n">
        <f aca="false">X11/X$84</f>
        <v>0.000131208652963761</v>
      </c>
      <c r="Y151" s="91" t="n">
        <f aca="false">Y11/Y$84</f>
        <v>0.00318133836783359</v>
      </c>
      <c r="Z151" s="91" t="n">
        <f aca="false">Z11/Z$84</f>
        <v>0.000141509651956682</v>
      </c>
      <c r="AA151" s="91" t="n">
        <f aca="false">AA11/AA$84</f>
        <v>0.0001461457177952</v>
      </c>
      <c r="AB151" s="91" t="n">
        <f aca="false">AB11/AB$84</f>
        <v>0.000140640180902975</v>
      </c>
      <c r="AC151" s="91" t="n">
        <f aca="false">AC11/AC$84</f>
        <v>0.000140744701078258</v>
      </c>
      <c r="AD151" s="91" t="n">
        <f aca="false">AD11/AD$84</f>
        <v>0.000148574678537184</v>
      </c>
      <c r="AE151" s="91" t="n">
        <f aca="false">AE11/AE$84</f>
        <v>7.34669845357103E-007</v>
      </c>
      <c r="AF151" s="91" t="n">
        <f aca="false">AF11/AF$84</f>
        <v>0.000166358110692228</v>
      </c>
      <c r="AG151" s="91" t="n">
        <f aca="false">AG11/AG$84</f>
        <v>0.000170326652856771</v>
      </c>
      <c r="AH151" s="91" t="n">
        <f aca="false">AH11/AH$84</f>
        <v>0.0012951761065353</v>
      </c>
      <c r="AI151" s="91" t="n">
        <f aca="false">AI11/AI$84</f>
        <v>0.000746664027472587</v>
      </c>
      <c r="AJ151" s="91" t="n">
        <f aca="false">AJ11/AJ$84</f>
        <v>0.00169337748323206</v>
      </c>
      <c r="AK151" s="91" t="n">
        <f aca="false">AK11/AK$84</f>
        <v>0.00171440437989661</v>
      </c>
    </row>
    <row r="152" customFormat="false" ht="12.75" hidden="false" customHeight="false" outlineLevel="0" collapsed="false">
      <c r="B152" s="89" t="s">
        <v>119</v>
      </c>
      <c r="C152" s="89" t="s">
        <v>120</v>
      </c>
      <c r="D152" s="91" t="n">
        <f aca="false">D12/D$84</f>
        <v>6.64120563944213E-008</v>
      </c>
      <c r="E152" s="91" t="n">
        <f aca="false">E12/E$84</f>
        <v>2.59230210750164E-005</v>
      </c>
      <c r="F152" s="91" t="n">
        <f aca="false">F12/F$84</f>
        <v>4.64290295308598E-005</v>
      </c>
      <c r="G152" s="91" t="n">
        <f aca="false">G12/G$84</f>
        <v>0.00295552957325158</v>
      </c>
      <c r="H152" s="91" t="n">
        <f aca="false">H12/H$84</f>
        <v>0.00294416561296456</v>
      </c>
      <c r="I152" s="91" t="n">
        <f aca="false">I12/I$84</f>
        <v>0.000176684886716499</v>
      </c>
      <c r="J152" s="91" t="n">
        <f aca="false">J12/J$84</f>
        <v>0.000225549545306057</v>
      </c>
      <c r="K152" s="91" t="n">
        <f aca="false">K12/K$84</f>
        <v>0.000969935757771757</v>
      </c>
      <c r="L152" s="91" t="n">
        <f aca="false">L12/L$84</f>
        <v>0.00096930577623119</v>
      </c>
      <c r="M152" s="91" t="n">
        <f aca="false">M12/M$84</f>
        <v>9.36816131767673E-005</v>
      </c>
      <c r="N152" s="91" t="n">
        <f aca="false">N12/N$84</f>
        <v>9.290947514184E-005</v>
      </c>
      <c r="O152" s="91" t="n">
        <f aca="false">O12/O$84</f>
        <v>1.40875153894582E-005</v>
      </c>
      <c r="P152" s="91" t="n">
        <f aca="false">P12/P$84</f>
        <v>0.000309262971986705</v>
      </c>
      <c r="Q152" s="91" t="n">
        <f aca="false">Q12/Q$84</f>
        <v>0.000306614900986014</v>
      </c>
      <c r="R152" s="91" t="n">
        <f aca="false">R12/R$84</f>
        <v>0.000305987059351122</v>
      </c>
      <c r="S152" s="91" t="n">
        <f aca="false">S12/S$84</f>
        <v>0.000929537870417306</v>
      </c>
      <c r="T152" s="91" t="n">
        <f aca="false">T12/T$84</f>
        <v>3.7852483985964E-005</v>
      </c>
      <c r="U152" s="91" t="n">
        <f aca="false">U12/U$84</f>
        <v>1.30063055844106E-006</v>
      </c>
      <c r="V152" s="91" t="n">
        <f aca="false">V12/V$84</f>
        <v>1.41741135241292E-005</v>
      </c>
      <c r="W152" s="91" t="n">
        <f aca="false">W12/W$84</f>
        <v>7.4302041855894E-006</v>
      </c>
      <c r="X152" s="91" t="n">
        <f aca="false">X12/X$84</f>
        <v>1.38773408017566E-005</v>
      </c>
      <c r="Y152" s="91" t="n">
        <f aca="false">Y12/Y$84</f>
        <v>0.000336475649577197</v>
      </c>
      <c r="Z152" s="91" t="n">
        <f aca="false">Z12/Z$84</f>
        <v>1.49668304839866E-005</v>
      </c>
      <c r="AA152" s="91" t="n">
        <f aca="false">AA12/AA$84</f>
        <v>1.54571660233527E-005</v>
      </c>
      <c r="AB152" s="91" t="n">
        <f aca="false">AB12/AB$84</f>
        <v>1.48748704961579E-005</v>
      </c>
      <c r="AC152" s="91" t="n">
        <f aca="false">AC12/AC$84</f>
        <v>1.48859251183974E-005</v>
      </c>
      <c r="AD152" s="91" t="n">
        <f aca="false">AD12/AD$84</f>
        <v>1.57140661229209E-005</v>
      </c>
      <c r="AE152" s="91" t="n">
        <f aca="false">AE12/AE$84</f>
        <v>7.77026788287372E-008</v>
      </c>
      <c r="AF152" s="91" t="n">
        <f aca="false">AF12/AF$84</f>
        <v>1.7594938634497E-005</v>
      </c>
      <c r="AG152" s="91" t="n">
        <f aca="false">AG12/AG$84</f>
        <v>1.80146732393383E-005</v>
      </c>
      <c r="AH152" s="91" t="n">
        <f aca="false">AH12/AH$84</f>
        <v>0.000136984869691839</v>
      </c>
      <c r="AI152" s="91" t="n">
        <f aca="false">AI12/AI$84</f>
        <v>7.89712487674957E-005</v>
      </c>
      <c r="AJ152" s="91" t="n">
        <f aca="false">AJ12/AJ$84</f>
        <v>0.000179100813170626</v>
      </c>
      <c r="AK152" s="91" t="n">
        <f aca="false">AK12/AK$84</f>
        <v>0.000181324732130438</v>
      </c>
    </row>
    <row r="153" customFormat="false" ht="12.75" hidden="false" customHeight="false" outlineLevel="0" collapsed="false">
      <c r="B153" s="89" t="s">
        <v>121</v>
      </c>
      <c r="C153" s="89" t="s">
        <v>122</v>
      </c>
      <c r="D153" s="91" t="n">
        <f aca="false">D13/D$84</f>
        <v>1.26102220947412E-007</v>
      </c>
      <c r="E153" s="91" t="n">
        <f aca="false">E13/E$84</f>
        <v>2.12028032455064E-005</v>
      </c>
      <c r="F153" s="91" t="n">
        <f aca="false">F13/F$84</f>
        <v>3.71904663467626E-005</v>
      </c>
      <c r="G153" s="91" t="n">
        <f aca="false">G13/G$84</f>
        <v>2.30421491218619E-006</v>
      </c>
      <c r="H153" s="91" t="n">
        <f aca="false">H13/H$84</f>
        <v>2.29535524554919E-006</v>
      </c>
      <c r="I153" s="91" t="n">
        <f aca="false">I13/I$84</f>
        <v>0.00420956908106413</v>
      </c>
      <c r="J153" s="91" t="n">
        <f aca="false">J13/J$84</f>
        <v>0.00385852845605881</v>
      </c>
      <c r="K153" s="91" t="n">
        <f aca="false">K13/K$84</f>
        <v>0.000159159218880602</v>
      </c>
      <c r="L153" s="91" t="n">
        <f aca="false">L13/L$84</f>
        <v>0.000159055843611567</v>
      </c>
      <c r="M153" s="91" t="n">
        <f aca="false">M13/M$84</f>
        <v>0.000176853598571505</v>
      </c>
      <c r="N153" s="91" t="n">
        <f aca="false">N13/N$84</f>
        <v>0.00017539594444451</v>
      </c>
      <c r="O153" s="91" t="n">
        <f aca="false">O13/O$84</f>
        <v>4.21890886968221E-005</v>
      </c>
      <c r="P153" s="91" t="n">
        <f aca="false">P13/P$84</f>
        <v>0.000192693834914705</v>
      </c>
      <c r="Q153" s="91" t="n">
        <f aca="false">Q13/Q$84</f>
        <v>0.000191043889714438</v>
      </c>
      <c r="R153" s="91" t="n">
        <f aca="false">R13/R$84</f>
        <v>0.000190652697676253</v>
      </c>
      <c r="S153" s="91" t="n">
        <f aca="false">S13/S$84</f>
        <v>0.00355174543811117</v>
      </c>
      <c r="T153" s="91" t="n">
        <f aca="false">T13/T$84</f>
        <v>4.51333357160904E-005</v>
      </c>
      <c r="U153" s="91" t="n">
        <f aca="false">U13/U$84</f>
        <v>0.000177440020544114</v>
      </c>
      <c r="V153" s="91" t="n">
        <f aca="false">V13/V$84</f>
        <v>4.05774202999737E-005</v>
      </c>
      <c r="W153" s="91" t="n">
        <f aca="false">W13/W$84</f>
        <v>0.000122742738542511</v>
      </c>
      <c r="X153" s="91" t="n">
        <f aca="false">X13/X$84</f>
        <v>3.66840324070582E-005</v>
      </c>
      <c r="Y153" s="91" t="n">
        <f aca="false">Y13/Y$84</f>
        <v>0.000195979049332982</v>
      </c>
      <c r="Z153" s="91" t="n">
        <f aca="false">Z13/Z$84</f>
        <v>1.49390688548626E-005</v>
      </c>
      <c r="AA153" s="91" t="n">
        <f aca="false">AA13/AA$84</f>
        <v>1.5428494882131E-005</v>
      </c>
      <c r="AB153" s="91" t="n">
        <f aca="false">AB13/AB$84</f>
        <v>1.48472794414973E-005</v>
      </c>
      <c r="AC153" s="91" t="n">
        <f aca="false">AC13/AC$84</f>
        <v>1.48583135587725E-005</v>
      </c>
      <c r="AD153" s="91" t="n">
        <f aca="false">AD13/AD$84</f>
        <v>2.0354037788081E-005</v>
      </c>
      <c r="AE153" s="91" t="n">
        <f aca="false">AE13/AE$84</f>
        <v>2.95081372444557E-008</v>
      </c>
      <c r="AF153" s="91" t="n">
        <f aca="false">AF13/AF$84</f>
        <v>2.4015749767594E-005</v>
      </c>
      <c r="AG153" s="91" t="n">
        <f aca="false">AG13/AG$84</f>
        <v>2.45886555019116E-005</v>
      </c>
      <c r="AH153" s="91" t="n">
        <f aca="false">AH13/AH$84</f>
        <v>3.96374882672535E-005</v>
      </c>
      <c r="AI153" s="91" t="n">
        <f aca="false">AI13/AI$84</f>
        <v>4.46993398788884E-005</v>
      </c>
      <c r="AJ153" s="91" t="n">
        <f aca="false">AJ13/AJ$84</f>
        <v>8.32227582238019E-006</v>
      </c>
      <c r="AK153" s="91" t="n">
        <f aca="false">AK13/AK$84</f>
        <v>0.000192510918611867</v>
      </c>
    </row>
    <row r="154" customFormat="false" ht="12.75" hidden="false" customHeight="false" outlineLevel="0" collapsed="false">
      <c r="B154" s="89" t="s">
        <v>123</v>
      </c>
      <c r="C154" s="89" t="s">
        <v>124</v>
      </c>
      <c r="D154" s="91" t="n">
        <f aca="false">D14/D$84</f>
        <v>3.67681810820557E-006</v>
      </c>
      <c r="E154" s="91" t="n">
        <f aca="false">E14/E$84</f>
        <v>0.000602436147497387</v>
      </c>
      <c r="F154" s="91" t="n">
        <f aca="false">F14/F$84</f>
        <v>0.000533621525227092</v>
      </c>
      <c r="G154" s="91" t="n">
        <f aca="false">G14/G$84</f>
        <v>0.000180784935234742</v>
      </c>
      <c r="H154" s="91" t="n">
        <f aca="false">H14/H$84</f>
        <v>0.00018008982027359</v>
      </c>
      <c r="I154" s="91" t="n">
        <f aca="false">I14/I$84</f>
        <v>0.0521097384068331</v>
      </c>
      <c r="J154" s="91" t="n">
        <f aca="false">J14/J$84</f>
        <v>0.0342772475912449</v>
      </c>
      <c r="K154" s="91" t="n">
        <f aca="false">K14/K$84</f>
        <v>0.00215656112763613</v>
      </c>
      <c r="L154" s="91" t="n">
        <f aca="false">L14/L$84</f>
        <v>0.00215516042280529</v>
      </c>
      <c r="M154" s="91" t="n">
        <f aca="false">M14/M$84</f>
        <v>0.00172413918023487</v>
      </c>
      <c r="N154" s="91" t="n">
        <f aca="false">N14/N$84</f>
        <v>0.00170992856415533</v>
      </c>
      <c r="O154" s="91" t="n">
        <f aca="false">O14/O$84</f>
        <v>0.000546186508032025</v>
      </c>
      <c r="P154" s="91" t="n">
        <f aca="false">P14/P$84</f>
        <v>0.00291408414961022</v>
      </c>
      <c r="Q154" s="91" t="n">
        <f aca="false">Q14/Q$84</f>
        <v>0.00288913223997621</v>
      </c>
      <c r="R154" s="91" t="n">
        <f aca="false">R14/R$84</f>
        <v>0.00288321629295886</v>
      </c>
      <c r="S154" s="91" t="n">
        <f aca="false">S14/S$84</f>
        <v>0.0311518290083047</v>
      </c>
      <c r="T154" s="91" t="n">
        <f aca="false">T14/T$84</f>
        <v>0.000785675597913119</v>
      </c>
      <c r="U154" s="91" t="n">
        <f aca="false">U14/U$84</f>
        <v>0.00155673910425293</v>
      </c>
      <c r="V154" s="91" t="n">
        <f aca="false">V14/V$84</f>
        <v>0.000591505909867885</v>
      </c>
      <c r="W154" s="91" t="n">
        <f aca="false">W14/W$84</f>
        <v>0.00130132225569808</v>
      </c>
      <c r="X154" s="91" t="n">
        <f aca="false">X14/X$84</f>
        <v>0.000764061119485425</v>
      </c>
      <c r="Y154" s="91" t="n">
        <f aca="false">Y14/Y$84</f>
        <v>0.00237912265939429</v>
      </c>
      <c r="Z154" s="91" t="n">
        <f aca="false">Z14/Z$84</f>
        <v>0.00015072014828556</v>
      </c>
      <c r="AA154" s="91" t="n">
        <f aca="false">AA14/AA$84</f>
        <v>0.000155657963628763</v>
      </c>
      <c r="AB154" s="91" t="n">
        <f aca="false">AB14/AB$84</f>
        <v>0.000149794085615398</v>
      </c>
      <c r="AC154" s="91" t="n">
        <f aca="false">AC14/AC$84</f>
        <v>0.000149905408737882</v>
      </c>
      <c r="AD154" s="91" t="n">
        <f aca="false">AD14/AD$84</f>
        <v>0.000244933891790376</v>
      </c>
      <c r="AE154" s="91" t="n">
        <f aca="false">AE14/AE$84</f>
        <v>5.02718035422281E-005</v>
      </c>
      <c r="AF154" s="91" t="n">
        <f aca="false">AF14/AF$84</f>
        <v>0.000238984236586839</v>
      </c>
      <c r="AG154" s="91" t="n">
        <f aca="false">AG14/AG$84</f>
        <v>0.000244685305297041</v>
      </c>
      <c r="AH154" s="91" t="n">
        <f aca="false">AH14/AH$84</f>
        <v>0.00072460595601721</v>
      </c>
      <c r="AI154" s="91" t="n">
        <f aca="false">AI14/AI$84</f>
        <v>0.00133116235261537</v>
      </c>
      <c r="AJ154" s="91" t="n">
        <f aca="false">AJ14/AJ$84</f>
        <v>0.000389533284626318</v>
      </c>
      <c r="AK154" s="91" t="n">
        <f aca="false">AK14/AK$84</f>
        <v>0.00240356863874884</v>
      </c>
    </row>
    <row r="155" customFormat="false" ht="12.75" hidden="false" customHeight="false" outlineLevel="0" collapsed="false">
      <c r="B155" s="89" t="s">
        <v>125</v>
      </c>
      <c r="C155" s="89" t="s">
        <v>126</v>
      </c>
      <c r="D155" s="91" t="n">
        <f aca="false">D15/D$84</f>
        <v>0.000724517408228389</v>
      </c>
      <c r="E155" s="91" t="n">
        <f aca="false">E15/E$84</f>
        <v>0.00655192905240749</v>
      </c>
      <c r="F155" s="91" t="n">
        <f aca="false">F15/F$84</f>
        <v>0.000297012811517085</v>
      </c>
      <c r="G155" s="91" t="n">
        <f aca="false">G15/G$84</f>
        <v>0.00109989112855301</v>
      </c>
      <c r="H155" s="91" t="n">
        <f aca="false">H15/H$84</f>
        <v>0.00109566206611424</v>
      </c>
      <c r="I155" s="91" t="n">
        <f aca="false">I15/I$84</f>
        <v>0.0027626226170056</v>
      </c>
      <c r="J155" s="91" t="n">
        <f aca="false">J15/J$84</f>
        <v>0.00426256967536364</v>
      </c>
      <c r="K155" s="91" t="n">
        <f aca="false">K15/K$84</f>
        <v>0.00530992798358763</v>
      </c>
      <c r="L155" s="91" t="n">
        <f aca="false">L15/L$84</f>
        <v>0.0053064791401105</v>
      </c>
      <c r="M155" s="91" t="n">
        <f aca="false">M15/M$84</f>
        <v>0.000590634928352631</v>
      </c>
      <c r="N155" s="91" t="n">
        <f aca="false">N15/N$84</f>
        <v>0.000585766825877962</v>
      </c>
      <c r="O155" s="91" t="n">
        <f aca="false">O15/O$84</f>
        <v>0.000899982716113804</v>
      </c>
      <c r="P155" s="91" t="n">
        <f aca="false">P15/P$84</f>
        <v>0.00356601924536061</v>
      </c>
      <c r="Q155" s="91" t="n">
        <f aca="false">Q15/Q$84</f>
        <v>0.0035354851271282</v>
      </c>
      <c r="R155" s="91" t="n">
        <f aca="false">R15/R$84</f>
        <v>0.00352824567217932</v>
      </c>
      <c r="S155" s="91" t="n">
        <f aca="false">S15/S$84</f>
        <v>0.000702004478425957</v>
      </c>
      <c r="T155" s="91" t="n">
        <f aca="false">T15/T$84</f>
        <v>0.00457501556926536</v>
      </c>
      <c r="U155" s="91" t="n">
        <f aca="false">U15/U$84</f>
        <v>0.00439132411309189</v>
      </c>
      <c r="V155" s="91" t="n">
        <f aca="false">V15/V$84</f>
        <v>0.00409094490905553</v>
      </c>
      <c r="W155" s="91" t="n">
        <f aca="false">W15/W$84</f>
        <v>0.00254472332104214</v>
      </c>
      <c r="X155" s="91" t="n">
        <f aca="false">X15/X$84</f>
        <v>0.00390896171398937</v>
      </c>
      <c r="Y155" s="91" t="n">
        <f aca="false">Y15/Y$84</f>
        <v>5.2180279233245E-005</v>
      </c>
      <c r="Z155" s="91" t="n">
        <f aca="false">Z15/Z$84</f>
        <v>0.010307856161206</v>
      </c>
      <c r="AA155" s="91" t="n">
        <f aca="false">AA15/AA$84</f>
        <v>0.00890663563723897</v>
      </c>
      <c r="AB155" s="91" t="n">
        <f aca="false">AB15/AB$84</f>
        <v>0.0085711087957673</v>
      </c>
      <c r="AC155" s="91" t="n">
        <f aca="false">AC15/AC$84</f>
        <v>0.0100660625624511</v>
      </c>
      <c r="AD155" s="91" t="n">
        <f aca="false">AD15/AD$84</f>
        <v>0.0042729459602719</v>
      </c>
      <c r="AE155" s="91" t="n">
        <f aca="false">AE15/AE$84</f>
        <v>2.95153442010042E-005</v>
      </c>
      <c r="AF155" s="91" t="n">
        <f aca="false">AF15/AF$84</f>
        <v>0.00137744914254911</v>
      </c>
      <c r="AG155" s="91" t="n">
        <f aca="false">AG15/AG$84</f>
        <v>0.00141030876675963</v>
      </c>
      <c r="AH155" s="91" t="n">
        <f aca="false">AH15/AH$84</f>
        <v>0.001175738673494</v>
      </c>
      <c r="AI155" s="91" t="n">
        <f aca="false">AI15/AI$84</f>
        <v>5.43920402404862E-005</v>
      </c>
      <c r="AJ155" s="91" t="n">
        <f aca="false">AJ15/AJ$84</f>
        <v>0.00122056823911759</v>
      </c>
      <c r="AK155" s="91" t="n">
        <f aca="false">AK15/AK$84</f>
        <v>0.000863284729229421</v>
      </c>
    </row>
    <row r="156" customFormat="false" ht="12.75" hidden="false" customHeight="false" outlineLevel="0" collapsed="false">
      <c r="B156" s="89" t="s">
        <v>127</v>
      </c>
      <c r="C156" s="89" t="s">
        <v>128</v>
      </c>
      <c r="D156" s="91" t="n">
        <f aca="false">D16/D$84</f>
        <v>0.000331392568417762</v>
      </c>
      <c r="E156" s="91" t="n">
        <f aca="false">E16/E$84</f>
        <v>0.00333202497101989</v>
      </c>
      <c r="F156" s="91" t="n">
        <f aca="false">F16/F$84</f>
        <v>0.000135852965496448</v>
      </c>
      <c r="G156" s="91" t="n">
        <f aca="false">G16/G$84</f>
        <v>0.00050308763037505</v>
      </c>
      <c r="H156" s="91" t="n">
        <f aca="false">H16/H$84</f>
        <v>0.00050115326710418</v>
      </c>
      <c r="I156" s="91" t="n">
        <f aca="false">I16/I$84</f>
        <v>0.00126361712530431</v>
      </c>
      <c r="J156" s="91" t="n">
        <f aca="false">J16/J$84</f>
        <v>0.0019496894025397</v>
      </c>
      <c r="K156" s="91" t="n">
        <f aca="false">K16/K$84</f>
        <v>0.00242874864373135</v>
      </c>
      <c r="L156" s="91" t="n">
        <f aca="false">L16/L$84</f>
        <v>0.00242717115078919</v>
      </c>
      <c r="M156" s="91" t="n">
        <f aca="false">M16/M$84</f>
        <v>0.000270155035173867</v>
      </c>
      <c r="N156" s="91" t="n">
        <f aca="false">N16/N$84</f>
        <v>0.000267928376484811</v>
      </c>
      <c r="O156" s="91" t="n">
        <f aca="false">O16/O$84</f>
        <v>0.00041164998996205</v>
      </c>
      <c r="P156" s="91" t="n">
        <f aca="false">P16/P$84</f>
        <v>0.00163108886456832</v>
      </c>
      <c r="Q156" s="91" t="n">
        <f aca="false">Q16/Q$84</f>
        <v>0.00161712263028533</v>
      </c>
      <c r="R156" s="91" t="n">
        <f aca="false">R16/R$84</f>
        <v>0.0016138113205194</v>
      </c>
      <c r="S156" s="91" t="n">
        <f aca="false">S16/S$84</f>
        <v>0.000321095206967084</v>
      </c>
      <c r="T156" s="91" t="n">
        <f aca="false">T16/T$84</f>
        <v>0.00234638955806273</v>
      </c>
      <c r="U156" s="91" t="n">
        <f aca="false">U16/U$84</f>
        <v>0.00200858138129601</v>
      </c>
      <c r="V156" s="91" t="n">
        <f aca="false">V16/V$84</f>
        <v>0.0022847867613708</v>
      </c>
      <c r="W156" s="91" t="n">
        <f aca="false">W16/W$84</f>
        <v>0.00132632911122337</v>
      </c>
      <c r="X156" s="91" t="n">
        <f aca="false">X16/X$84</f>
        <v>0.00201204153649368</v>
      </c>
      <c r="Y156" s="91" t="n">
        <f aca="false">Y16/Y$84</f>
        <v>2.38671377105269E-005</v>
      </c>
      <c r="Z156" s="91" t="n">
        <f aca="false">Z16/Z$84</f>
        <v>0.00441634136149087</v>
      </c>
      <c r="AA156" s="91" t="n">
        <f aca="false">AA16/AA$84</f>
        <v>0.00513437894604789</v>
      </c>
      <c r="AB156" s="91" t="n">
        <f aca="false">AB16/AB$84</f>
        <v>0.004940958891512</v>
      </c>
      <c r="AC156" s="91" t="n">
        <f aca="false">AC16/AC$84</f>
        <v>0.00420841395804633</v>
      </c>
      <c r="AD156" s="91" t="n">
        <f aca="false">AD16/AD$84</f>
        <v>0.00195443549099433</v>
      </c>
      <c r="AE156" s="91" t="n">
        <f aca="false">AE16/AE$84</f>
        <v>1.35002494231605E-005</v>
      </c>
      <c r="AF156" s="91" t="n">
        <f aca="false">AF16/AF$84</f>
        <v>0.00063004201697566</v>
      </c>
      <c r="AG156" s="91" t="n">
        <f aca="false">AG16/AG$84</f>
        <v>0.000645071932255396</v>
      </c>
      <c r="AH156" s="91" t="n">
        <f aca="false">AH16/AH$84</f>
        <v>0.000537780120080214</v>
      </c>
      <c r="AI156" s="91" t="n">
        <f aca="false">AI16/AI$84</f>
        <v>2.48787920235794E-005</v>
      </c>
      <c r="AJ156" s="91" t="n">
        <f aca="false">AJ16/AJ$84</f>
        <v>0.000558285058573523</v>
      </c>
      <c r="AK156" s="91" t="n">
        <f aca="false">AK16/AK$84</f>
        <v>0.000394864416570357</v>
      </c>
    </row>
    <row r="157" customFormat="false" ht="12.75" hidden="false" customHeight="false" outlineLevel="0" collapsed="false">
      <c r="B157" s="89" t="s">
        <v>129</v>
      </c>
      <c r="C157" s="89" t="s">
        <v>130</v>
      </c>
      <c r="D157" s="91" t="n">
        <f aca="false">D17/D$84</f>
        <v>3.3066617842572E-005</v>
      </c>
      <c r="E157" s="91" t="n">
        <f aca="false">E17/E$84</f>
        <v>9.08838462837416E-005</v>
      </c>
      <c r="F157" s="91" t="n">
        <f aca="false">F17/F$84</f>
        <v>0.00122771828097617</v>
      </c>
      <c r="G157" s="91" t="n">
        <f aca="false">G17/G$84</f>
        <v>0.000281064229301676</v>
      </c>
      <c r="H157" s="91" t="n">
        <f aca="false">H17/H$84</f>
        <v>0.000279983542182592</v>
      </c>
      <c r="I157" s="91" t="n">
        <f aca="false">I17/I$84</f>
        <v>4.11233002280974E-005</v>
      </c>
      <c r="J157" s="91" t="n">
        <f aca="false">J17/J$84</f>
        <v>8.79024779433252E-005</v>
      </c>
      <c r="K157" s="91" t="n">
        <f aca="false">K17/K$84</f>
        <v>0.000190463154069526</v>
      </c>
      <c r="L157" s="91" t="n">
        <f aca="false">L17/L$84</f>
        <v>0.000190339446627811</v>
      </c>
      <c r="M157" s="91" t="n">
        <f aca="false">M17/M$84</f>
        <v>0.0275676336793024</v>
      </c>
      <c r="N157" s="91" t="n">
        <f aca="false">N17/N$84</f>
        <v>0.0273404170700349</v>
      </c>
      <c r="O157" s="91" t="n">
        <f aca="false">O17/O$84</f>
        <v>2.50617181773776E-005</v>
      </c>
      <c r="P157" s="91" t="n">
        <f aca="false">P17/P$84</f>
        <v>0.0019633693804381</v>
      </c>
      <c r="Q157" s="91" t="n">
        <f aca="false">Q17/Q$84</f>
        <v>0.0019465579869286</v>
      </c>
      <c r="R157" s="91" t="n">
        <f aca="false">R17/R$84</f>
        <v>0.00194257210710022</v>
      </c>
      <c r="S157" s="91" t="n">
        <f aca="false">S17/S$84</f>
        <v>0.000370620028695308</v>
      </c>
      <c r="T157" s="91" t="n">
        <f aca="false">T17/T$84</f>
        <v>0.00217686709344285</v>
      </c>
      <c r="U157" s="91" t="n">
        <f aca="false">U17/U$84</f>
        <v>0.0143083492811428</v>
      </c>
      <c r="V157" s="91" t="n">
        <f aca="false">V17/V$84</f>
        <v>5.40168607302585E-006</v>
      </c>
      <c r="W157" s="91" t="n">
        <f aca="false">W17/W$84</f>
        <v>0.00312021602615166</v>
      </c>
      <c r="X157" s="91" t="n">
        <f aca="false">X17/X$84</f>
        <v>0.00264165680491581</v>
      </c>
      <c r="Y157" s="91" t="n">
        <f aca="false">Y17/Y$84</f>
        <v>0.0013850139106023</v>
      </c>
      <c r="Z157" s="91" t="n">
        <f aca="false">Z17/Z$84</f>
        <v>0.00227332510956902</v>
      </c>
      <c r="AA157" s="91" t="n">
        <f aca="false">AA17/AA$84</f>
        <v>0.00234780260799115</v>
      </c>
      <c r="AB157" s="91" t="n">
        <f aca="false">AB17/AB$84</f>
        <v>0.00225935722574551</v>
      </c>
      <c r="AC157" s="91" t="n">
        <f aca="false">AC17/AC$84</f>
        <v>0.0022610363220873</v>
      </c>
      <c r="AD157" s="91" t="n">
        <f aca="false">AD17/AD$84</f>
        <v>0.00134748244822877</v>
      </c>
      <c r="AE157" s="91" t="n">
        <f aca="false">AE17/AE$84</f>
        <v>7.6991498700354E-007</v>
      </c>
      <c r="AF157" s="91" t="n">
        <f aca="false">AF17/AF$84</f>
        <v>0.00240316198252774</v>
      </c>
      <c r="AG157" s="91" t="n">
        <f aca="false">AG17/AG$84</f>
        <v>0.00246049041464448</v>
      </c>
      <c r="AH157" s="91" t="n">
        <f aca="false">AH17/AH$84</f>
        <v>6.82711232587669E-005</v>
      </c>
      <c r="AI157" s="91" t="n">
        <f aca="false">AI17/AI$84</f>
        <v>9.36427601927116E-005</v>
      </c>
      <c r="AJ157" s="91" t="n">
        <f aca="false">AJ17/AJ$84</f>
        <v>2.32651741421575E-005</v>
      </c>
      <c r="AK157" s="91" t="n">
        <f aca="false">AK17/AK$84</f>
        <v>0.000436447923941994</v>
      </c>
    </row>
    <row r="158" customFormat="false" ht="12.75" hidden="false" customHeight="false" outlineLevel="0" collapsed="false">
      <c r="B158" s="89" t="s">
        <v>131</v>
      </c>
      <c r="C158" s="89" t="s">
        <v>132</v>
      </c>
      <c r="D158" s="91" t="n">
        <f aca="false">D18/D$84</f>
        <v>0.000125956838447965</v>
      </c>
      <c r="E158" s="91" t="n">
        <f aca="false">E18/E$84</f>
        <v>0.000346193311889096</v>
      </c>
      <c r="F158" s="91" t="n">
        <f aca="false">F18/F$84</f>
        <v>0.00467660508591349</v>
      </c>
      <c r="G158" s="91" t="n">
        <f aca="false">G18/G$84</f>
        <v>0.00107062542326523</v>
      </c>
      <c r="H158" s="91" t="n">
        <f aca="false">H18/H$84</f>
        <v>0.00106650888695906</v>
      </c>
      <c r="I158" s="91" t="n">
        <f aca="false">I18/I$84</f>
        <v>0.000156646225747616</v>
      </c>
      <c r="J158" s="91" t="n">
        <f aca="false">J18/J$84</f>
        <v>0.00033483673069305</v>
      </c>
      <c r="K158" s="91" t="n">
        <f aca="false">K18/K$84</f>
        <v>0.000725509238399915</v>
      </c>
      <c r="L158" s="91" t="n">
        <f aca="false">L18/L$84</f>
        <v>0.000725038013966707</v>
      </c>
      <c r="M158" s="91" t="n">
        <f aca="false">M18/M$84</f>
        <v>0.087473153242266</v>
      </c>
      <c r="N158" s="91" t="n">
        <f aca="false">N18/N$84</f>
        <v>0.0954484355879121</v>
      </c>
      <c r="O158" s="91" t="n">
        <f aca="false">O18/O$84</f>
        <v>9.54647010687695E-005</v>
      </c>
      <c r="P158" s="91" t="n">
        <f aca="false">P18/P$84</f>
        <v>0.00747883563547086</v>
      </c>
      <c r="Q158" s="91" t="n">
        <f aca="false">Q18/Q$84</f>
        <v>0.00741479794082544</v>
      </c>
      <c r="R158" s="91" t="n">
        <f aca="false">R18/R$84</f>
        <v>0.00739961499033415</v>
      </c>
      <c r="S158" s="91" t="n">
        <f aca="false">S18/S$84</f>
        <v>0.00141175995991505</v>
      </c>
      <c r="T158" s="91" t="n">
        <f aca="false">T18/T$84</f>
        <v>0.00829208775197031</v>
      </c>
      <c r="U158" s="91" t="n">
        <f aca="false">U18/U$84</f>
        <v>0.0489872346782407</v>
      </c>
      <c r="V158" s="91" t="n">
        <f aca="false">V18/V$84</f>
        <v>2.05760172777871E-005</v>
      </c>
      <c r="W158" s="91" t="n">
        <f aca="false">W18/W$84</f>
        <v>0.011885477607654</v>
      </c>
      <c r="X158" s="91" t="n">
        <f aca="false">X18/X$84</f>
        <v>0.0100625573802521</v>
      </c>
      <c r="Y158" s="91" t="n">
        <f aca="false">Y18/Y$84</f>
        <v>0.00527577311403526</v>
      </c>
      <c r="Z158" s="91" t="n">
        <f aca="false">Z18/Z$84</f>
        <v>0.00865951410358753</v>
      </c>
      <c r="AA158" s="91" t="n">
        <f aca="false">AA18/AA$84</f>
        <v>0.00894321261431591</v>
      </c>
      <c r="AB158" s="91" t="n">
        <f aca="false">AB18/AB$84</f>
        <v>0.00860630786112889</v>
      </c>
      <c r="AC158" s="91" t="n">
        <f aca="false">AC18/AC$84</f>
        <v>0.0086127038483952</v>
      </c>
      <c r="AD158" s="91" t="n">
        <f aca="false">AD18/AD$84</f>
        <v>0.00513280886031552</v>
      </c>
      <c r="AE158" s="91" t="n">
        <f aca="false">AE18/AE$84</f>
        <v>2.93274800883384E-006</v>
      </c>
      <c r="AF158" s="91" t="n">
        <f aca="false">AF18/AF$84</f>
        <v>0.00915408666948191</v>
      </c>
      <c r="AG158" s="91" t="n">
        <f aca="false">AG18/AG$84</f>
        <v>0.00937246122768378</v>
      </c>
      <c r="AH158" s="91" t="n">
        <f aca="false">AH18/AH$84</f>
        <v>0.000260057284476628</v>
      </c>
      <c r="AI158" s="91" t="n">
        <f aca="false">AI18/AI$84</f>
        <v>0.000356702523178207</v>
      </c>
      <c r="AJ158" s="91" t="n">
        <f aca="false">AJ18/AJ$84</f>
        <v>8.86213339035459E-005</v>
      </c>
      <c r="AK158" s="91" t="n">
        <f aca="false">AK18/AK$84</f>
        <v>0.0016625105388352</v>
      </c>
    </row>
    <row r="159" customFormat="false" ht="12.75" hidden="false" customHeight="false" outlineLevel="0" collapsed="false">
      <c r="B159" s="89" t="s">
        <v>133</v>
      </c>
      <c r="C159" s="89" t="s">
        <v>134</v>
      </c>
      <c r="D159" s="91" t="n">
        <f aca="false">D19/D$84</f>
        <v>0.00176514933846636</v>
      </c>
      <c r="E159" s="91" t="n">
        <f aca="false">E19/E$84</f>
        <v>0.00596442175193419</v>
      </c>
      <c r="F159" s="91" t="n">
        <f aca="false">F19/F$84</f>
        <v>0.00159286629231639</v>
      </c>
      <c r="G159" s="91" t="n">
        <f aca="false">G19/G$84</f>
        <v>0.00575856911762493</v>
      </c>
      <c r="H159" s="91" t="n">
        <f aca="false">H19/H$84</f>
        <v>0.00573642751858464</v>
      </c>
      <c r="I159" s="91" t="n">
        <f aca="false">I19/I$84</f>
        <v>0.00257496026935722</v>
      </c>
      <c r="J159" s="91" t="n">
        <f aca="false">J19/J$84</f>
        <v>0.0054506157472972</v>
      </c>
      <c r="K159" s="91" t="n">
        <f aca="false">K19/K$84</f>
        <v>0.00366881539234693</v>
      </c>
      <c r="L159" s="91" t="n">
        <f aca="false">L19/L$84</f>
        <v>0.00366643246548356</v>
      </c>
      <c r="M159" s="91" t="n">
        <f aca="false">M19/M$84</f>
        <v>0.0152091133711838</v>
      </c>
      <c r="N159" s="91" t="n">
        <f aca="false">N19/N$84</f>
        <v>0.0150837575568124</v>
      </c>
      <c r="O159" s="91" t="n">
        <f aca="false">O19/O$84</f>
        <v>0.393812497079691</v>
      </c>
      <c r="P159" s="91" t="n">
        <f aca="false">P19/P$84</f>
        <v>0.0409228802627204</v>
      </c>
      <c r="Q159" s="91" t="n">
        <f aca="false">Q19/Q$84</f>
        <v>0.040572477200264</v>
      </c>
      <c r="R159" s="91" t="n">
        <f aca="false">R19/R$84</f>
        <v>0.0404893987512548</v>
      </c>
      <c r="S159" s="91" t="n">
        <f aca="false">S19/S$84</f>
        <v>0.0192072028253208</v>
      </c>
      <c r="T159" s="91" t="n">
        <f aca="false">T19/T$84</f>
        <v>0.00981532645483484</v>
      </c>
      <c r="U159" s="91" t="n">
        <f aca="false">U19/U$84</f>
        <v>0.0201586367593869</v>
      </c>
      <c r="V159" s="91" t="n">
        <f aca="false">V19/V$84</f>
        <v>0.00155948191236441</v>
      </c>
      <c r="W159" s="91" t="n">
        <f aca="false">W19/W$84</f>
        <v>0.00124033279285751</v>
      </c>
      <c r="X159" s="91" t="n">
        <f aca="false">X19/X$84</f>
        <v>0.000641477433428341</v>
      </c>
      <c r="Y159" s="91" t="n">
        <f aca="false">Y19/Y$84</f>
        <v>0.000538524816437408</v>
      </c>
      <c r="Z159" s="91" t="n">
        <f aca="false">Z19/Z$84</f>
        <v>0.000588175361854105</v>
      </c>
      <c r="AA159" s="91" t="n">
        <f aca="false">AA19/AA$84</f>
        <v>0.000607444858064757</v>
      </c>
      <c r="AB159" s="91" t="n">
        <f aca="false">AB19/AB$84</f>
        <v>0.000584561463829733</v>
      </c>
      <c r="AC159" s="91" t="n">
        <f aca="false">AC19/AC$84</f>
        <v>0.000584995894916717</v>
      </c>
      <c r="AD159" s="91" t="n">
        <f aca="false">AD19/AD$84</f>
        <v>0.00132768775007721</v>
      </c>
      <c r="AE159" s="91" t="n">
        <f aca="false">AE19/AE$84</f>
        <v>6.04065853842773E-006</v>
      </c>
      <c r="AF159" s="91" t="n">
        <f aca="false">AF19/AF$84</f>
        <v>0.000697056028250375</v>
      </c>
      <c r="AG159" s="91" t="n">
        <f aca="false">AG19/AG$84</f>
        <v>0.000713684590739156</v>
      </c>
      <c r="AH159" s="91" t="n">
        <f aca="false">AH19/AH$84</f>
        <v>3.54764052885676E-005</v>
      </c>
      <c r="AI159" s="91" t="n">
        <f aca="false">AI19/AI$84</f>
        <v>0.000240727865039711</v>
      </c>
      <c r="AJ159" s="91" t="n">
        <f aca="false">AJ19/AJ$84</f>
        <v>0.000152544949367744</v>
      </c>
      <c r="AK159" s="91" t="n">
        <f aca="false">AK19/AK$84</f>
        <v>0.00256937226776387</v>
      </c>
    </row>
    <row r="160" customFormat="false" ht="12.75" hidden="false" customHeight="false" outlineLevel="0" collapsed="false">
      <c r="B160" s="89" t="s">
        <v>135</v>
      </c>
      <c r="C160" s="89" t="s">
        <v>136</v>
      </c>
      <c r="D160" s="91" t="n">
        <f aca="false">D20/D$84</f>
        <v>0.000938282450783394</v>
      </c>
      <c r="E160" s="91" t="n">
        <f aca="false">E20/E$84</f>
        <v>0.000833921608937618</v>
      </c>
      <c r="F160" s="91" t="n">
        <f aca="false">F20/F$84</f>
        <v>0.00022240688783045</v>
      </c>
      <c r="G160" s="91" t="n">
        <f aca="false">G20/G$84</f>
        <v>0.000144381557848277</v>
      </c>
      <c r="H160" s="91" t="n">
        <f aca="false">H20/H$84</f>
        <v>0.000143826413245967</v>
      </c>
      <c r="I160" s="91" t="n">
        <f aca="false">I20/I$84</f>
        <v>0.000302132659795196</v>
      </c>
      <c r="J160" s="91" t="n">
        <f aca="false">J20/J$84</f>
        <v>0.000706323630828035</v>
      </c>
      <c r="K160" s="91" t="n">
        <f aca="false">K20/K$84</f>
        <v>0.000398618043986094</v>
      </c>
      <c r="L160" s="91" t="n">
        <f aca="false">L20/L$84</f>
        <v>0.000398359138169457</v>
      </c>
      <c r="M160" s="91" t="n">
        <f aca="false">M20/M$84</f>
        <v>0.000968342992028655</v>
      </c>
      <c r="N160" s="91" t="n">
        <f aca="false">N20/N$84</f>
        <v>0.000960361762525386</v>
      </c>
      <c r="O160" s="91" t="n">
        <f aca="false">O20/O$84</f>
        <v>0.000346844511492103</v>
      </c>
      <c r="P160" s="91" t="n">
        <f aca="false">P20/P$84</f>
        <v>0.00501461342214201</v>
      </c>
      <c r="Q160" s="91" t="n">
        <f aca="false">Q20/Q$84</f>
        <v>0.00497167568440524</v>
      </c>
      <c r="R160" s="91" t="n">
        <f aca="false">R20/R$84</f>
        <v>0.00496149540621329</v>
      </c>
      <c r="S160" s="91" t="n">
        <f aca="false">S20/S$84</f>
        <v>0.000718189376772134</v>
      </c>
      <c r="T160" s="91" t="n">
        <f aca="false">T20/T$84</f>
        <v>0.00314850561975469</v>
      </c>
      <c r="U160" s="91" t="n">
        <f aca="false">U20/U$84</f>
        <v>0.00179316868360414</v>
      </c>
      <c r="V160" s="91" t="n">
        <f aca="false">V20/V$84</f>
        <v>0.00030472675322636</v>
      </c>
      <c r="W160" s="91" t="n">
        <f aca="false">W20/W$84</f>
        <v>0.000850447564148656</v>
      </c>
      <c r="X160" s="91" t="n">
        <f aca="false">X20/X$84</f>
        <v>0.000863724498744489</v>
      </c>
      <c r="Y160" s="91" t="n">
        <f aca="false">Y20/Y$84</f>
        <v>0.00108276524213447</v>
      </c>
      <c r="Z160" s="91" t="n">
        <f aca="false">Z20/Z$84</f>
        <v>0.00244635523952414</v>
      </c>
      <c r="AA160" s="91" t="n">
        <f aca="false">AA20/AA$84</f>
        <v>0.00283553998870787</v>
      </c>
      <c r="AB160" s="91" t="n">
        <f aca="false">AB20/AB$84</f>
        <v>0.0027287207794096</v>
      </c>
      <c r="AC160" s="91" t="n">
        <f aca="false">AC20/AC$84</f>
        <v>0.00233392525198326</v>
      </c>
      <c r="AD160" s="91" t="n">
        <f aca="false">AD20/AD$84</f>
        <v>0.00432793982827949</v>
      </c>
      <c r="AE160" s="91" t="n">
        <f aca="false">AE20/AE$84</f>
        <v>1.76175715422504E-005</v>
      </c>
      <c r="AF160" s="91" t="n">
        <f aca="false">AF20/AF$84</f>
        <v>0.000711395503851225</v>
      </c>
      <c r="AG160" s="91" t="n">
        <f aca="false">AG20/AG$84</f>
        <v>0.000728366140515416</v>
      </c>
      <c r="AH160" s="91" t="n">
        <f aca="false">AH20/AH$84</f>
        <v>0.000547486755053493</v>
      </c>
      <c r="AI160" s="91" t="n">
        <f aca="false">AI20/AI$84</f>
        <v>0.000319359646348287</v>
      </c>
      <c r="AJ160" s="91" t="n">
        <f aca="false">AJ20/AJ$84</f>
        <v>0.000326066303669791</v>
      </c>
      <c r="AK160" s="91" t="n">
        <f aca="false">AK20/AK$84</f>
        <v>0.00177622274492993</v>
      </c>
    </row>
    <row r="161" customFormat="false" ht="12.75" hidden="false" customHeight="false" outlineLevel="0" collapsed="false">
      <c r="B161" s="89" t="s">
        <v>137</v>
      </c>
      <c r="C161" s="89" t="s">
        <v>138</v>
      </c>
      <c r="D161" s="91" t="n">
        <f aca="false">D21/D$84</f>
        <v>0.000212030735317942</v>
      </c>
      <c r="E161" s="91" t="n">
        <f aca="false">E21/E$84</f>
        <v>0.000188447531756495</v>
      </c>
      <c r="F161" s="91" t="n">
        <f aca="false">F21/F$84</f>
        <v>5.02589555278296E-005</v>
      </c>
      <c r="G161" s="91" t="n">
        <f aca="false">G21/G$84</f>
        <v>3.2626985457695E-005</v>
      </c>
      <c r="H161" s="91" t="n">
        <f aca="false">H21/H$84</f>
        <v>3.25015352607552E-005</v>
      </c>
      <c r="I161" s="91" t="n">
        <f aca="false">I21/I$84</f>
        <v>6.82751872492715E-005</v>
      </c>
      <c r="J161" s="91" t="n">
        <f aca="false">J21/J$84</f>
        <v>0.000159613257918089</v>
      </c>
      <c r="K161" s="91" t="n">
        <f aca="false">K21/K$84</f>
        <v>9.0078714471111E-005</v>
      </c>
      <c r="L161" s="91" t="n">
        <f aca="false">L21/L$84</f>
        <v>9.00202075784017E-005</v>
      </c>
      <c r="M161" s="91" t="n">
        <f aca="false">M21/M$84</f>
        <v>0.000218823741687151</v>
      </c>
      <c r="N161" s="91" t="n">
        <f aca="false">N21/N$84</f>
        <v>0.000217020163288232</v>
      </c>
      <c r="O161" s="91" t="n">
        <f aca="false">O21/O$84</f>
        <v>7.8379060325877E-005</v>
      </c>
      <c r="P161" s="91" t="n">
        <f aca="false">P21/P$84</f>
        <v>0.00113318987299002</v>
      </c>
      <c r="Q161" s="91" t="n">
        <f aca="false">Q21/Q$84</f>
        <v>0.00112348690977504</v>
      </c>
      <c r="R161" s="91" t="n">
        <f aca="false">R21/R$84</f>
        <v>0.00112118639582108</v>
      </c>
      <c r="S161" s="91" t="n">
        <f aca="false">S21/S$84</f>
        <v>0.000162294649683996</v>
      </c>
      <c r="T161" s="91" t="n">
        <f aca="false">T21/T$84</f>
        <v>0.000778340728881565</v>
      </c>
      <c r="U161" s="91" t="n">
        <f aca="false">U21/U$84</f>
        <v>0.000405215800653901</v>
      </c>
      <c r="V161" s="91" t="n">
        <f aca="false">V21/V$84</f>
        <v>6.88613940329898E-005</v>
      </c>
      <c r="W161" s="91" t="n">
        <f aca="false">W21/W$84</f>
        <v>0.000192182026025573</v>
      </c>
      <c r="X161" s="91" t="n">
        <f aca="false">X21/X$84</f>
        <v>0.000195182314694271</v>
      </c>
      <c r="Y161" s="91" t="n">
        <f aca="false">Y21/Y$84</f>
        <v>0.000244680597270899</v>
      </c>
      <c r="Z161" s="91" t="n">
        <f aca="false">Z21/Z$84</f>
        <v>0.000620441687624494</v>
      </c>
      <c r="AA161" s="91" t="n">
        <f aca="false">AA21/AA$84</f>
        <v>0.00064076827646855</v>
      </c>
      <c r="AB161" s="91" t="n">
        <f aca="false">AB21/AB$84</f>
        <v>0.000616629537142574</v>
      </c>
      <c r="AC161" s="91" t="n">
        <f aca="false">AC21/AC$84</f>
        <v>0.000617087800399162</v>
      </c>
      <c r="AD161" s="91" t="n">
        <f aca="false">AD21/AD$84</f>
        <v>0.00104252657930974</v>
      </c>
      <c r="AE161" s="91" t="n">
        <f aca="false">AE21/AE$84</f>
        <v>3.98117501345251E-006</v>
      </c>
      <c r="AF161" s="91" t="n">
        <f aca="false">AF21/AF$84</f>
        <v>0.000160759387173357</v>
      </c>
      <c r="AG161" s="91" t="n">
        <f aca="false">AG21/AG$84</f>
        <v>0.000164594369451581</v>
      </c>
      <c r="AH161" s="91" t="n">
        <f aca="false">AH21/AH$84</f>
        <v>0.000123719695656575</v>
      </c>
      <c r="AI161" s="91" t="n">
        <f aca="false">AI21/AI$84</f>
        <v>7.21680988380093E-005</v>
      </c>
      <c r="AJ161" s="91" t="n">
        <f aca="false">AJ21/AJ$84</f>
        <v>7.3683652584344E-005</v>
      </c>
      <c r="AK161" s="91" t="n">
        <f aca="false">AK21/AK$84</f>
        <v>0.000401386399566041</v>
      </c>
    </row>
    <row r="162" customFormat="false" ht="12.75" hidden="false" customHeight="false" outlineLevel="0" collapsed="false">
      <c r="B162" s="89" t="s">
        <v>139</v>
      </c>
      <c r="C162" s="89" t="s">
        <v>140</v>
      </c>
      <c r="D162" s="91" t="n">
        <f aca="false">D22/D$84</f>
        <v>0.000543814062032261</v>
      </c>
      <c r="E162" s="91" t="n">
        <f aca="false">E22/E$84</f>
        <v>0.000483328124909736</v>
      </c>
      <c r="F162" s="91" t="n">
        <f aca="false">F22/F$84</f>
        <v>0.000128903607857153</v>
      </c>
      <c r="G162" s="91" t="n">
        <f aca="false">G22/G$84</f>
        <v>8.36813279311178E-005</v>
      </c>
      <c r="H162" s="91" t="n">
        <f aca="false">H22/H$84</f>
        <v>8.3359574667006E-005</v>
      </c>
      <c r="I162" s="91" t="n">
        <f aca="false">I22/I$84</f>
        <v>0.000175111437775114</v>
      </c>
      <c r="J162" s="91" t="n">
        <f aca="false">J22/J$84</f>
        <v>0.000409374301383628</v>
      </c>
      <c r="K162" s="91" t="n">
        <f aca="false">K22/K$84</f>
        <v>0.000231032880896838</v>
      </c>
      <c r="L162" s="91" t="n">
        <f aca="false">L22/L$84</f>
        <v>0.000230882823071807</v>
      </c>
      <c r="M162" s="91" t="n">
        <f aca="false">M22/M$84</f>
        <v>0.000561236688905253</v>
      </c>
      <c r="N162" s="91" t="n">
        <f aca="false">N22/N$84</f>
        <v>0.000556610891169654</v>
      </c>
      <c r="O162" s="91" t="n">
        <f aca="false">O22/O$84</f>
        <v>0.000201025738604225</v>
      </c>
      <c r="P162" s="91" t="n">
        <f aca="false">P22/P$84</f>
        <v>0.00290639273103713</v>
      </c>
      <c r="Q162" s="91" t="n">
        <f aca="false">Q22/Q$84</f>
        <v>0.00288150667934385</v>
      </c>
      <c r="R162" s="91" t="n">
        <f aca="false">R22/R$84</f>
        <v>0.00287560634684633</v>
      </c>
      <c r="S162" s="91" t="n">
        <f aca="false">S22/S$84</f>
        <v>0.000416251505039647</v>
      </c>
      <c r="T162" s="91" t="n">
        <f aca="false">T22/T$84</f>
        <v>0.00199627960910255</v>
      </c>
      <c r="U162" s="91" t="n">
        <f aca="false">U22/U$84</f>
        <v>0.0010392929601589</v>
      </c>
      <c r="V162" s="91" t="n">
        <f aca="false">V22/V$84</f>
        <v>0.000176614934387369</v>
      </c>
      <c r="W162" s="91" t="n">
        <f aca="false">W22/W$84</f>
        <v>0.000492906314105077</v>
      </c>
      <c r="X162" s="91" t="n">
        <f aca="false">X22/X$84</f>
        <v>0.00050060142097601</v>
      </c>
      <c r="Y162" s="91" t="n">
        <f aca="false">Y22/Y$84</f>
        <v>0.000627554063342942</v>
      </c>
      <c r="Z162" s="91" t="n">
        <f aca="false">Z22/Z$84</f>
        <v>0.00159130191146715</v>
      </c>
      <c r="AA162" s="91" t="n">
        <f aca="false">AA22/AA$84</f>
        <v>0.00164343531953164</v>
      </c>
      <c r="AB162" s="91" t="n">
        <f aca="false">AB22/AB$84</f>
        <v>0.00158152455048436</v>
      </c>
      <c r="AC162" s="91" t="n">
        <f aca="false">AC22/AC$84</f>
        <v>0.00158269989896706</v>
      </c>
      <c r="AD162" s="91" t="n">
        <f aca="false">AD22/AD$84</f>
        <v>0.0023933641376769</v>
      </c>
      <c r="AE162" s="91" t="n">
        <f aca="false">AE22/AE$84</f>
        <v>1.02108732136427E-005</v>
      </c>
      <c r="AF162" s="91" t="n">
        <f aca="false">AF22/AF$84</f>
        <v>0.000412313880897823</v>
      </c>
      <c r="AG162" s="91" t="n">
        <f aca="false">AG22/AG$84</f>
        <v>0.0004221498006168</v>
      </c>
      <c r="AH162" s="91" t="n">
        <f aca="false">AH22/AH$84</f>
        <v>0.000317314893746461</v>
      </c>
      <c r="AI162" s="91" t="n">
        <f aca="false">AI22/AI$84</f>
        <v>0.000185095933942754</v>
      </c>
      <c r="AJ162" s="91" t="n">
        <f aca="false">AJ22/AJ$84</f>
        <v>0.000188983009265992</v>
      </c>
      <c r="AK162" s="91" t="n">
        <f aca="false">AK22/AK$84</f>
        <v>0.00102947135501464</v>
      </c>
    </row>
    <row r="163" customFormat="false" ht="12.75" hidden="false" customHeight="false" outlineLevel="0" collapsed="false">
      <c r="B163" s="89" t="s">
        <v>141</v>
      </c>
      <c r="C163" s="89" t="s">
        <v>142</v>
      </c>
      <c r="D163" s="91" t="n">
        <f aca="false">D23/D$84</f>
        <v>5.60231002383695E-007</v>
      </c>
      <c r="E163" s="91" t="n">
        <f aca="false">E23/E$84</f>
        <v>5.55020350083392E-005</v>
      </c>
      <c r="F163" s="91" t="n">
        <f aca="false">F23/F$84</f>
        <v>0.000477536926760559</v>
      </c>
      <c r="G163" s="91" t="n">
        <f aca="false">G23/G$84</f>
        <v>0.0237106418182441</v>
      </c>
      <c r="H163" s="91" t="n">
        <f aca="false">H23/H$84</f>
        <v>0.0254606432081652</v>
      </c>
      <c r="I163" s="91" t="n">
        <f aca="false">I23/I$84</f>
        <v>0</v>
      </c>
      <c r="J163" s="91" t="n">
        <f aca="false">J23/J$84</f>
        <v>0.00101982288331787</v>
      </c>
      <c r="K163" s="91" t="n">
        <f aca="false">K23/K$84</f>
        <v>0</v>
      </c>
      <c r="L163" s="91" t="n">
        <f aca="false">L23/L$84</f>
        <v>0</v>
      </c>
      <c r="M163" s="91" t="n">
        <f aca="false">M23/M$84</f>
        <v>0.000766353732727859</v>
      </c>
      <c r="N163" s="91" t="n">
        <f aca="false">N23/N$84</f>
        <v>0.000760037329271708</v>
      </c>
      <c r="O163" s="91" t="n">
        <f aca="false">O23/O$84</f>
        <v>5.97395986239383E-005</v>
      </c>
      <c r="P163" s="91" t="n">
        <f aca="false">P23/P$84</f>
        <v>0.000620967394921221</v>
      </c>
      <c r="Q163" s="91" t="n">
        <f aca="false">Q23/Q$84</f>
        <v>0.000615650347942387</v>
      </c>
      <c r="R163" s="91" t="n">
        <f aca="false">R23/R$84</f>
        <v>0.000614389708228758</v>
      </c>
      <c r="S163" s="91" t="n">
        <f aca="false">S23/S$84</f>
        <v>0.0251149410957202</v>
      </c>
      <c r="T163" s="91" t="n">
        <f aca="false">T23/T$84</f>
        <v>0.000102243410583084</v>
      </c>
      <c r="U163" s="91" t="n">
        <f aca="false">U23/U$84</f>
        <v>0.00143828274582169</v>
      </c>
      <c r="V163" s="91" t="n">
        <f aca="false">V23/V$84</f>
        <v>0.000331112263125884</v>
      </c>
      <c r="W163" s="91" t="n">
        <f aca="false">W23/W$84</f>
        <v>0.000690291975175587</v>
      </c>
      <c r="X163" s="91" t="n">
        <f aca="false">X23/X$84</f>
        <v>0.000252604990166021</v>
      </c>
      <c r="Y163" s="91" t="n">
        <f aca="false">Y23/Y$84</f>
        <v>0.00137289810558489</v>
      </c>
      <c r="Z163" s="91" t="n">
        <f aca="false">Z23/Z$84</f>
        <v>0.000634049628862277</v>
      </c>
      <c r="AA163" s="91" t="n">
        <f aca="false">AA23/AA$84</f>
        <v>0.000654822034020857</v>
      </c>
      <c r="AB163" s="91" t="n">
        <f aca="false">AB23/AB$84</f>
        <v>0.000630153867751379</v>
      </c>
      <c r="AC163" s="91" t="n">
        <f aca="false">AC23/AC$84</f>
        <v>0.000630622181943597</v>
      </c>
      <c r="AD163" s="91" t="n">
        <f aca="false">AD23/AD$84</f>
        <v>0.00059301012422909</v>
      </c>
      <c r="AE163" s="91" t="n">
        <f aca="false">AE23/AE$84</f>
        <v>8.35730759061434E-006</v>
      </c>
      <c r="AF163" s="91" t="n">
        <f aca="false">AF23/AF$84</f>
        <v>0.000355736750228502</v>
      </c>
      <c r="AG163" s="91" t="n">
        <f aca="false">AG23/AG$84</f>
        <v>0.000364222998881393</v>
      </c>
      <c r="AH163" s="91" t="n">
        <f aca="false">AH23/AH$84</f>
        <v>8.89114282297585E-005</v>
      </c>
      <c r="AI163" s="91" t="n">
        <f aca="false">AI23/AI$84</f>
        <v>0.000410396042851177</v>
      </c>
      <c r="AJ163" s="91" t="n">
        <f aca="false">AJ23/AJ$84</f>
        <v>6.93246651068636E-005</v>
      </c>
      <c r="AK163" s="91" t="n">
        <f aca="false">AK23/AK$84</f>
        <v>0.00653127554829645</v>
      </c>
    </row>
    <row r="164" customFormat="false" ht="12.75" hidden="false" customHeight="false" outlineLevel="0" collapsed="false">
      <c r="B164" s="89" t="s">
        <v>143</v>
      </c>
      <c r="C164" s="89" t="s">
        <v>144</v>
      </c>
      <c r="D164" s="91" t="n">
        <f aca="false">D24/D$84</f>
        <v>0.000148990422218775</v>
      </c>
      <c r="E164" s="91" t="n">
        <f aca="false">E24/E$84</f>
        <v>0.0117914196711194</v>
      </c>
      <c r="F164" s="91" t="n">
        <f aca="false">F24/F$84</f>
        <v>0.0114775807808632</v>
      </c>
      <c r="G164" s="91" t="n">
        <f aca="false">G24/G$84</f>
        <v>0.012669702240101</v>
      </c>
      <c r="H164" s="91" t="n">
        <f aca="false">H24/H$84</f>
        <v>0.0126209874532797</v>
      </c>
      <c r="I164" s="91" t="n">
        <f aca="false">I24/I$84</f>
        <v>0.0257441724643207</v>
      </c>
      <c r="J164" s="91" t="n">
        <f aca="false">J24/J$84</f>
        <v>0.0537535851981697</v>
      </c>
      <c r="K164" s="91" t="n">
        <f aca="false">K24/K$84</f>
        <v>0.0279991429706886</v>
      </c>
      <c r="L164" s="91" t="n">
        <f aca="false">L24/L$84</f>
        <v>0.0279809572887177</v>
      </c>
      <c r="M164" s="91" t="n">
        <f aca="false">M24/M$84</f>
        <v>0.0195083813351334</v>
      </c>
      <c r="N164" s="91" t="n">
        <f aca="false">N24/N$84</f>
        <v>0.0193475903034901</v>
      </c>
      <c r="O164" s="91" t="n">
        <f aca="false">O24/O$84</f>
        <v>0.00538098728028067</v>
      </c>
      <c r="P164" s="91" t="n">
        <f aca="false">P24/P$84</f>
        <v>0.0701750436399834</v>
      </c>
      <c r="Q164" s="91" t="n">
        <f aca="false">Q24/Q$84</f>
        <v>0.06957416828513</v>
      </c>
      <c r="R164" s="91" t="n">
        <f aca="false">R24/R$84</f>
        <v>0.0694317043689217</v>
      </c>
      <c r="S164" s="91" t="n">
        <f aca="false">S24/S$84</f>
        <v>0.0118444553806173</v>
      </c>
      <c r="T164" s="91" t="n">
        <f aca="false">T24/T$84</f>
        <v>0.0285995732936656</v>
      </c>
      <c r="U164" s="91" t="n">
        <f aca="false">U24/U$84</f>
        <v>0.00736302151841703</v>
      </c>
      <c r="V164" s="91" t="n">
        <f aca="false">V24/V$84</f>
        <v>0.00391482769655305</v>
      </c>
      <c r="W164" s="91" t="n">
        <f aca="false">W24/W$84</f>
        <v>0.00710774295050504</v>
      </c>
      <c r="X164" s="91" t="n">
        <f aca="false">X24/X$84</f>
        <v>0.00322260360920539</v>
      </c>
      <c r="Y164" s="91" t="n">
        <f aca="false">Y24/Y$84</f>
        <v>0.0227377714030418</v>
      </c>
      <c r="Z164" s="91" t="n">
        <f aca="false">Z24/Z$84</f>
        <v>0.00291475093285727</v>
      </c>
      <c r="AA164" s="91" t="n">
        <f aca="false">AA24/AA$84</f>
        <v>0.00301024249149486</v>
      </c>
      <c r="AB164" s="91" t="n">
        <f aca="false">AB24/AB$84</f>
        <v>0.00289684196672073</v>
      </c>
      <c r="AC164" s="91" t="n">
        <f aca="false">AC24/AC$84</f>
        <v>0.00289899482537168</v>
      </c>
      <c r="AD164" s="91" t="n">
        <f aca="false">AD24/AD$84</f>
        <v>0.00424596375606581</v>
      </c>
      <c r="AE164" s="91" t="n">
        <f aca="false">AE24/AE$84</f>
        <v>0.000540759444442504</v>
      </c>
      <c r="AF164" s="91" t="n">
        <f aca="false">AF24/AF$84</f>
        <v>0.00818998631439168</v>
      </c>
      <c r="AG164" s="91" t="n">
        <f aca="false">AG24/AG$84</f>
        <v>0.00838536185623004</v>
      </c>
      <c r="AH164" s="91" t="n">
        <f aca="false">AH24/AH$84</f>
        <v>0.0119663115831934</v>
      </c>
      <c r="AI164" s="91" t="n">
        <f aca="false">AI24/AI$84</f>
        <v>0.0128018987332919</v>
      </c>
      <c r="AJ164" s="91" t="n">
        <f aca="false">AJ24/AJ$84</f>
        <v>0.0208522633365096</v>
      </c>
      <c r="AK164" s="91" t="n">
        <f aca="false">AK24/AK$84</f>
        <v>0.0124464511047098</v>
      </c>
    </row>
    <row r="165" customFormat="false" ht="12.75" hidden="false" customHeight="false" outlineLevel="0" collapsed="false">
      <c r="B165" s="89" t="s">
        <v>145</v>
      </c>
      <c r="C165" s="89" t="s">
        <v>146</v>
      </c>
      <c r="D165" s="91" t="n">
        <f aca="false">D25/D$84</f>
        <v>1.3570337517427E-006</v>
      </c>
      <c r="E165" s="91" t="n">
        <f aca="false">E25/E$84</f>
        <v>0.000195597759644827</v>
      </c>
      <c r="F165" s="91" t="n">
        <f aca="false">F25/F$84</f>
        <v>0.00354988495531006</v>
      </c>
      <c r="G165" s="91" t="n">
        <f aca="false">G25/G$84</f>
        <v>0.0058023878387345</v>
      </c>
      <c r="H165" s="91" t="n">
        <f aca="false">H25/H$84</f>
        <v>0.00578007775746652</v>
      </c>
      <c r="I165" s="91" t="n">
        <f aca="false">I25/I$84</f>
        <v>0</v>
      </c>
      <c r="J165" s="91" t="n">
        <f aca="false">J25/J$84</f>
        <v>0.0120520298839559</v>
      </c>
      <c r="K165" s="91" t="n">
        <f aca="false">K25/K$84</f>
        <v>0.000985166208804301</v>
      </c>
      <c r="L165" s="91" t="n">
        <f aca="false">L25/L$84</f>
        <v>0.000984526334955991</v>
      </c>
      <c r="M165" s="91" t="n">
        <f aca="false">M25/M$84</f>
        <v>0.00989773898704454</v>
      </c>
      <c r="N165" s="91" t="n">
        <f aca="false">N25/N$84</f>
        <v>0.00981616032424696</v>
      </c>
      <c r="O165" s="91" t="n">
        <f aca="false">O25/O$84</f>
        <v>0.00166782463365038</v>
      </c>
      <c r="P165" s="91" t="n">
        <f aca="false">P25/P$84</f>
        <v>0.000681126348093851</v>
      </c>
      <c r="Q165" s="91" t="n">
        <f aca="false">Q25/Q$84</f>
        <v>0.000675294188755126</v>
      </c>
      <c r="R165" s="91" t="n">
        <f aca="false">R25/R$84</f>
        <v>0.000673911419013221</v>
      </c>
      <c r="S165" s="91" t="n">
        <f aca="false">S25/S$84</f>
        <v>0.000585423925534414</v>
      </c>
      <c r="T165" s="91" t="n">
        <f aca="false">T25/T$84</f>
        <v>0.00187296406832987</v>
      </c>
      <c r="U165" s="91" t="n">
        <f aca="false">U25/U$84</f>
        <v>0.152112284382405</v>
      </c>
      <c r="V165" s="91" t="n">
        <f aca="false">V25/V$84</f>
        <v>0</v>
      </c>
      <c r="W165" s="91" t="n">
        <f aca="false">W25/W$84</f>
        <v>0.0157438957436976</v>
      </c>
      <c r="X165" s="91" t="n">
        <f aca="false">X25/X$84</f>
        <v>0.0184359689432952</v>
      </c>
      <c r="Y165" s="91" t="n">
        <f aca="false">Y25/Y$84</f>
        <v>0.00896392358915316</v>
      </c>
      <c r="Z165" s="91" t="n">
        <f aca="false">Z25/Z$84</f>
        <v>0.00306548641957569</v>
      </c>
      <c r="AA165" s="91" t="n">
        <f aca="false">AA25/AA$84</f>
        <v>0.00316591629606628</v>
      </c>
      <c r="AB165" s="91" t="n">
        <f aca="false">AB25/AB$84</f>
        <v>0.00304665129652577</v>
      </c>
      <c r="AC165" s="91" t="n">
        <f aca="false">AC25/AC$84</f>
        <v>0.00304891548962831</v>
      </c>
      <c r="AD165" s="91" t="n">
        <f aca="false">AD25/AD$84</f>
        <v>0.000742564973179659</v>
      </c>
      <c r="AE165" s="91" t="n">
        <f aca="false">AE25/AE$84</f>
        <v>0.000133370260366478</v>
      </c>
      <c r="AF165" s="91" t="n">
        <f aca="false">AF25/AF$84</f>
        <v>0.0351007746616354</v>
      </c>
      <c r="AG165" s="91" t="n">
        <f aca="false">AG25/AG$84</f>
        <v>0.03593811829143</v>
      </c>
      <c r="AH165" s="91" t="n">
        <f aca="false">AH25/AH$84</f>
        <v>0</v>
      </c>
      <c r="AI165" s="91" t="n">
        <f aca="false">AI25/AI$84</f>
        <v>0.0262101602908501</v>
      </c>
      <c r="AJ165" s="91" t="n">
        <f aca="false">AJ25/AJ$84</f>
        <v>0.00242289517507123</v>
      </c>
      <c r="AK165" s="91" t="n">
        <f aca="false">AK25/AK$84</f>
        <v>0.0222053937239863</v>
      </c>
    </row>
    <row r="166" customFormat="false" ht="12.75" hidden="false" customHeight="false" outlineLevel="0" collapsed="false">
      <c r="B166" s="89" t="s">
        <v>147</v>
      </c>
      <c r="C166" s="89" t="s">
        <v>148</v>
      </c>
      <c r="D166" s="91" t="n">
        <f aca="false">D26/D$84</f>
        <v>0.00253009501183372</v>
      </c>
      <c r="E166" s="91" t="n">
        <f aca="false">E26/E$84</f>
        <v>0.00675984332337907</v>
      </c>
      <c r="F166" s="91" t="n">
        <f aca="false">F26/F$84</f>
        <v>0.00033785500821949</v>
      </c>
      <c r="G166" s="91" t="n">
        <f aca="false">G26/G$84</f>
        <v>0.00185487697826519</v>
      </c>
      <c r="H166" s="91" t="n">
        <f aca="false">H26/H$84</f>
        <v>0.00184774500824227</v>
      </c>
      <c r="I166" s="91" t="n">
        <f aca="false">I26/I$84</f>
        <v>0.00335040235100168</v>
      </c>
      <c r="J166" s="91" t="n">
        <f aca="false">J26/J$84</f>
        <v>0.00521425850074766</v>
      </c>
      <c r="K166" s="91" t="n">
        <f aca="false">K26/K$84</f>
        <v>0.00359057049450148</v>
      </c>
      <c r="L166" s="91" t="n">
        <f aca="false">L26/L$84</f>
        <v>0.00358823838836607</v>
      </c>
      <c r="M166" s="91" t="n">
        <f aca="false">M26/M$84</f>
        <v>0.0026560359956631</v>
      </c>
      <c r="N166" s="91" t="n">
        <f aca="false">N26/N$84</f>
        <v>0.00263414454498412</v>
      </c>
      <c r="O166" s="91" t="n">
        <f aca="false">O26/O$84</f>
        <v>0.000161482887945797</v>
      </c>
      <c r="P166" s="91" t="n">
        <f aca="false">P26/P$84</f>
        <v>0.00265905391724498</v>
      </c>
      <c r="Q166" s="91" t="n">
        <f aca="false">Q26/Q$84</f>
        <v>0.00263628570958566</v>
      </c>
      <c r="R166" s="91" t="n">
        <f aca="false">R26/R$84</f>
        <v>0.0026308875051128</v>
      </c>
      <c r="S166" s="91" t="n">
        <f aca="false">S26/S$84</f>
        <v>0.000737238890333455</v>
      </c>
      <c r="T166" s="91" t="n">
        <f aca="false">T26/T$84</f>
        <v>0.00210762273123398</v>
      </c>
      <c r="U166" s="91" t="n">
        <f aca="false">U26/U$84</f>
        <v>9.67841388073898E-005</v>
      </c>
      <c r="V166" s="91" t="n">
        <f aca="false">V26/V$84</f>
        <v>0.00297960409116675</v>
      </c>
      <c r="W166" s="91" t="n">
        <f aca="false">W26/W$84</f>
        <v>0.00239097521690791</v>
      </c>
      <c r="X166" s="91" t="n">
        <f aca="false">X26/X$84</f>
        <v>0.000295354182518091</v>
      </c>
      <c r="Y166" s="91" t="n">
        <f aca="false">Y26/Y$84</f>
        <v>0.000705942114680459</v>
      </c>
      <c r="Z166" s="91" t="n">
        <f aca="false">Z26/Z$84</f>
        <v>0.00190641097447134</v>
      </c>
      <c r="AA166" s="91" t="n">
        <f aca="false">AA26/AA$84</f>
        <v>0.00196886782226026</v>
      </c>
      <c r="AB166" s="91" t="n">
        <f aca="false">AB26/AB$84</f>
        <v>0.00189469750379388</v>
      </c>
      <c r="AC166" s="91" t="n">
        <f aca="false">AC26/AC$84</f>
        <v>0.00189610559438317</v>
      </c>
      <c r="AD166" s="91" t="n">
        <f aca="false">AD26/AD$84</f>
        <v>0.00336831614524474</v>
      </c>
      <c r="AE166" s="91" t="n">
        <f aca="false">AE26/AE$84</f>
        <v>4.318880954499E-005</v>
      </c>
      <c r="AF166" s="91" t="n">
        <f aca="false">AF26/AF$84</f>
        <v>0.00106595745703243</v>
      </c>
      <c r="AG166" s="91" t="n">
        <f aca="false">AG26/AG$84</f>
        <v>0.00109138631707563</v>
      </c>
      <c r="AH166" s="91" t="n">
        <f aca="false">AH26/AH$84</f>
        <v>0.00255945740955501</v>
      </c>
      <c r="AI166" s="91" t="n">
        <f aca="false">AI26/AI$84</f>
        <v>0.000301778906951472</v>
      </c>
      <c r="AJ166" s="91" t="n">
        <f aca="false">AJ26/AJ$84</f>
        <v>0.00135945092426072</v>
      </c>
      <c r="AK166" s="91" t="n">
        <f aca="false">AK26/AK$84</f>
        <v>0.00291435527190124</v>
      </c>
    </row>
    <row r="167" customFormat="false" ht="12.75" hidden="false" customHeight="false" outlineLevel="0" collapsed="false">
      <c r="B167" s="89" t="s">
        <v>149</v>
      </c>
      <c r="C167" s="89" t="s">
        <v>150</v>
      </c>
      <c r="D167" s="91" t="n">
        <f aca="false">D27/D$84</f>
        <v>0.0277535760585183</v>
      </c>
      <c r="E167" s="91" t="n">
        <f aca="false">E27/E$84</f>
        <v>0.00463514583040048</v>
      </c>
      <c r="F167" s="91" t="n">
        <f aca="false">F27/F$84</f>
        <v>0.030464169144327</v>
      </c>
      <c r="G167" s="91" t="n">
        <f aca="false">G27/G$84</f>
        <v>0.0147530709768037</v>
      </c>
      <c r="H167" s="91" t="n">
        <f aca="false">H27/H$84</f>
        <v>0.0146963456730853</v>
      </c>
      <c r="I167" s="91" t="n">
        <f aca="false">I27/I$84</f>
        <v>0.00254654110489096</v>
      </c>
      <c r="J167" s="91" t="n">
        <f aca="false">J27/J$84</f>
        <v>0.00456392625594048</v>
      </c>
      <c r="K167" s="91" t="n">
        <f aca="false">K27/K$84</f>
        <v>0.0107433051723097</v>
      </c>
      <c r="L167" s="91" t="n">
        <f aca="false">L27/L$84</f>
        <v>0.0107363273040447</v>
      </c>
      <c r="M167" s="91" t="n">
        <f aca="false">M27/M$84</f>
        <v>0.0055221184506951</v>
      </c>
      <c r="N167" s="91" t="n">
        <f aca="false">N27/N$84</f>
        <v>0.00547660431462758</v>
      </c>
      <c r="O167" s="91" t="n">
        <f aca="false">O27/O$84</f>
        <v>0.00854804593374969</v>
      </c>
      <c r="P167" s="91" t="n">
        <f aca="false">P27/P$84</f>
        <v>0.00924800621666448</v>
      </c>
      <c r="Q167" s="91" t="n">
        <f aca="false">Q27/Q$84</f>
        <v>0.00916881995999991</v>
      </c>
      <c r="R167" s="91" t="n">
        <f aca="false">R27/R$84</f>
        <v>0.00915004537698005</v>
      </c>
      <c r="S167" s="91" t="n">
        <f aca="false">S27/S$84</f>
        <v>0.00526277219041263</v>
      </c>
      <c r="T167" s="91" t="n">
        <f aca="false">T27/T$84</f>
        <v>0.00475502102460962</v>
      </c>
      <c r="U167" s="91" t="n">
        <f aca="false">U27/U$84</f>
        <v>0.00619895692133572</v>
      </c>
      <c r="V167" s="91" t="n">
        <f aca="false">V27/V$84</f>
        <v>0.00109013576090102</v>
      </c>
      <c r="W167" s="91" t="n">
        <f aca="false">W27/W$84</f>
        <v>0.0035091619083089</v>
      </c>
      <c r="X167" s="91" t="n">
        <f aca="false">X27/X$84</f>
        <v>0.00817444537515395</v>
      </c>
      <c r="Y167" s="91" t="n">
        <f aca="false">Y27/Y$84</f>
        <v>0.0198746263080345</v>
      </c>
      <c r="Z167" s="91" t="n">
        <f aca="false">Z27/Z$84</f>
        <v>0.00332797348434513</v>
      </c>
      <c r="AA167" s="91" t="n">
        <f aca="false">AA27/AA$84</f>
        <v>0.00343700282594078</v>
      </c>
      <c r="AB167" s="91" t="n">
        <f aca="false">AB27/AB$84</f>
        <v>0.00330752557445252</v>
      </c>
      <c r="AC167" s="91" t="n">
        <f aca="false">AC27/AC$84</f>
        <v>0.00330998364262746</v>
      </c>
      <c r="AD167" s="91" t="n">
        <f aca="false">AD27/AD$84</f>
        <v>0.00350794003555691</v>
      </c>
      <c r="AE167" s="91" t="n">
        <f aca="false">AE27/AE$84</f>
        <v>7.30926010099396E-005</v>
      </c>
      <c r="AF167" s="91" t="n">
        <f aca="false">AF27/AF$84</f>
        <v>0.00455289232173641</v>
      </c>
      <c r="AG167" s="91" t="n">
        <f aca="false">AG27/AG$84</f>
        <v>0.00466150346834207</v>
      </c>
      <c r="AH167" s="91" t="n">
        <f aca="false">AH27/AH$84</f>
        <v>0.0100459334209805</v>
      </c>
      <c r="AI167" s="91" t="n">
        <f aca="false">AI27/AI$84</f>
        <v>0.00532964017716724</v>
      </c>
      <c r="AJ167" s="91" t="n">
        <f aca="false">AJ27/AJ$84</f>
        <v>0.00707896767311754</v>
      </c>
      <c r="AK167" s="91" t="n">
        <f aca="false">AK27/AK$84</f>
        <v>0.00392145317574745</v>
      </c>
    </row>
    <row r="168" customFormat="false" ht="12.75" hidden="false" customHeight="false" outlineLevel="0" collapsed="false">
      <c r="B168" s="89" t="s">
        <v>151</v>
      </c>
      <c r="C168" s="89" t="s">
        <v>152</v>
      </c>
      <c r="D168" s="91" t="n">
        <f aca="false">D28/D$84</f>
        <v>0.105970215114606</v>
      </c>
      <c r="E168" s="91" t="n">
        <f aca="false">E28/E$84</f>
        <v>0.0332704994626067</v>
      </c>
      <c r="F168" s="91" t="n">
        <f aca="false">F28/F$84</f>
        <v>0.120389890880014</v>
      </c>
      <c r="G168" s="91" t="n">
        <f aca="false">G28/G$84</f>
        <v>0.0817973885894022</v>
      </c>
      <c r="H168" s="91" t="n">
        <f aca="false">H28/H$84</f>
        <v>0.0814828790396004</v>
      </c>
      <c r="I168" s="91" t="n">
        <f aca="false">I28/I$84</f>
        <v>0.0208713034570802</v>
      </c>
      <c r="J168" s="91" t="n">
        <f aca="false">J28/J$84</f>
        <v>0.0298161880998504</v>
      </c>
      <c r="K168" s="91" t="n">
        <f aca="false">K28/K$84</f>
        <v>0.0634257635841702</v>
      </c>
      <c r="L168" s="91" t="n">
        <f aca="false">L28/L$84</f>
        <v>0.0633845680102012</v>
      </c>
      <c r="M168" s="91" t="n">
        <f aca="false">M28/M$84</f>
        <v>0.0283520991637556</v>
      </c>
      <c r="N168" s="91" t="n">
        <f aca="false">N28/N$84</f>
        <v>0.028118416871233</v>
      </c>
      <c r="O168" s="91" t="n">
        <f aca="false">O28/O$84</f>
        <v>0.0166181830893615</v>
      </c>
      <c r="P168" s="91" t="n">
        <f aca="false">P28/P$84</f>
        <v>0.0356854159424134</v>
      </c>
      <c r="Q168" s="91" t="n">
        <f aca="false">Q28/Q$84</f>
        <v>0.0353798587834114</v>
      </c>
      <c r="R168" s="91" t="n">
        <f aca="false">R28/R$84</f>
        <v>0.035307413027157</v>
      </c>
      <c r="S168" s="91" t="n">
        <f aca="false">S28/S$84</f>
        <v>0.0296775661171453</v>
      </c>
      <c r="T168" s="91" t="n">
        <f aca="false">T28/T$84</f>
        <v>0.0289138050708111</v>
      </c>
      <c r="U168" s="91" t="n">
        <f aca="false">U28/U$84</f>
        <v>0.041546822986625</v>
      </c>
      <c r="V168" s="91" t="n">
        <f aca="false">V28/V$84</f>
        <v>0.0190749069912262</v>
      </c>
      <c r="W168" s="91" t="n">
        <f aca="false">W28/W$84</f>
        <v>0.0238593404421232</v>
      </c>
      <c r="X168" s="91" t="n">
        <f aca="false">X28/X$84</f>
        <v>0.0432669320250674</v>
      </c>
      <c r="Y168" s="91" t="n">
        <f aca="false">Y28/Y$84</f>
        <v>0.0776292487803054</v>
      </c>
      <c r="Z168" s="91" t="n">
        <f aca="false">Z28/Z$84</f>
        <v>0.0393111737612501</v>
      </c>
      <c r="AA168" s="91" t="n">
        <f aca="false">AA28/AA$84</f>
        <v>0.0480898679735491</v>
      </c>
      <c r="AB168" s="91" t="n">
        <f aca="false">AB28/AB$84</f>
        <v>0.0462782477203875</v>
      </c>
      <c r="AC168" s="91" t="n">
        <f aca="false">AC28/AC$84</f>
        <v>0.0463126405271406</v>
      </c>
      <c r="AD168" s="91" t="n">
        <f aca="false">AD28/AD$84</f>
        <v>0.0260619899243351</v>
      </c>
      <c r="AE168" s="91" t="n">
        <f aca="false">AE28/AE$84</f>
        <v>0.000340019892197704</v>
      </c>
      <c r="AF168" s="91" t="n">
        <f aca="false">AF28/AF$84</f>
        <v>0.0235211289885168</v>
      </c>
      <c r="AG168" s="91" t="n">
        <f aca="false">AG28/AG$84</f>
        <v>0.0240822353377064</v>
      </c>
      <c r="AH168" s="91" t="n">
        <f aca="false">AH28/AH$84</f>
        <v>0.0429012600757238</v>
      </c>
      <c r="AI168" s="91" t="n">
        <f aca="false">AI28/AI$84</f>
        <v>0.021827213686411</v>
      </c>
      <c r="AJ168" s="91" t="n">
        <f aca="false">AJ28/AJ$84</f>
        <v>0.0320160568338676</v>
      </c>
      <c r="AK168" s="91" t="n">
        <f aca="false">AK28/AK$84</f>
        <v>0.0177550125507661</v>
      </c>
    </row>
    <row r="169" customFormat="false" ht="12.75" hidden="false" customHeight="false" outlineLevel="0" collapsed="false">
      <c r="B169" s="89" t="s">
        <v>153</v>
      </c>
      <c r="C169" s="89" t="s">
        <v>154</v>
      </c>
      <c r="D169" s="91" t="n">
        <f aca="false">D29/D$84</f>
        <v>0.00727528243611611</v>
      </c>
      <c r="E169" s="91" t="n">
        <f aca="false">E29/E$84</f>
        <v>0.00335479476410426</v>
      </c>
      <c r="F169" s="91" t="n">
        <f aca="false">F29/F$84</f>
        <v>0.0235083321221312</v>
      </c>
      <c r="G169" s="91" t="n">
        <f aca="false">G29/G$84</f>
        <v>0.00645107372621976</v>
      </c>
      <c r="H169" s="91" t="n">
        <f aca="false">H29/H$84</f>
        <v>0.00642626945889093</v>
      </c>
      <c r="I169" s="91" t="n">
        <f aca="false">I29/I$84</f>
        <v>0.000514193848431843</v>
      </c>
      <c r="J169" s="91" t="n">
        <f aca="false">J29/J$84</f>
        <v>0.00285037116749374</v>
      </c>
      <c r="K169" s="91" t="n">
        <f aca="false">K29/K$84</f>
        <v>0.0053770857471815</v>
      </c>
      <c r="L169" s="91" t="n">
        <f aca="false">L29/L$84</f>
        <v>0.0053735932841646</v>
      </c>
      <c r="M169" s="91" t="n">
        <f aca="false">M29/M$84</f>
        <v>0.00317131804301442</v>
      </c>
      <c r="N169" s="91" t="n">
        <f aca="false">N29/N$84</f>
        <v>0.00314517955971098</v>
      </c>
      <c r="O169" s="91" t="n">
        <f aca="false">O29/O$84</f>
        <v>0.000310932303804543</v>
      </c>
      <c r="P169" s="91" t="n">
        <f aca="false">P29/P$84</f>
        <v>0.000243818341426696</v>
      </c>
      <c r="Q169" s="91" t="n">
        <f aca="false">Q29/Q$84</f>
        <v>0.000241730641514801</v>
      </c>
      <c r="R169" s="91" t="n">
        <f aca="false">R29/R$84</f>
        <v>0.000241235660479359</v>
      </c>
      <c r="S169" s="91" t="n">
        <f aca="false">S29/S$84</f>
        <v>0.000499077820009408</v>
      </c>
      <c r="T169" s="91" t="n">
        <f aca="false">T29/T$84</f>
        <v>0.00136443050031249</v>
      </c>
      <c r="U169" s="91" t="n">
        <f aca="false">U29/U$84</f>
        <v>0.00398384554314485</v>
      </c>
      <c r="V169" s="91" t="n">
        <f aca="false">V29/V$84</f>
        <v>0.00186553867348005</v>
      </c>
      <c r="W169" s="91" t="n">
        <f aca="false">W29/W$84</f>
        <v>0.00325401079976975</v>
      </c>
      <c r="X169" s="91" t="n">
        <f aca="false">X29/X$84</f>
        <v>0.00878385498388248</v>
      </c>
      <c r="Y169" s="91" t="n">
        <f aca="false">Y29/Y$84</f>
        <v>0.0221533238622962</v>
      </c>
      <c r="Z169" s="91" t="n">
        <f aca="false">Z29/Z$84</f>
        <v>0.00149887327139515</v>
      </c>
      <c r="AA169" s="91" t="n">
        <f aca="false">AA29/AA$84</f>
        <v>0.00154797858028185</v>
      </c>
      <c r="AB169" s="91" t="n">
        <f aca="false">AB29/AB$84</f>
        <v>0.00148966381532884</v>
      </c>
      <c r="AC169" s="91" t="n">
        <f aca="false">AC29/AC$84</f>
        <v>0.00149077089526924</v>
      </c>
      <c r="AD169" s="91" t="n">
        <f aca="false">AD29/AD$84</f>
        <v>0.00264361638740525</v>
      </c>
      <c r="AE169" s="91" t="n">
        <f aca="false">AE29/AE$84</f>
        <v>0.000633028739208259</v>
      </c>
      <c r="AF169" s="91" t="n">
        <f aca="false">AF29/AF$84</f>
        <v>0.00519821161617348</v>
      </c>
      <c r="AG169" s="91" t="n">
        <f aca="false">AG29/AG$84</f>
        <v>0.0053222171238891</v>
      </c>
      <c r="AH169" s="91" t="n">
        <f aca="false">AH29/AH$84</f>
        <v>0.0145550856074001</v>
      </c>
      <c r="AI169" s="91" t="n">
        <f aca="false">AI29/AI$84</f>
        <v>0.00520805898699571</v>
      </c>
      <c r="AJ169" s="91" t="n">
        <f aca="false">AJ29/AJ$84</f>
        <v>0.00710071148616423</v>
      </c>
      <c r="AK169" s="91" t="n">
        <f aca="false">AK29/AK$84</f>
        <v>0.00414008246477792</v>
      </c>
    </row>
    <row r="170" customFormat="false" ht="12.75" hidden="false" customHeight="false" outlineLevel="0" collapsed="false">
      <c r="B170" s="89" t="s">
        <v>155</v>
      </c>
      <c r="C170" s="89" t="s">
        <v>156</v>
      </c>
      <c r="D170" s="91" t="n">
        <f aca="false">D30/D$84</f>
        <v>0.00771688093591196</v>
      </c>
      <c r="E170" s="91" t="n">
        <f aca="false">E30/E$84</f>
        <v>0.0213092845848175</v>
      </c>
      <c r="F170" s="91" t="n">
        <f aca="false">F30/F$84</f>
        <v>0.0137444387903537</v>
      </c>
      <c r="G170" s="91" t="n">
        <f aca="false">G30/G$84</f>
        <v>0.0279911944932794</v>
      </c>
      <c r="H170" s="91" t="n">
        <f aca="false">H30/H$84</f>
        <v>0.0278835688327258</v>
      </c>
      <c r="I170" s="91" t="n">
        <f aca="false">I30/I$84</f>
        <v>0.0102625520223528</v>
      </c>
      <c r="J170" s="91" t="n">
        <f aca="false">J30/J$84</f>
        <v>0.0146502452969989</v>
      </c>
      <c r="K170" s="91" t="n">
        <f aca="false">K30/K$84</f>
        <v>0.0169564153381452</v>
      </c>
      <c r="L170" s="91" t="n">
        <f aca="false">L30/L$84</f>
        <v>0.0169454020018787</v>
      </c>
      <c r="M170" s="91" t="n">
        <f aca="false">M30/M$84</f>
        <v>0.0227973253301912</v>
      </c>
      <c r="N170" s="91" t="n">
        <f aca="false">N30/N$84</f>
        <v>0.0226094263243443</v>
      </c>
      <c r="O170" s="91" t="n">
        <f aca="false">O30/O$84</f>
        <v>0.00932502771008694</v>
      </c>
      <c r="P170" s="91" t="n">
        <f aca="false">P30/P$84</f>
        <v>0.00323320985852892</v>
      </c>
      <c r="Q170" s="91" t="n">
        <f aca="false">Q30/Q$84</f>
        <v>0.00320552542799223</v>
      </c>
      <c r="R170" s="91" t="n">
        <f aca="false">R30/R$84</f>
        <v>0.00319896161677851</v>
      </c>
      <c r="S170" s="91" t="n">
        <f aca="false">S30/S$84</f>
        <v>0.0194577711481345</v>
      </c>
      <c r="T170" s="91" t="n">
        <f aca="false">T30/T$84</f>
        <v>0.0187612757657407</v>
      </c>
      <c r="U170" s="91" t="n">
        <f aca="false">U30/U$84</f>
        <v>0.0149620732422999</v>
      </c>
      <c r="V170" s="91" t="n">
        <f aca="false">V30/V$84</f>
        <v>0.00752560338052004</v>
      </c>
      <c r="W170" s="91" t="n">
        <f aca="false">W30/W$84</f>
        <v>0.0112843544993375</v>
      </c>
      <c r="X170" s="91" t="n">
        <f aca="false">X30/X$84</f>
        <v>0.00730039136771118</v>
      </c>
      <c r="Y170" s="91" t="n">
        <f aca="false">Y30/Y$84</f>
        <v>0.00815791636722725</v>
      </c>
      <c r="Z170" s="91" t="n">
        <f aca="false">Z30/Z$84</f>
        <v>0.0189060766535501</v>
      </c>
      <c r="AA170" s="91" t="n">
        <f aca="false">AA30/AA$84</f>
        <v>0.0195254677332537</v>
      </c>
      <c r="AB170" s="91" t="n">
        <f aca="false">AB30/AB$84</f>
        <v>0.0187899129420142</v>
      </c>
      <c r="AC170" s="91" t="n">
        <f aca="false">AC30/AC$84</f>
        <v>0.0188038771233858</v>
      </c>
      <c r="AD170" s="91" t="n">
        <f aca="false">AD30/AD$84</f>
        <v>0.0103976010958699</v>
      </c>
      <c r="AE170" s="91" t="n">
        <f aca="false">AE30/AE$84</f>
        <v>0.000135776047416429</v>
      </c>
      <c r="AF170" s="91" t="n">
        <f aca="false">AF30/AF$84</f>
        <v>0.00481409603075332</v>
      </c>
      <c r="AG170" s="91" t="n">
        <f aca="false">AG30/AG$84</f>
        <v>0.00492893830085791</v>
      </c>
      <c r="AH170" s="91" t="n">
        <f aca="false">AH30/AH$84</f>
        <v>0.00647014558959142</v>
      </c>
      <c r="AI170" s="91" t="n">
        <f aca="false">AI30/AI$84</f>
        <v>0.00341268740784287</v>
      </c>
      <c r="AJ170" s="91" t="n">
        <f aca="false">AJ30/AJ$84</f>
        <v>0.00845205454014648</v>
      </c>
      <c r="AK170" s="91" t="n">
        <f aca="false">AK30/AK$84</f>
        <v>0.00999425244781279</v>
      </c>
    </row>
    <row r="171" customFormat="false" ht="12.75" hidden="false" customHeight="false" outlineLevel="0" collapsed="false">
      <c r="B171" s="89" t="s">
        <v>157</v>
      </c>
      <c r="C171" s="89" t="s">
        <v>158</v>
      </c>
      <c r="D171" s="91" t="n">
        <f aca="false">D31/D$84</f>
        <v>6.70912728091606E-005</v>
      </c>
      <c r="E171" s="91" t="n">
        <f aca="false">E31/E$84</f>
        <v>0.000185264880632641</v>
      </c>
      <c r="F171" s="91" t="n">
        <f aca="false">F31/F$84</f>
        <v>0.000119495415330449</v>
      </c>
      <c r="G171" s="91" t="n">
        <f aca="false">G31/G$84</f>
        <v>0.00024335802011191</v>
      </c>
      <c r="H171" s="91" t="n">
        <f aca="false">H31/H$84</f>
        <v>0.000242422312717505</v>
      </c>
      <c r="I171" s="91" t="n">
        <f aca="false">I31/I$84</f>
        <v>8.92235714361847E-005</v>
      </c>
      <c r="J171" s="91" t="n">
        <f aca="false">J31/J$84</f>
        <v>0.000127370580433339</v>
      </c>
      <c r="K171" s="91" t="n">
        <f aca="false">K31/K$84</f>
        <v>0.000147420634938496</v>
      </c>
      <c r="L171" s="91" t="n">
        <f aca="false">L31/L$84</f>
        <v>0.000147324883979771</v>
      </c>
      <c r="M171" s="91" t="n">
        <f aca="false">M31/M$84</f>
        <v>0.000198202043772532</v>
      </c>
      <c r="N171" s="91" t="n">
        <f aca="false">N31/N$84</f>
        <v>0.000196568432529008</v>
      </c>
      <c r="O171" s="91" t="n">
        <f aca="false">O31/O$84</f>
        <v>8.10726488131942E-005</v>
      </c>
      <c r="P171" s="91" t="n">
        <f aca="false">P31/P$84</f>
        <v>2.81098239650622E-005</v>
      </c>
      <c r="Q171" s="91" t="n">
        <f aca="false">Q31/Q$84</f>
        <v>2.78691329790114E-005</v>
      </c>
      <c r="R171" s="91" t="n">
        <f aca="false">R31/R$84</f>
        <v>2.78120666004491E-005</v>
      </c>
      <c r="S171" s="91" t="n">
        <f aca="false">S31/S$84</f>
        <v>0.000169167652475051</v>
      </c>
      <c r="T171" s="91" t="n">
        <f aca="false">T31/T$84</f>
        <v>0.000163112257543008</v>
      </c>
      <c r="U171" s="91" t="n">
        <f aca="false">U31/U$84</f>
        <v>0.000130081641277928</v>
      </c>
      <c r="V171" s="91" t="n">
        <f aca="false">V31/V$84</f>
        <v>6.54282881450653E-005</v>
      </c>
      <c r="W171" s="91" t="n">
        <f aca="false">W31/W$84</f>
        <v>0.000119277325745279</v>
      </c>
      <c r="X171" s="91" t="n">
        <f aca="false">X31/X$84</f>
        <v>6.34702741862211E-005</v>
      </c>
      <c r="Y171" s="91" t="n">
        <f aca="false">Y31/Y$84</f>
        <v>7.09256754242346E-005</v>
      </c>
      <c r="Z171" s="91" t="n">
        <f aca="false">Z31/Z$84</f>
        <v>0.000164371169783291</v>
      </c>
      <c r="AA171" s="91" t="n">
        <f aca="false">AA31/AA$84</f>
        <v>0.000169756212814157</v>
      </c>
      <c r="AB171" s="91" t="n">
        <f aca="false">AB31/AB$84</f>
        <v>0.000163361231788147</v>
      </c>
      <c r="AC171" s="91" t="n">
        <f aca="false">AC31/AC$84</f>
        <v>0.000163482637665695</v>
      </c>
      <c r="AD171" s="91" t="n">
        <f aca="false">AD31/AD$84</f>
        <v>9.03977005058448E-005</v>
      </c>
      <c r="AE171" s="91" t="n">
        <f aca="false">AE31/AE$84</f>
        <v>1.1804494476224E-006</v>
      </c>
      <c r="AF171" s="91" t="n">
        <f aca="false">AF31/AF$84</f>
        <v>4.1854193787765E-005</v>
      </c>
      <c r="AG171" s="91" t="n">
        <f aca="false">AG31/AG$84</f>
        <v>4.28526430495325E-005</v>
      </c>
      <c r="AH171" s="91" t="n">
        <f aca="false">AH31/AH$84</f>
        <v>5.62520410087114E-005</v>
      </c>
      <c r="AI171" s="91" t="n">
        <f aca="false">AI31/AI$84</f>
        <v>2.96702182907158E-005</v>
      </c>
      <c r="AJ171" s="91" t="n">
        <f aca="false">AJ31/AJ$84</f>
        <v>7.348293976028E-005</v>
      </c>
      <c r="AK171" s="91" t="n">
        <f aca="false">AK31/AK$84</f>
        <v>8.68909502515977E-005</v>
      </c>
    </row>
    <row r="172" customFormat="false" ht="12.75" hidden="false" customHeight="false" outlineLevel="0" collapsed="false">
      <c r="B172" s="89" t="s">
        <v>159</v>
      </c>
      <c r="C172" s="89" t="s">
        <v>160</v>
      </c>
      <c r="D172" s="91" t="n">
        <f aca="false">D32/D$84</f>
        <v>0.000399573303228692</v>
      </c>
      <c r="E172" s="91" t="n">
        <f aca="false">E32/E$84</f>
        <v>0.00110337600148415</v>
      </c>
      <c r="F172" s="91" t="n">
        <f aca="false">F32/F$84</f>
        <v>0.000711674944073397</v>
      </c>
      <c r="G172" s="91" t="n">
        <f aca="false">G32/G$84</f>
        <v>0.00144935941579028</v>
      </c>
      <c r="H172" s="91" t="n">
        <f aca="false">H32/H$84</f>
        <v>0.00144378665380823</v>
      </c>
      <c r="I172" s="91" t="n">
        <f aca="false">I32/I$84</f>
        <v>0.000531385911637526</v>
      </c>
      <c r="J172" s="91" t="n">
        <f aca="false">J32/J$84</f>
        <v>0.000758576807786488</v>
      </c>
      <c r="K172" s="91" t="n">
        <f aca="false">K32/K$84</f>
        <v>0.000877988262855016</v>
      </c>
      <c r="L172" s="91" t="n">
        <f aca="false">L32/L$84</f>
        <v>0.000877418001995987</v>
      </c>
      <c r="M172" s="91" t="n">
        <f aca="false">M32/M$84</f>
        <v>0.00118042544165379</v>
      </c>
      <c r="N172" s="91" t="n">
        <f aca="false">N32/N$84</f>
        <v>0.00117069619650111</v>
      </c>
      <c r="O172" s="91" t="n">
        <f aca="false">O32/O$84</f>
        <v>0.000482841727864265</v>
      </c>
      <c r="P172" s="91" t="n">
        <f aca="false">P32/P$84</f>
        <v>0.000167412760924151</v>
      </c>
      <c r="Q172" s="91" t="n">
        <f aca="false">Q32/Q$84</f>
        <v>0.000165979285476053</v>
      </c>
      <c r="R172" s="91" t="n">
        <f aca="false">R32/R$84</f>
        <v>0.00016563941710822</v>
      </c>
      <c r="S172" s="91" t="n">
        <f aca="false">S32/S$84</f>
        <v>0.0010075062652511</v>
      </c>
      <c r="T172" s="91" t="n">
        <f aca="false">T32/T$84</f>
        <v>0.000971442347336866</v>
      </c>
      <c r="U172" s="91" t="n">
        <f aca="false">U32/U$84</f>
        <v>0.000774722984354155</v>
      </c>
      <c r="V172" s="91" t="n">
        <f aca="false">V32/V$84</f>
        <v>0.000389669119754022</v>
      </c>
      <c r="W172" s="91" t="n">
        <f aca="false">W32/W$84</f>
        <v>0.000710376075050688</v>
      </c>
      <c r="X172" s="91" t="n">
        <f aca="false">X32/X$84</f>
        <v>0.000378007839940047</v>
      </c>
      <c r="Y172" s="91" t="n">
        <f aca="false">Y32/Y$84</f>
        <v>0.000422409729706574</v>
      </c>
      <c r="Z172" s="91" t="n">
        <f aca="false">Z32/Z$84</f>
        <v>0.000978940009868266</v>
      </c>
      <c r="AA172" s="91" t="n">
        <f aca="false">AA32/AA$84</f>
        <v>0.00101101153484875</v>
      </c>
      <c r="AB172" s="91" t="n">
        <f aca="false">AB32/AB$84</f>
        <v>0.000972925155120711</v>
      </c>
      <c r="AC172" s="91" t="n">
        <f aca="false">AC32/AC$84</f>
        <v>0.000973648208142248</v>
      </c>
      <c r="AD172" s="91" t="n">
        <f aca="false">AD32/AD$84</f>
        <v>0.000538378633807446</v>
      </c>
      <c r="AE172" s="91" t="n">
        <f aca="false">AE32/AE$84</f>
        <v>7.03036423861925E-006</v>
      </c>
      <c r="AF172" s="91" t="n">
        <f aca="false">AF32/AF$84</f>
        <v>0.0002492696555828</v>
      </c>
      <c r="AG172" s="91" t="n">
        <f aca="false">AG32/AG$84</f>
        <v>0.000255216087256045</v>
      </c>
      <c r="AH172" s="91" t="n">
        <f aca="false">AH32/AH$84</f>
        <v>0.000335018444248951</v>
      </c>
      <c r="AI172" s="91" t="n">
        <f aca="false">AI32/AI$84</f>
        <v>0.0001767059504693</v>
      </c>
      <c r="AJ172" s="91" t="n">
        <f aca="false">AJ32/AJ$84</f>
        <v>0.000437639945429106</v>
      </c>
      <c r="AK172" s="91" t="n">
        <f aca="false">AK32/AK$84</f>
        <v>0.000517493595798503</v>
      </c>
    </row>
    <row r="173" customFormat="false" ht="12.75" hidden="false" customHeight="false" outlineLevel="0" collapsed="false">
      <c r="B173" s="89" t="s">
        <v>161</v>
      </c>
      <c r="C173" s="89" t="s">
        <v>162</v>
      </c>
      <c r="D173" s="91" t="n">
        <f aca="false">D33/D$84</f>
        <v>0.00234910174418877</v>
      </c>
      <c r="E173" s="91" t="n">
        <f aca="false">E33/E$84</f>
        <v>0.00648677593983039</v>
      </c>
      <c r="F173" s="91" t="n">
        <f aca="false">F33/F$84</f>
        <v>0.00418395533162389</v>
      </c>
      <c r="G173" s="91" t="n">
        <f aca="false">G33/G$84</f>
        <v>0.00852082134636679</v>
      </c>
      <c r="H173" s="91" t="n">
        <f aca="false">H33/H$84</f>
        <v>0.00848805893509906</v>
      </c>
      <c r="I173" s="91" t="n">
        <f aca="false">I33/I$84</f>
        <v>0.00312403146501155</v>
      </c>
      <c r="J173" s="91" t="n">
        <f aca="false">J33/J$84</f>
        <v>0.0044596925967611</v>
      </c>
      <c r="K173" s="91" t="n">
        <f aca="false">K33/K$84</f>
        <v>0.00516171561759604</v>
      </c>
      <c r="L173" s="91" t="n">
        <f aca="false">L33/L$84</f>
        <v>0.0051583630393137</v>
      </c>
      <c r="M173" s="91" t="n">
        <f aca="false">M33/M$84</f>
        <v>0.00693975158367037</v>
      </c>
      <c r="N173" s="91" t="n">
        <f aca="false">N33/N$84</f>
        <v>0.00688255310075584</v>
      </c>
      <c r="O173" s="91" t="n">
        <f aca="false">O33/O$84</f>
        <v>0.00283863895792827</v>
      </c>
      <c r="P173" s="91" t="n">
        <f aca="false">P33/P$84</f>
        <v>0.000984223934653849</v>
      </c>
      <c r="Q173" s="91" t="n">
        <f aca="false">Q33/Q$84</f>
        <v>0.000975796495562769</v>
      </c>
      <c r="R173" s="91" t="n">
        <f aca="false">R33/R$84</f>
        <v>0.000973798400671993</v>
      </c>
      <c r="S173" s="91" t="n">
        <f aca="false">S33/S$84</f>
        <v>0.00592315529055221</v>
      </c>
      <c r="T173" s="91" t="n">
        <f aca="false">T33/T$84</f>
        <v>0.00571113458799263</v>
      </c>
      <c r="U173" s="91" t="n">
        <f aca="false">U33/U$84</f>
        <v>0.0045546163847885</v>
      </c>
      <c r="V173" s="91" t="n">
        <f aca="false">V33/V$84</f>
        <v>0.00229087479437224</v>
      </c>
      <c r="W173" s="91" t="n">
        <f aca="false">W33/W$84</f>
        <v>0.00417631924717558</v>
      </c>
      <c r="X173" s="91" t="n">
        <f aca="false">X33/X$84</f>
        <v>0.00222231782990756</v>
      </c>
      <c r="Y173" s="91" t="n">
        <f aca="false">Y33/Y$84</f>
        <v>0.00248335768380425</v>
      </c>
      <c r="Z173" s="91" t="n">
        <f aca="false">Z33/Z$84</f>
        <v>0.00575521353918264</v>
      </c>
      <c r="AA173" s="91" t="n">
        <f aca="false">AA33/AA$84</f>
        <v>0.00594376286082569</v>
      </c>
      <c r="AB173" s="91" t="n">
        <f aca="false">AB33/AB$84</f>
        <v>0.00571985205315655</v>
      </c>
      <c r="AC173" s="91" t="n">
        <f aca="false">AC33/AC$84</f>
        <v>0.00572410290049868</v>
      </c>
      <c r="AD173" s="91" t="n">
        <f aca="false">AD33/AD$84</f>
        <v>0.00316514185880728</v>
      </c>
      <c r="AE173" s="91" t="n">
        <f aca="false">AE33/AE$84</f>
        <v>4.13316924873995E-005</v>
      </c>
      <c r="AF173" s="91" t="n">
        <f aca="false">AF33/AF$84</f>
        <v>0.00146546272729273</v>
      </c>
      <c r="AG173" s="91" t="n">
        <f aca="false">AG33/AG$84</f>
        <v>0.00150042195230212</v>
      </c>
      <c r="AH173" s="91" t="n">
        <f aca="false">AH33/AH$84</f>
        <v>0.0019695820650715</v>
      </c>
      <c r="AI173" s="91" t="n">
        <f aca="false">AI33/AI$84</f>
        <v>0.0010388588354172</v>
      </c>
      <c r="AJ173" s="91" t="n">
        <f aca="false">AJ33/AJ$84</f>
        <v>0.00257289651442449</v>
      </c>
      <c r="AK173" s="91" t="n">
        <f aca="false">AK33/AK$84</f>
        <v>0.00304235818227579</v>
      </c>
    </row>
    <row r="174" customFormat="false" ht="12.75" hidden="false" customHeight="false" outlineLevel="0" collapsed="false">
      <c r="B174" s="89" t="s">
        <v>163</v>
      </c>
      <c r="C174" s="89" t="s">
        <v>164</v>
      </c>
      <c r="D174" s="91" t="n">
        <f aca="false">D34/D$84</f>
        <v>0.00368476269821823</v>
      </c>
      <c r="E174" s="91" t="n">
        <f aca="false">E34/E$84</f>
        <v>0.0119751213582275</v>
      </c>
      <c r="F174" s="91" t="n">
        <f aca="false">F34/F$84</f>
        <v>0.0156047943822082</v>
      </c>
      <c r="G174" s="91" t="n">
        <f aca="false">G34/G$84</f>
        <v>0.0257668673884068</v>
      </c>
      <c r="H174" s="91" t="n">
        <f aca="false">H34/H$84</f>
        <v>0.0256677942272474</v>
      </c>
      <c r="I174" s="91" t="n">
        <f aca="false">I34/I$84</f>
        <v>0.00496004362118923</v>
      </c>
      <c r="J174" s="91" t="n">
        <f aca="false">J34/J$84</f>
        <v>0.00967701049135332</v>
      </c>
      <c r="K174" s="91" t="n">
        <f aca="false">K34/K$84</f>
        <v>0.0208768229226458</v>
      </c>
      <c r="L174" s="91" t="n">
        <f aca="false">L34/L$84</f>
        <v>0.0208632632482432</v>
      </c>
      <c r="M174" s="91" t="n">
        <f aca="false">M34/M$84</f>
        <v>0.0505902246756452</v>
      </c>
      <c r="N174" s="91" t="n">
        <f aca="false">N34/N$84</f>
        <v>0.0406602539873788</v>
      </c>
      <c r="O174" s="91" t="n">
        <f aca="false">O34/O$84</f>
        <v>0.00427468486950248</v>
      </c>
      <c r="P174" s="91" t="n">
        <f aca="false">P34/P$84</f>
        <v>0.0038208736270245</v>
      </c>
      <c r="Q174" s="91" t="n">
        <f aca="false">Q34/Q$84</f>
        <v>0.00378815731254288</v>
      </c>
      <c r="R174" s="91" t="n">
        <f aca="false">R34/R$84</f>
        <v>0.0037804004720479</v>
      </c>
      <c r="S174" s="91" t="n">
        <f aca="false">S34/S$84</f>
        <v>0.0107208483786238</v>
      </c>
      <c r="T174" s="91" t="n">
        <f aca="false">T34/T$84</f>
        <v>0.00987841781171166</v>
      </c>
      <c r="U174" s="91" t="n">
        <f aca="false">U34/U$84</f>
        <v>0.0169521284238472</v>
      </c>
      <c r="V174" s="91" t="n">
        <f aca="false">V34/V$84</f>
        <v>0.00398272696699967</v>
      </c>
      <c r="W174" s="91" t="n">
        <f aca="false">W34/W$84</f>
        <v>0.0135506541824344</v>
      </c>
      <c r="X174" s="91" t="n">
        <f aca="false">X34/X$84</f>
        <v>0.00691335028760149</v>
      </c>
      <c r="Y174" s="91" t="n">
        <f aca="false">Y34/Y$84</f>
        <v>0.00918245562828437</v>
      </c>
      <c r="Z174" s="91" t="n">
        <f aca="false">Z34/Z$84</f>
        <v>0.0130947693422101</v>
      </c>
      <c r="AA174" s="91" t="n">
        <f aca="false">AA34/AA$84</f>
        <v>0.0135237733851943</v>
      </c>
      <c r="AB174" s="91" t="n">
        <f aca="false">AB34/AB$84</f>
        <v>0.0130143117710085</v>
      </c>
      <c r="AC174" s="91" t="n">
        <f aca="false">AC34/AC$84</f>
        <v>0.0130239836737234</v>
      </c>
      <c r="AD174" s="91" t="n">
        <f aca="false">AD34/AD$84</f>
        <v>0.0372450500093996</v>
      </c>
      <c r="AE174" s="91" t="n">
        <f aca="false">AE34/AE$84</f>
        <v>0.00032879706762553</v>
      </c>
      <c r="AF174" s="91" t="n">
        <f aca="false">AF34/AF$84</f>
        <v>0.0294140639261365</v>
      </c>
      <c r="AG174" s="91" t="n">
        <f aca="false">AG34/AG$84</f>
        <v>0.030115748697836</v>
      </c>
      <c r="AH174" s="91" t="n">
        <f aca="false">AH34/AH$84</f>
        <v>0.0283065860336924</v>
      </c>
      <c r="AI174" s="91" t="n">
        <f aca="false">AI34/AI$84</f>
        <v>0.00260190819811542</v>
      </c>
      <c r="AJ174" s="91" t="n">
        <f aca="false">AJ34/AJ$84</f>
        <v>0.00615863464357202</v>
      </c>
      <c r="AK174" s="91" t="n">
        <f aca="false">AK34/AK$84</f>
        <v>0.035824155347934</v>
      </c>
    </row>
    <row r="175" customFormat="false" ht="12.75" hidden="false" customHeight="false" outlineLevel="0" collapsed="false">
      <c r="B175" s="89" t="s">
        <v>165</v>
      </c>
      <c r="C175" s="89" t="s">
        <v>166</v>
      </c>
      <c r="D175" s="91" t="n">
        <f aca="false">D35/D$84</f>
        <v>8.71414768362684E-005</v>
      </c>
      <c r="E175" s="91" t="n">
        <f aca="false">E35/E$84</f>
        <v>0.00269823889627839</v>
      </c>
      <c r="F175" s="91" t="n">
        <f aca="false">F35/F$84</f>
        <v>0.0179767121348101</v>
      </c>
      <c r="G175" s="91" t="n">
        <f aca="false">G35/G$84</f>
        <v>0.00149278217173349</v>
      </c>
      <c r="H175" s="91" t="n">
        <f aca="false">H35/H$84</f>
        <v>0.00148704245000299</v>
      </c>
      <c r="I175" s="91" t="n">
        <f aca="false">I35/I$84</f>
        <v>0.00233390073572211</v>
      </c>
      <c r="J175" s="91" t="n">
        <f aca="false">J35/J$84</f>
        <v>0.0121133635876446</v>
      </c>
      <c r="K175" s="91" t="n">
        <f aca="false">K35/K$84</f>
        <v>0.00321737521225626</v>
      </c>
      <c r="L175" s="91" t="n">
        <f aca="false">L35/L$84</f>
        <v>0.00321528549963709</v>
      </c>
      <c r="M175" s="91" t="n">
        <f aca="false">M35/M$84</f>
        <v>0.00337636055149348</v>
      </c>
      <c r="N175" s="91" t="n">
        <f aca="false">N35/N$84</f>
        <v>0.00334853207680106</v>
      </c>
      <c r="O175" s="91" t="n">
        <f aca="false">O35/O$84</f>
        <v>0.000100909683996176</v>
      </c>
      <c r="P175" s="91" t="n">
        <f aca="false">P35/P$84</f>
        <v>0.00592289544439905</v>
      </c>
      <c r="Q175" s="91" t="n">
        <f aca="false">Q35/Q$84</f>
        <v>0.00587218052186665</v>
      </c>
      <c r="R175" s="91" t="n">
        <f aca="false">R35/R$84</f>
        <v>0.00586015632014856</v>
      </c>
      <c r="S175" s="91" t="n">
        <f aca="false">S35/S$84</f>
        <v>0.00959399715426018</v>
      </c>
      <c r="T175" s="91" t="n">
        <f aca="false">T35/T$84</f>
        <v>0.00916239712598287</v>
      </c>
      <c r="U175" s="91" t="n">
        <f aca="false">U35/U$84</f>
        <v>4.7211292251616E-005</v>
      </c>
      <c r="V175" s="91" t="n">
        <f aca="false">V35/V$84</f>
        <v>0.0146193585204888</v>
      </c>
      <c r="W175" s="91" t="n">
        <f aca="false">W35/W$84</f>
        <v>0.0107636472348238</v>
      </c>
      <c r="X175" s="91" t="n">
        <f aca="false">X35/X$84</f>
        <v>0.00247003013201211</v>
      </c>
      <c r="Y175" s="91" t="n">
        <f aca="false">Y35/Y$84</f>
        <v>0.0153658268239044</v>
      </c>
      <c r="Z175" s="91" t="n">
        <f aca="false">Z35/Z$84</f>
        <v>0.0166757051285235</v>
      </c>
      <c r="AA175" s="91" t="n">
        <f aca="false">AA35/AA$84</f>
        <v>0.0172220259328684</v>
      </c>
      <c r="AB175" s="91" t="n">
        <f aca="false">AB35/AB$84</f>
        <v>0.0165732453831356</v>
      </c>
      <c r="AC175" s="91" t="n">
        <f aca="false">AC35/AC$84</f>
        <v>0.0165855621940309</v>
      </c>
      <c r="AD175" s="91" t="n">
        <f aca="false">AD35/AD$84</f>
        <v>0.0112110488422035</v>
      </c>
      <c r="AE175" s="91" t="n">
        <f aca="false">AE35/AE$84</f>
        <v>0.820445222435774</v>
      </c>
      <c r="AF175" s="91" t="n">
        <f aca="false">AF35/AF$84</f>
        <v>0.00966921050717221</v>
      </c>
      <c r="AG175" s="91" t="n">
        <f aca="false">AG35/AG$84</f>
        <v>0.00989987355952286</v>
      </c>
      <c r="AH175" s="91" t="n">
        <f aca="false">AH35/AH$84</f>
        <v>0.00645333925170777</v>
      </c>
      <c r="AI175" s="91" t="n">
        <f aca="false">AI35/AI$84</f>
        <v>0.00503777522373534</v>
      </c>
      <c r="AJ175" s="91" t="n">
        <f aca="false">AJ35/AJ$84</f>
        <v>0</v>
      </c>
      <c r="AK175" s="91" t="n">
        <f aca="false">AK35/AK$84</f>
        <v>0.0306568184252556</v>
      </c>
    </row>
    <row r="176" customFormat="false" ht="12.75" hidden="false" customHeight="false" outlineLevel="0" collapsed="false">
      <c r="B176" s="89" t="s">
        <v>167</v>
      </c>
      <c r="C176" s="89" t="s">
        <v>168</v>
      </c>
      <c r="D176" s="91" t="n">
        <f aca="false">D36/D$84</f>
        <v>0.000353274808696395</v>
      </c>
      <c r="E176" s="91" t="n">
        <f aca="false">E36/E$84</f>
        <v>0.0669374885647419</v>
      </c>
      <c r="F176" s="91" t="n">
        <f aca="false">F36/F$84</f>
        <v>0.0105769980507003</v>
      </c>
      <c r="G176" s="91" t="n">
        <f aca="false">G36/G$84</f>
        <v>0.0186265928416872</v>
      </c>
      <c r="H176" s="91" t="n">
        <f aca="false">H36/H$84</f>
        <v>0.018554973913137</v>
      </c>
      <c r="I176" s="91" t="n">
        <f aca="false">I36/I$84</f>
        <v>0.00292117592989199</v>
      </c>
      <c r="J176" s="91" t="n">
        <f aca="false">J36/J$84</f>
        <v>0.0467067302352397</v>
      </c>
      <c r="K176" s="91" t="n">
        <f aca="false">K36/K$84</f>
        <v>0.00700358976162463</v>
      </c>
      <c r="L176" s="91" t="n">
        <f aca="false">L36/L$84</f>
        <v>0.00699904087038913</v>
      </c>
      <c r="M176" s="91" t="n">
        <f aca="false">M36/M$84</f>
        <v>0.0251790890974916</v>
      </c>
      <c r="N176" s="91" t="n">
        <f aca="false">N36/N$84</f>
        <v>0.0249715592341842</v>
      </c>
      <c r="O176" s="91" t="n">
        <f aca="false">O36/O$84</f>
        <v>0.00178209893276267</v>
      </c>
      <c r="P176" s="91" t="n">
        <f aca="false">P36/P$84</f>
        <v>0.00626649437425369</v>
      </c>
      <c r="Q176" s="91" t="n">
        <f aca="false">Q36/Q$84</f>
        <v>0.00621283737832608</v>
      </c>
      <c r="R176" s="91" t="n">
        <f aca="false">R36/R$84</f>
        <v>0.00620011562878168</v>
      </c>
      <c r="S176" s="91" t="n">
        <f aca="false">S36/S$84</f>
        <v>0.00508439678540642</v>
      </c>
      <c r="T176" s="91" t="n">
        <f aca="false">T36/T$84</f>
        <v>0.00184080094734961</v>
      </c>
      <c r="U176" s="91" t="n">
        <f aca="false">U36/U$84</f>
        <v>0.00252756452279474</v>
      </c>
      <c r="V176" s="91" t="n">
        <f aca="false">V36/V$84</f>
        <v>0.00265642923464353</v>
      </c>
      <c r="W176" s="91" t="n">
        <f aca="false">W36/W$84</f>
        <v>0.0170574169371281</v>
      </c>
      <c r="X176" s="91" t="n">
        <f aca="false">X36/X$84</f>
        <v>0.00519697824239434</v>
      </c>
      <c r="Y176" s="91" t="n">
        <f aca="false">Y36/Y$84</f>
        <v>0.0228193789763197</v>
      </c>
      <c r="Z176" s="91" t="n">
        <f aca="false">Z36/Z$84</f>
        <v>0.0202281878531331</v>
      </c>
      <c r="AA176" s="91" t="n">
        <f aca="false">AA36/AA$84</f>
        <v>0.0208908932543853</v>
      </c>
      <c r="AB176" s="91" t="n">
        <f aca="false">AB36/AB$84</f>
        <v>0.0201039007563585</v>
      </c>
      <c r="AC176" s="91" t="n">
        <f aca="false">AC36/AC$84</f>
        <v>0.0201188414597723</v>
      </c>
      <c r="AD176" s="91" t="n">
        <f aca="false">AD36/AD$84</f>
        <v>0.00834946076910664</v>
      </c>
      <c r="AE176" s="91" t="n">
        <f aca="false">AE36/AE$84</f>
        <v>0</v>
      </c>
      <c r="AF176" s="91" t="n">
        <f aca="false">AF36/AF$84</f>
        <v>0.0322441426799319</v>
      </c>
      <c r="AG176" s="91" t="n">
        <f aca="false">AG36/AG$84</f>
        <v>0.0330133401615119</v>
      </c>
      <c r="AH176" s="91" t="n">
        <f aca="false">AH36/AH$84</f>
        <v>0.000991713819882205</v>
      </c>
      <c r="AI176" s="91" t="n">
        <f aca="false">AI36/AI$84</f>
        <v>0.00714417379716145</v>
      </c>
      <c r="AJ176" s="91" t="n">
        <f aca="false">AJ36/AJ$84</f>
        <v>0.0167664422687309</v>
      </c>
      <c r="AK176" s="91" t="n">
        <f aca="false">AK36/AK$84</f>
        <v>0.0339803450335717</v>
      </c>
    </row>
    <row r="177" customFormat="false" ht="12.75" hidden="false" customHeight="false" outlineLevel="0" collapsed="false">
      <c r="B177" s="89" t="s">
        <v>169</v>
      </c>
      <c r="C177" s="89" t="s">
        <v>170</v>
      </c>
      <c r="D177" s="91" t="n">
        <f aca="false">D37/D$84</f>
        <v>0.000265230012175443</v>
      </c>
      <c r="E177" s="91" t="n">
        <f aca="false">E37/E$84</f>
        <v>0.055755295491403</v>
      </c>
      <c r="F177" s="91" t="n">
        <f aca="false">F37/F$84</f>
        <v>0.00794094923472959</v>
      </c>
      <c r="G177" s="91" t="n">
        <f aca="false">G37/G$84</f>
        <v>0.0139843864452658</v>
      </c>
      <c r="H177" s="91" t="n">
        <f aca="false">H37/H$84</f>
        <v>0.0139306167203271</v>
      </c>
      <c r="I177" s="91" t="n">
        <f aca="false">I37/I$84</f>
        <v>0.00219314683181307</v>
      </c>
      <c r="J177" s="91" t="n">
        <f aca="false">J37/J$84</f>
        <v>0.0350662609504494</v>
      </c>
      <c r="K177" s="91" t="n">
        <f aca="false">K37/K$84</f>
        <v>0.00525812243619078</v>
      </c>
      <c r="L177" s="91" t="n">
        <f aca="false">L37/L$84</f>
        <v>0.00525470724085818</v>
      </c>
      <c r="M177" s="91" t="n">
        <f aca="false">M37/M$84</f>
        <v>0.0189038390043644</v>
      </c>
      <c r="N177" s="91" t="n">
        <f aca="false">N37/N$84</f>
        <v>0.0187480307021113</v>
      </c>
      <c r="O177" s="91" t="n">
        <f aca="false">O37/O$84</f>
        <v>0.00133795591986493</v>
      </c>
      <c r="P177" s="91" t="n">
        <f aca="false">P37/P$84</f>
        <v>0.00470472940120971</v>
      </c>
      <c r="Q177" s="91" t="n">
        <f aca="false">Q37/Q$84</f>
        <v>0.0046644450522189</v>
      </c>
      <c r="R177" s="91" t="n">
        <f aca="false">R37/R$84</f>
        <v>0.00465489387646709</v>
      </c>
      <c r="S177" s="91" t="n">
        <f aca="false">S37/S$84</f>
        <v>0.00381723969018426</v>
      </c>
      <c r="T177" s="91" t="n">
        <f aca="false">T37/T$84</f>
        <v>0.00138202794442018</v>
      </c>
      <c r="U177" s="91" t="n">
        <f aca="false">U37/U$84</f>
        <v>0.00189763309653704</v>
      </c>
      <c r="V177" s="91" t="n">
        <f aca="false">V37/V$84</f>
        <v>0.00199438154350035</v>
      </c>
      <c r="W177" s="91" t="n">
        <f aca="false">W37/W$84</f>
        <v>0.0128062878828254</v>
      </c>
      <c r="X177" s="91" t="n">
        <f aca="false">X37/X$84</f>
        <v>0.00390176307105545</v>
      </c>
      <c r="Y177" s="91" t="n">
        <f aca="false">Y37/Y$84</f>
        <v>0.0171322268521184</v>
      </c>
      <c r="Z177" s="91" t="n">
        <f aca="false">Z37/Z$84</f>
        <v>0.0151868244734779</v>
      </c>
      <c r="AA177" s="91" t="n">
        <f aca="false">AA37/AA$84</f>
        <v>0.0156843673418514</v>
      </c>
      <c r="AB177" s="91" t="n">
        <f aca="false">AB37/AB$84</f>
        <v>0.0150935127869969</v>
      </c>
      <c r="AC177" s="91" t="n">
        <f aca="false">AC37/AC$84</f>
        <v>0.0151047298985791</v>
      </c>
      <c r="AD177" s="91" t="n">
        <f aca="false">AD37/AD$84</f>
        <v>0.0062685691901449</v>
      </c>
      <c r="AE177" s="91" t="n">
        <f aca="false">AE37/AE$84</f>
        <v>0</v>
      </c>
      <c r="AF177" s="91" t="n">
        <f aca="false">AF37/AF$84</f>
        <v>0.0277854802422736</v>
      </c>
      <c r="AG177" s="91" t="n">
        <f aca="false">AG37/AG$84</f>
        <v>0.0284483144704618</v>
      </c>
      <c r="AH177" s="91" t="n">
        <f aca="false">AH37/AH$84</f>
        <v>0.000744554273463538</v>
      </c>
      <c r="AI177" s="91" t="n">
        <f aca="false">AI37/AI$84</f>
        <v>0.00536366946229969</v>
      </c>
      <c r="AJ177" s="91" t="n">
        <f aca="false">AJ37/AJ$84</f>
        <v>0.0125878312792355</v>
      </c>
      <c r="AK177" s="91" t="n">
        <f aca="false">AK37/AK$84</f>
        <v>0.0255116048614876</v>
      </c>
    </row>
    <row r="178" customFormat="false" ht="12.75" hidden="false" customHeight="false" outlineLevel="0" collapsed="false">
      <c r="B178" s="89" t="s">
        <v>171</v>
      </c>
      <c r="C178" s="89" t="s">
        <v>172</v>
      </c>
      <c r="D178" s="91" t="n">
        <f aca="false">D38/D$84</f>
        <v>0</v>
      </c>
      <c r="E178" s="91" t="n">
        <f aca="false">E38/E$84</f>
        <v>0</v>
      </c>
      <c r="F178" s="91" t="n">
        <f aca="false">F38/F$84</f>
        <v>0</v>
      </c>
      <c r="G178" s="91" t="n">
        <f aca="false">G38/G$84</f>
        <v>0</v>
      </c>
      <c r="H178" s="91" t="n">
        <f aca="false">H38/H$84</f>
        <v>0</v>
      </c>
      <c r="I178" s="91" t="n">
        <f aca="false">I38/I$84</f>
        <v>0</v>
      </c>
      <c r="J178" s="91" t="n">
        <f aca="false">J38/J$84</f>
        <v>0</v>
      </c>
      <c r="K178" s="91" t="n">
        <f aca="false">K38/K$84</f>
        <v>0</v>
      </c>
      <c r="L178" s="91" t="n">
        <f aca="false">L38/L$84</f>
        <v>0</v>
      </c>
      <c r="M178" s="91" t="n">
        <f aca="false">M38/M$84</f>
        <v>0.00565578114552866</v>
      </c>
      <c r="N178" s="91" t="n">
        <f aca="false">N38/N$84</f>
        <v>0.00560916534129988</v>
      </c>
      <c r="O178" s="91" t="n">
        <f aca="false">O38/O$84</f>
        <v>0</v>
      </c>
      <c r="P178" s="91" t="n">
        <f aca="false">P38/P$84</f>
        <v>0</v>
      </c>
      <c r="Q178" s="91" t="n">
        <f aca="false">Q38/Q$84</f>
        <v>0</v>
      </c>
      <c r="R178" s="91" t="n">
        <f aca="false">R38/R$84</f>
        <v>0</v>
      </c>
      <c r="S178" s="91" t="n">
        <f aca="false">S38/S$84</f>
        <v>0</v>
      </c>
      <c r="T178" s="91" t="n">
        <f aca="false">T38/T$84</f>
        <v>0</v>
      </c>
      <c r="U178" s="91" t="n">
        <f aca="false">U38/U$84</f>
        <v>0</v>
      </c>
      <c r="V178" s="91" t="n">
        <f aca="false">V38/V$84</f>
        <v>0</v>
      </c>
      <c r="W178" s="91" t="n">
        <f aca="false">W38/W$84</f>
        <v>0</v>
      </c>
      <c r="X178" s="91" t="n">
        <f aca="false">X38/X$84</f>
        <v>0</v>
      </c>
      <c r="Y178" s="91" t="n">
        <f aca="false">Y38/Y$84</f>
        <v>0.00042820852920065</v>
      </c>
      <c r="Z178" s="91" t="n">
        <f aca="false">Z38/Z$84</f>
        <v>3.41426651011746E-006</v>
      </c>
      <c r="AA178" s="91" t="n">
        <f aca="false">AA38/AA$84</f>
        <v>3.52612293907678E-006</v>
      </c>
      <c r="AB178" s="91" t="n">
        <f aca="false">AB38/AB$84</f>
        <v>3.39328839407278E-006</v>
      </c>
      <c r="AC178" s="91" t="n">
        <f aca="false">AC38/AC$84</f>
        <v>3.39581019897561E-006</v>
      </c>
      <c r="AD178" s="91" t="n">
        <f aca="false">AD38/AD$84</f>
        <v>6.39026269067508E-005</v>
      </c>
      <c r="AE178" s="91" t="n">
        <f aca="false">AE38/AE$84</f>
        <v>0</v>
      </c>
      <c r="AF178" s="91" t="n">
        <f aca="false">AF38/AF$84</f>
        <v>0.00320481279562585</v>
      </c>
      <c r="AG178" s="91" t="n">
        <f aca="false">AG38/AG$84</f>
        <v>0.00328126494247931</v>
      </c>
      <c r="AH178" s="91" t="n">
        <f aca="false">AH38/AH$84</f>
        <v>0.00178961332609877</v>
      </c>
      <c r="AI178" s="91" t="n">
        <f aca="false">AI38/AI$84</f>
        <v>0</v>
      </c>
      <c r="AJ178" s="91" t="n">
        <f aca="false">AJ38/AJ$84</f>
        <v>0</v>
      </c>
      <c r="AK178" s="91" t="n">
        <f aca="false">AK38/AK$84</f>
        <v>0.000483453852685781</v>
      </c>
    </row>
    <row r="179" customFormat="false" ht="12.75" hidden="false" customHeight="false" outlineLevel="0" collapsed="false">
      <c r="B179" s="89" t="s">
        <v>173</v>
      </c>
      <c r="C179" s="89" t="s">
        <v>174</v>
      </c>
      <c r="D179" s="91" t="n">
        <f aca="false">D39/D$84</f>
        <v>0</v>
      </c>
      <c r="E179" s="91" t="n">
        <f aca="false">E39/E$84</f>
        <v>0</v>
      </c>
      <c r="F179" s="91" t="n">
        <f aca="false">F39/F$84</f>
        <v>0.00196606284793848</v>
      </c>
      <c r="G179" s="91" t="n">
        <f aca="false">G39/G$84</f>
        <v>0</v>
      </c>
      <c r="H179" s="91" t="n">
        <f aca="false">H39/H$84</f>
        <v>0</v>
      </c>
      <c r="I179" s="91" t="n">
        <f aca="false">I39/I$84</f>
        <v>0</v>
      </c>
      <c r="J179" s="91" t="n">
        <f aca="false">J39/J$84</f>
        <v>0</v>
      </c>
      <c r="K179" s="91" t="n">
        <f aca="false">K39/K$84</f>
        <v>0.0009905943017286</v>
      </c>
      <c r="L179" s="91" t="n">
        <f aca="false">L39/L$84</f>
        <v>0.000989950902287672</v>
      </c>
      <c r="M179" s="91" t="n">
        <f aca="false">M39/M$84</f>
        <v>0</v>
      </c>
      <c r="N179" s="91" t="n">
        <f aca="false">N39/N$84</f>
        <v>0</v>
      </c>
      <c r="O179" s="91" t="n">
        <f aca="false">O39/O$84</f>
        <v>0</v>
      </c>
      <c r="P179" s="91" t="n">
        <f aca="false">P39/P$84</f>
        <v>0.00798760316797251</v>
      </c>
      <c r="Q179" s="91" t="n">
        <f aca="false">Q39/Q$84</f>
        <v>0.00791920914013824</v>
      </c>
      <c r="R179" s="91" t="n">
        <f aca="false">R39/R$84</f>
        <v>0.00790299332936846</v>
      </c>
      <c r="S179" s="91" t="n">
        <f aca="false">S39/S$84</f>
        <v>0.000349082848140105</v>
      </c>
      <c r="T179" s="91" t="n">
        <f aca="false">T39/T$84</f>
        <v>0.00242677064990537</v>
      </c>
      <c r="U179" s="91" t="n">
        <f aca="false">U39/U$84</f>
        <v>0.000124700191531492</v>
      </c>
      <c r="V179" s="91" t="n">
        <f aca="false">V39/V$84</f>
        <v>0</v>
      </c>
      <c r="W179" s="91" t="n">
        <f aca="false">W39/W$84</f>
        <v>0.000250154439990353</v>
      </c>
      <c r="X179" s="91" t="n">
        <f aca="false">X39/X$84</f>
        <v>0.000528512274822167</v>
      </c>
      <c r="Y179" s="91" t="n">
        <f aca="false">Y39/Y$84</f>
        <v>0.000662294272051761</v>
      </c>
      <c r="Z179" s="91" t="n">
        <f aca="false">Z39/Z$84</f>
        <v>0.00038073987977092</v>
      </c>
      <c r="AA179" s="91" t="n">
        <f aca="false">AA39/AA$84</f>
        <v>0.000393213482281847</v>
      </c>
      <c r="AB179" s="91" t="n">
        <f aca="false">AB39/AB$84</f>
        <v>0.000378400517756558</v>
      </c>
      <c r="AC179" s="91" t="n">
        <f aca="false">AC39/AC$84</f>
        <v>0.000378681735316074</v>
      </c>
      <c r="AD179" s="91" t="n">
        <f aca="false">AD39/AD$84</f>
        <v>0.00102016409809339</v>
      </c>
      <c r="AE179" s="91" t="n">
        <f aca="false">AE39/AE$84</f>
        <v>0.000113610638901959</v>
      </c>
      <c r="AF179" s="91" t="n">
        <f aca="false">AF39/AF$84</f>
        <v>0.00313185006564154</v>
      </c>
      <c r="AG179" s="91" t="n">
        <f aca="false">AG39/AG$84</f>
        <v>0.00320656165611829</v>
      </c>
      <c r="AH179" s="91" t="n">
        <f aca="false">AH39/AH$84</f>
        <v>0.00404965416529826</v>
      </c>
      <c r="AI179" s="91" t="n">
        <f aca="false">AI39/AI$84</f>
        <v>0.0127346970250403</v>
      </c>
      <c r="AJ179" s="91" t="n">
        <f aca="false">AJ39/AJ$84</f>
        <v>0.00215520444729698</v>
      </c>
      <c r="AK179" s="91" t="n">
        <f aca="false">AK39/AK$84</f>
        <v>0.00389308230371574</v>
      </c>
    </row>
    <row r="180" customFormat="false" ht="12.75" hidden="false" customHeight="false" outlineLevel="0" collapsed="false">
      <c r="B180" s="89" t="s">
        <v>175</v>
      </c>
      <c r="C180" s="89" t="s">
        <v>176</v>
      </c>
      <c r="D180" s="91" t="n">
        <f aca="false">D40/D$84</f>
        <v>7.57865542676557E-007</v>
      </c>
      <c r="E180" s="91" t="n">
        <f aca="false">E40/E$84</f>
        <v>0.000409568198669045</v>
      </c>
      <c r="F180" s="91" t="n">
        <f aca="false">F40/F$84</f>
        <v>0.000312685329471436</v>
      </c>
      <c r="G180" s="91" t="n">
        <f aca="false">G40/G$84</f>
        <v>0.000498534146210172</v>
      </c>
      <c r="H180" s="91" t="n">
        <f aca="false">H40/H$84</f>
        <v>0.000496617291007463</v>
      </c>
      <c r="I180" s="91" t="n">
        <f aca="false">I40/I$84</f>
        <v>0</v>
      </c>
      <c r="J180" s="91" t="n">
        <f aca="false">J40/J$84</f>
        <v>0.000418057323870738</v>
      </c>
      <c r="K180" s="91" t="n">
        <f aca="false">K40/K$84</f>
        <v>0.000992495784197149</v>
      </c>
      <c r="L180" s="91" t="n">
        <f aca="false">L40/L$84</f>
        <v>0.00099185114972716</v>
      </c>
      <c r="M180" s="91" t="n">
        <f aca="false">M40/M$84</f>
        <v>0.000370566131937472</v>
      </c>
      <c r="N180" s="91" t="n">
        <f aca="false">N40/N$84</f>
        <v>0.000367511869791231</v>
      </c>
      <c r="O180" s="91" t="n">
        <f aca="false">O40/O$84</f>
        <v>0</v>
      </c>
      <c r="P180" s="91" t="n">
        <f aca="false">P40/P$84</f>
        <v>0.000633983481455456</v>
      </c>
      <c r="Q180" s="91" t="n">
        <f aca="false">Q40/Q$84</f>
        <v>0.000628554983949354</v>
      </c>
      <c r="R180" s="91" t="n">
        <f aca="false">R40/R$84</f>
        <v>0.000627267919989076</v>
      </c>
      <c r="S180" s="91" t="n">
        <f aca="false">S40/S$84</f>
        <v>0</v>
      </c>
      <c r="T180" s="91" t="n">
        <f aca="false">T40/T$84</f>
        <v>0.000454614293162725</v>
      </c>
      <c r="U180" s="91" t="n">
        <f aca="false">U40/U$84</f>
        <v>0.000252561242724384</v>
      </c>
      <c r="V180" s="91" t="n">
        <f aca="false">V40/V$84</f>
        <v>0.000671879744015598</v>
      </c>
      <c r="W180" s="91" t="n">
        <f aca="false">W40/W$84</f>
        <v>0.000234288884574262</v>
      </c>
      <c r="X180" s="91" t="n">
        <f aca="false">X40/X$84</f>
        <v>3.71576078538343E-005</v>
      </c>
      <c r="Y180" s="91" t="n">
        <f aca="false">Y40/Y$84</f>
        <v>0.000233520773641115</v>
      </c>
      <c r="Z180" s="91" t="n">
        <f aca="false">Z40/Z$84</f>
        <v>0.000180027129387793</v>
      </c>
      <c r="AA180" s="91" t="n">
        <f aca="false">AA40/AA$84</f>
        <v>0.000185925084848928</v>
      </c>
      <c r="AB180" s="91" t="n">
        <f aca="false">AB40/AB$84</f>
        <v>0.000178920997221397</v>
      </c>
      <c r="AC180" s="91" t="n">
        <f aca="false">AC40/AC$84</f>
        <v>0.000179053966717536</v>
      </c>
      <c r="AD180" s="91" t="n">
        <f aca="false">AD40/AD$84</f>
        <v>4.36086878910267E-005</v>
      </c>
      <c r="AE180" s="91" t="n">
        <f aca="false">AE40/AE$84</f>
        <v>5.32025533209343E-006</v>
      </c>
      <c r="AF180" s="91" t="n">
        <f aca="false">AF40/AF$84</f>
        <v>0.000274989244604758</v>
      </c>
      <c r="AG180" s="91" t="n">
        <f aca="false">AG40/AG$84</f>
        <v>0.000281549227808874</v>
      </c>
      <c r="AH180" s="91" t="n">
        <f aca="false">AH40/AH$84</f>
        <v>0.00285862244109319</v>
      </c>
      <c r="AI180" s="91" t="n">
        <f aca="false">AI40/AI$84</f>
        <v>0.00847588333894762</v>
      </c>
      <c r="AJ180" s="91" t="n">
        <f aca="false">AJ40/AJ$84</f>
        <v>0.00655570744472737</v>
      </c>
      <c r="AK180" s="91" t="n">
        <f aca="false">AK40/AK$84</f>
        <v>0.00335882096321262</v>
      </c>
    </row>
    <row r="181" customFormat="false" ht="12.75" hidden="false" customHeight="false" outlineLevel="0" collapsed="false">
      <c r="B181" s="89" t="s">
        <v>177</v>
      </c>
      <c r="C181" s="89" t="s">
        <v>178</v>
      </c>
      <c r="D181" s="91" t="n">
        <f aca="false">D41/D$84</f>
        <v>6.30870581360873E-007</v>
      </c>
      <c r="E181" s="91" t="n">
        <f aca="false">E41/E$84</f>
        <v>0.00365562532852464</v>
      </c>
      <c r="F181" s="91" t="n">
        <f aca="false">F41/F$84</f>
        <v>0.00145051075261187</v>
      </c>
      <c r="G181" s="91" t="n">
        <f aca="false">G41/G$84</f>
        <v>0.000558594701171263</v>
      </c>
      <c r="H181" s="91" t="n">
        <f aca="false">H41/H$84</f>
        <v>0.00055644691416954</v>
      </c>
      <c r="I181" s="91" t="n">
        <f aca="false">I41/I$84</f>
        <v>0.0037848246128766</v>
      </c>
      <c r="J181" s="91" t="n">
        <f aca="false">J41/J$84</f>
        <v>0.00370534612446645</v>
      </c>
      <c r="K181" s="91" t="n">
        <f aca="false">K41/K$84</f>
        <v>0.00791507291275945</v>
      </c>
      <c r="L181" s="91" t="n">
        <f aca="false">L41/L$84</f>
        <v>0.00790993200544951</v>
      </c>
      <c r="M181" s="91" t="n">
        <f aca="false">M41/M$84</f>
        <v>0.00232854621062848</v>
      </c>
      <c r="N181" s="91" t="n">
        <f aca="false">N41/N$84</f>
        <v>0.00230935398032478</v>
      </c>
      <c r="O181" s="91" t="n">
        <f aca="false">O41/O$84</f>
        <v>0</v>
      </c>
      <c r="P181" s="91" t="n">
        <f aca="false">P41/P$84</f>
        <v>0.00301433699006613</v>
      </c>
      <c r="Q181" s="91" t="n">
        <f aca="false">Q41/Q$84</f>
        <v>0.00298852666328035</v>
      </c>
      <c r="R181" s="91" t="n">
        <f aca="false">R41/R$84</f>
        <v>0.00298240719074281</v>
      </c>
      <c r="S181" s="91" t="n">
        <f aca="false">S41/S$84</f>
        <v>0.000907191221957888</v>
      </c>
      <c r="T181" s="91" t="n">
        <f aca="false">T41/T$84</f>
        <v>0.00136887390643266</v>
      </c>
      <c r="U181" s="91" t="n">
        <f aca="false">U41/U$84</f>
        <v>0.00445368758388596</v>
      </c>
      <c r="V181" s="91" t="n">
        <f aca="false">V41/V$84</f>
        <v>0.00994299304133014</v>
      </c>
      <c r="W181" s="91" t="n">
        <f aca="false">W41/W$84</f>
        <v>0.0052794868965374</v>
      </c>
      <c r="X181" s="91" t="n">
        <f aca="false">X41/X$84</f>
        <v>0.0017811763656381</v>
      </c>
      <c r="Y181" s="91" t="n">
        <f aca="false">Y41/Y$84</f>
        <v>0.0149773393305005</v>
      </c>
      <c r="Z181" s="91" t="n">
        <f aca="false">Z41/Z$84</f>
        <v>0.00267825498594745</v>
      </c>
      <c r="AA181" s="91" t="n">
        <f aca="false">AA41/AA$84</f>
        <v>0.00276599858700579</v>
      </c>
      <c r="AB181" s="91" t="n">
        <f aca="false">AB41/AB$84</f>
        <v>0.00266179911065888</v>
      </c>
      <c r="AC181" s="91" t="n">
        <f aca="false">AC41/AC$84</f>
        <v>0.00266377729148764</v>
      </c>
      <c r="AD181" s="91" t="n">
        <f aca="false">AD41/AD$84</f>
        <v>0.0044968703996875</v>
      </c>
      <c r="AE181" s="91" t="n">
        <f aca="false">AE41/AE$84</f>
        <v>0.000122049649338246</v>
      </c>
      <c r="AF181" s="91" t="n">
        <f aca="false">AF41/AF$84</f>
        <v>0.0252096002127022</v>
      </c>
      <c r="AG181" s="91" t="n">
        <f aca="false">AG41/AG$84</f>
        <v>0.0258109857476731</v>
      </c>
      <c r="AH181" s="91" t="n">
        <f aca="false">AH41/AH$84</f>
        <v>0.00152395216388478</v>
      </c>
      <c r="AI181" s="91" t="n">
        <f aca="false">AI41/AI$84</f>
        <v>0.00482325362461547</v>
      </c>
      <c r="AJ181" s="91" t="n">
        <f aca="false">AJ41/AJ$84</f>
        <v>0.00688929481785259</v>
      </c>
      <c r="AK181" s="91" t="n">
        <f aca="false">AK41/AK$84</f>
        <v>0.0552882775972036</v>
      </c>
    </row>
    <row r="183" customFormat="false" ht="12.75" hidden="false" customHeight="false" outlineLevel="0" collapsed="false">
      <c r="B183" s="30" t="s">
        <v>346</v>
      </c>
    </row>
    <row r="185" customFormat="false" ht="91.7" hidden="false" customHeight="false" outlineLevel="0" collapsed="false">
      <c r="B185" s="89"/>
      <c r="C185" s="89"/>
      <c r="D185" s="90" t="s">
        <v>208</v>
      </c>
      <c r="E185" s="90" t="s">
        <v>209</v>
      </c>
      <c r="F185" s="90" t="s">
        <v>210</v>
      </c>
      <c r="G185" s="90" t="s">
        <v>211</v>
      </c>
      <c r="H185" s="90" t="s">
        <v>212</v>
      </c>
      <c r="I185" s="90" t="s">
        <v>213</v>
      </c>
      <c r="J185" s="90" t="s">
        <v>214</v>
      </c>
      <c r="K185" s="90" t="s">
        <v>215</v>
      </c>
      <c r="L185" s="90" t="s">
        <v>216</v>
      </c>
      <c r="M185" s="90" t="s">
        <v>217</v>
      </c>
      <c r="N185" s="90" t="s">
        <v>218</v>
      </c>
      <c r="O185" s="90" t="s">
        <v>219</v>
      </c>
      <c r="P185" s="90" t="s">
        <v>135</v>
      </c>
      <c r="Q185" s="90" t="s">
        <v>220</v>
      </c>
      <c r="R185" s="90" t="s">
        <v>221</v>
      </c>
      <c r="S185" s="90" t="s">
        <v>222</v>
      </c>
      <c r="T185" s="90" t="s">
        <v>223</v>
      </c>
      <c r="U185" s="90" t="s">
        <v>145</v>
      </c>
      <c r="V185" s="90" t="s">
        <v>224</v>
      </c>
      <c r="W185" s="90" t="s">
        <v>225</v>
      </c>
      <c r="X185" s="90" t="s">
        <v>226</v>
      </c>
      <c r="Y185" s="90" t="s">
        <v>227</v>
      </c>
      <c r="Z185" s="90" t="s">
        <v>228</v>
      </c>
      <c r="AA185" s="90" t="s">
        <v>229</v>
      </c>
      <c r="AB185" s="90" t="s">
        <v>230</v>
      </c>
      <c r="AC185" s="90" t="s">
        <v>231</v>
      </c>
      <c r="AD185" s="90" t="s">
        <v>232</v>
      </c>
      <c r="AE185" s="90" t="s">
        <v>233</v>
      </c>
      <c r="AF185" s="90" t="s">
        <v>234</v>
      </c>
      <c r="AG185" s="90" t="s">
        <v>235</v>
      </c>
      <c r="AH185" s="90" t="s">
        <v>236</v>
      </c>
      <c r="AI185" s="90" t="s">
        <v>173</v>
      </c>
      <c r="AJ185" s="90" t="s">
        <v>237</v>
      </c>
      <c r="AK185" s="90" t="s">
        <v>238</v>
      </c>
    </row>
    <row r="186" customFormat="false" ht="12.75" hidden="false" customHeight="false" outlineLevel="0" collapsed="false">
      <c r="B186" s="89"/>
      <c r="C186" s="89"/>
      <c r="D186" s="89" t="s">
        <v>112</v>
      </c>
      <c r="E186" s="89" t="s">
        <v>114</v>
      </c>
      <c r="F186" s="89" t="s">
        <v>116</v>
      </c>
      <c r="G186" s="89" t="s">
        <v>118</v>
      </c>
      <c r="H186" s="89" t="s">
        <v>120</v>
      </c>
      <c r="I186" s="89" t="s">
        <v>122</v>
      </c>
      <c r="J186" s="89" t="s">
        <v>124</v>
      </c>
      <c r="K186" s="89" t="s">
        <v>126</v>
      </c>
      <c r="L186" s="89" t="s">
        <v>128</v>
      </c>
      <c r="M186" s="89" t="s">
        <v>130</v>
      </c>
      <c r="N186" s="89" t="s">
        <v>132</v>
      </c>
      <c r="O186" s="89" t="s">
        <v>134</v>
      </c>
      <c r="P186" s="89" t="s">
        <v>136</v>
      </c>
      <c r="Q186" s="89" t="s">
        <v>138</v>
      </c>
      <c r="R186" s="89" t="s">
        <v>140</v>
      </c>
      <c r="S186" s="89" t="s">
        <v>142</v>
      </c>
      <c r="T186" s="89" t="s">
        <v>144</v>
      </c>
      <c r="U186" s="89" t="s">
        <v>146</v>
      </c>
      <c r="V186" s="89" t="s">
        <v>148</v>
      </c>
      <c r="W186" s="89" t="s">
        <v>150</v>
      </c>
      <c r="X186" s="89" t="s">
        <v>152</v>
      </c>
      <c r="Y186" s="89" t="s">
        <v>154</v>
      </c>
      <c r="Z186" s="89" t="s">
        <v>156</v>
      </c>
      <c r="AA186" s="89" t="s">
        <v>158</v>
      </c>
      <c r="AB186" s="89" t="s">
        <v>160</v>
      </c>
      <c r="AC186" s="89" t="s">
        <v>162</v>
      </c>
      <c r="AD186" s="89" t="s">
        <v>164</v>
      </c>
      <c r="AE186" s="89" t="s">
        <v>166</v>
      </c>
      <c r="AF186" s="89" t="s">
        <v>168</v>
      </c>
      <c r="AG186" s="89" t="s">
        <v>170</v>
      </c>
      <c r="AH186" s="89" t="s">
        <v>172</v>
      </c>
      <c r="AI186" s="89" t="s">
        <v>174</v>
      </c>
      <c r="AJ186" s="89" t="s">
        <v>176</v>
      </c>
      <c r="AK186" s="89" t="s">
        <v>178</v>
      </c>
    </row>
    <row r="187" customFormat="false" ht="12.75" hidden="false" customHeight="false" outlineLevel="0" collapsed="false">
      <c r="B187" s="89" t="s">
        <v>111</v>
      </c>
      <c r="C187" s="89" t="s">
        <v>112</v>
      </c>
      <c r="D187" s="92" t="n">
        <f aca="false" t="array" ref="D187:AK220">_xlfn.MUNIT(34)</f>
        <v>1</v>
      </c>
      <c r="E187" s="92" t="n">
        <v>0</v>
      </c>
      <c r="F187" s="92" t="n">
        <v>0</v>
      </c>
      <c r="G187" s="92" t="n">
        <v>0</v>
      </c>
      <c r="H187" s="92" t="n">
        <v>0</v>
      </c>
      <c r="I187" s="92" t="n">
        <v>0</v>
      </c>
      <c r="J187" s="92" t="n">
        <v>0</v>
      </c>
      <c r="K187" s="92" t="n">
        <v>0</v>
      </c>
      <c r="L187" s="92" t="n">
        <v>0</v>
      </c>
      <c r="M187" s="92" t="n">
        <v>0</v>
      </c>
      <c r="N187" s="92" t="n">
        <v>0</v>
      </c>
      <c r="O187" s="92" t="n">
        <v>0</v>
      </c>
      <c r="P187" s="92" t="n">
        <v>0</v>
      </c>
      <c r="Q187" s="92" t="n">
        <v>0</v>
      </c>
      <c r="R187" s="92" t="n">
        <v>0</v>
      </c>
      <c r="S187" s="92" t="n">
        <v>0</v>
      </c>
      <c r="T187" s="92" t="n">
        <v>0</v>
      </c>
      <c r="U187" s="92" t="n">
        <v>0</v>
      </c>
      <c r="V187" s="92" t="n">
        <v>0</v>
      </c>
      <c r="W187" s="92" t="n">
        <v>0</v>
      </c>
      <c r="X187" s="92" t="n">
        <v>0</v>
      </c>
      <c r="Y187" s="92" t="n">
        <v>0</v>
      </c>
      <c r="Z187" s="92" t="n">
        <v>0</v>
      </c>
      <c r="AA187" s="92" t="n">
        <v>0</v>
      </c>
      <c r="AB187" s="92" t="n">
        <v>0</v>
      </c>
      <c r="AC187" s="92" t="n">
        <v>0</v>
      </c>
      <c r="AD187" s="92" t="n">
        <v>0</v>
      </c>
      <c r="AE187" s="92" t="n">
        <v>0</v>
      </c>
      <c r="AF187" s="92" t="n">
        <v>0</v>
      </c>
      <c r="AG187" s="92" t="n">
        <v>0</v>
      </c>
      <c r="AH187" s="92" t="n">
        <v>0</v>
      </c>
      <c r="AI187" s="92" t="n">
        <v>0</v>
      </c>
      <c r="AJ187" s="92" t="n">
        <v>0</v>
      </c>
      <c r="AK187" s="92" t="n">
        <v>0</v>
      </c>
    </row>
    <row r="188" customFormat="false" ht="12.75" hidden="false" customHeight="false" outlineLevel="0" collapsed="false">
      <c r="B188" s="89" t="s">
        <v>113</v>
      </c>
      <c r="C188" s="89" t="s">
        <v>114</v>
      </c>
      <c r="D188" s="92" t="n">
        <v>0</v>
      </c>
      <c r="E188" s="92" t="n">
        <v>1</v>
      </c>
      <c r="F188" s="92" t="n">
        <v>0</v>
      </c>
      <c r="G188" s="92" t="n">
        <v>0</v>
      </c>
      <c r="H188" s="92" t="n">
        <v>0</v>
      </c>
      <c r="I188" s="92" t="n">
        <v>0</v>
      </c>
      <c r="J188" s="92" t="n">
        <v>0</v>
      </c>
      <c r="K188" s="92" t="n">
        <v>0</v>
      </c>
      <c r="L188" s="92" t="n">
        <v>0</v>
      </c>
      <c r="M188" s="92" t="n">
        <v>0</v>
      </c>
      <c r="N188" s="92" t="n">
        <v>0</v>
      </c>
      <c r="O188" s="92" t="n">
        <v>0</v>
      </c>
      <c r="P188" s="92" t="n">
        <v>0</v>
      </c>
      <c r="Q188" s="92" t="n">
        <v>0</v>
      </c>
      <c r="R188" s="92" t="n">
        <v>0</v>
      </c>
      <c r="S188" s="92" t="n">
        <v>0</v>
      </c>
      <c r="T188" s="92" t="n">
        <v>0</v>
      </c>
      <c r="U188" s="92" t="n">
        <v>0</v>
      </c>
      <c r="V188" s="92" t="n">
        <v>0</v>
      </c>
      <c r="W188" s="92" t="n">
        <v>0</v>
      </c>
      <c r="X188" s="92" t="n">
        <v>0</v>
      </c>
      <c r="Y188" s="92" t="n">
        <v>0</v>
      </c>
      <c r="Z188" s="92" t="n">
        <v>0</v>
      </c>
      <c r="AA188" s="92" t="n">
        <v>0</v>
      </c>
      <c r="AB188" s="92" t="n">
        <v>0</v>
      </c>
      <c r="AC188" s="92" t="n">
        <v>0</v>
      </c>
      <c r="AD188" s="92" t="n">
        <v>0</v>
      </c>
      <c r="AE188" s="92" t="n">
        <v>0</v>
      </c>
      <c r="AF188" s="92" t="n">
        <v>0</v>
      </c>
      <c r="AG188" s="92" t="n">
        <v>0</v>
      </c>
      <c r="AH188" s="92" t="n">
        <v>0</v>
      </c>
      <c r="AI188" s="92" t="n">
        <v>0</v>
      </c>
      <c r="AJ188" s="92" t="n">
        <v>0</v>
      </c>
      <c r="AK188" s="92" t="n">
        <v>0</v>
      </c>
    </row>
    <row r="189" customFormat="false" ht="12.75" hidden="false" customHeight="false" outlineLevel="0" collapsed="false">
      <c r="B189" s="89" t="s">
        <v>115</v>
      </c>
      <c r="C189" s="89" t="s">
        <v>116</v>
      </c>
      <c r="D189" s="92" t="n">
        <v>0</v>
      </c>
      <c r="E189" s="92" t="n">
        <v>0</v>
      </c>
      <c r="F189" s="92" t="n">
        <v>1</v>
      </c>
      <c r="G189" s="92" t="n">
        <v>0</v>
      </c>
      <c r="H189" s="92" t="n">
        <v>0</v>
      </c>
      <c r="I189" s="92" t="n">
        <v>0</v>
      </c>
      <c r="J189" s="92" t="n">
        <v>0</v>
      </c>
      <c r="K189" s="92" t="n">
        <v>0</v>
      </c>
      <c r="L189" s="92" t="n">
        <v>0</v>
      </c>
      <c r="M189" s="92" t="n">
        <v>0</v>
      </c>
      <c r="N189" s="92" t="n">
        <v>0</v>
      </c>
      <c r="O189" s="92" t="n">
        <v>0</v>
      </c>
      <c r="P189" s="92" t="n">
        <v>0</v>
      </c>
      <c r="Q189" s="92" t="n">
        <v>0</v>
      </c>
      <c r="R189" s="92" t="n">
        <v>0</v>
      </c>
      <c r="S189" s="92" t="n">
        <v>0</v>
      </c>
      <c r="T189" s="92" t="n">
        <v>0</v>
      </c>
      <c r="U189" s="92" t="n">
        <v>0</v>
      </c>
      <c r="V189" s="92" t="n">
        <v>0</v>
      </c>
      <c r="W189" s="92" t="n">
        <v>0</v>
      </c>
      <c r="X189" s="92" t="n">
        <v>0</v>
      </c>
      <c r="Y189" s="92" t="n">
        <v>0</v>
      </c>
      <c r="Z189" s="92" t="n">
        <v>0</v>
      </c>
      <c r="AA189" s="92" t="n">
        <v>0</v>
      </c>
      <c r="AB189" s="92" t="n">
        <v>0</v>
      </c>
      <c r="AC189" s="92" t="n">
        <v>0</v>
      </c>
      <c r="AD189" s="92" t="n">
        <v>0</v>
      </c>
      <c r="AE189" s="92" t="n">
        <v>0</v>
      </c>
      <c r="AF189" s="92" t="n">
        <v>0</v>
      </c>
      <c r="AG189" s="92" t="n">
        <v>0</v>
      </c>
      <c r="AH189" s="92" t="n">
        <v>0</v>
      </c>
      <c r="AI189" s="92" t="n">
        <v>0</v>
      </c>
      <c r="AJ189" s="92" t="n">
        <v>0</v>
      </c>
      <c r="AK189" s="92" t="n">
        <v>0</v>
      </c>
    </row>
    <row r="190" customFormat="false" ht="12.75" hidden="false" customHeight="false" outlineLevel="0" collapsed="false">
      <c r="B190" s="89" t="s">
        <v>117</v>
      </c>
      <c r="C190" s="89" t="s">
        <v>118</v>
      </c>
      <c r="D190" s="92" t="n">
        <v>0</v>
      </c>
      <c r="E190" s="92" t="n">
        <v>0</v>
      </c>
      <c r="F190" s="92" t="n">
        <v>0</v>
      </c>
      <c r="G190" s="92" t="n">
        <v>1</v>
      </c>
      <c r="H190" s="92" t="n">
        <v>0</v>
      </c>
      <c r="I190" s="92" t="n">
        <v>0</v>
      </c>
      <c r="J190" s="92" t="n">
        <v>0</v>
      </c>
      <c r="K190" s="92" t="n">
        <v>0</v>
      </c>
      <c r="L190" s="92" t="n">
        <v>0</v>
      </c>
      <c r="M190" s="92" t="n">
        <v>0</v>
      </c>
      <c r="N190" s="92" t="n">
        <v>0</v>
      </c>
      <c r="O190" s="92" t="n">
        <v>0</v>
      </c>
      <c r="P190" s="92" t="n">
        <v>0</v>
      </c>
      <c r="Q190" s="92" t="n">
        <v>0</v>
      </c>
      <c r="R190" s="92" t="n">
        <v>0</v>
      </c>
      <c r="S190" s="92" t="n">
        <v>0</v>
      </c>
      <c r="T190" s="92" t="n">
        <v>0</v>
      </c>
      <c r="U190" s="92" t="n">
        <v>0</v>
      </c>
      <c r="V190" s="92" t="n">
        <v>0</v>
      </c>
      <c r="W190" s="92" t="n">
        <v>0</v>
      </c>
      <c r="X190" s="92" t="n">
        <v>0</v>
      </c>
      <c r="Y190" s="92" t="n">
        <v>0</v>
      </c>
      <c r="Z190" s="92" t="n">
        <v>0</v>
      </c>
      <c r="AA190" s="92" t="n">
        <v>0</v>
      </c>
      <c r="AB190" s="92" t="n">
        <v>0</v>
      </c>
      <c r="AC190" s="92" t="n">
        <v>0</v>
      </c>
      <c r="AD190" s="92" t="n">
        <v>0</v>
      </c>
      <c r="AE190" s="92" t="n">
        <v>0</v>
      </c>
      <c r="AF190" s="92" t="n">
        <v>0</v>
      </c>
      <c r="AG190" s="92" t="n">
        <v>0</v>
      </c>
      <c r="AH190" s="92" t="n">
        <v>0</v>
      </c>
      <c r="AI190" s="92" t="n">
        <v>0</v>
      </c>
      <c r="AJ190" s="92" t="n">
        <v>0</v>
      </c>
      <c r="AK190" s="92" t="n">
        <v>0</v>
      </c>
    </row>
    <row r="191" customFormat="false" ht="12.75" hidden="false" customHeight="false" outlineLevel="0" collapsed="false">
      <c r="B191" s="89" t="s">
        <v>119</v>
      </c>
      <c r="C191" s="89" t="s">
        <v>120</v>
      </c>
      <c r="D191" s="92" t="n">
        <v>0</v>
      </c>
      <c r="E191" s="92" t="n">
        <v>0</v>
      </c>
      <c r="F191" s="92" t="n">
        <v>0</v>
      </c>
      <c r="G191" s="92" t="n">
        <v>0</v>
      </c>
      <c r="H191" s="92" t="n">
        <v>1</v>
      </c>
      <c r="I191" s="92" t="n">
        <v>0</v>
      </c>
      <c r="J191" s="92" t="n">
        <v>0</v>
      </c>
      <c r="K191" s="92" t="n">
        <v>0</v>
      </c>
      <c r="L191" s="92" t="n">
        <v>0</v>
      </c>
      <c r="M191" s="92" t="n">
        <v>0</v>
      </c>
      <c r="N191" s="92" t="n">
        <v>0</v>
      </c>
      <c r="O191" s="92" t="n">
        <v>0</v>
      </c>
      <c r="P191" s="92" t="n">
        <v>0</v>
      </c>
      <c r="Q191" s="92" t="n">
        <v>0</v>
      </c>
      <c r="R191" s="92" t="n">
        <v>0</v>
      </c>
      <c r="S191" s="92" t="n">
        <v>0</v>
      </c>
      <c r="T191" s="92" t="n">
        <v>0</v>
      </c>
      <c r="U191" s="92" t="n">
        <v>0</v>
      </c>
      <c r="V191" s="92" t="n">
        <v>0</v>
      </c>
      <c r="W191" s="92" t="n">
        <v>0</v>
      </c>
      <c r="X191" s="92" t="n">
        <v>0</v>
      </c>
      <c r="Y191" s="92" t="n">
        <v>0</v>
      </c>
      <c r="Z191" s="92" t="n">
        <v>0</v>
      </c>
      <c r="AA191" s="92" t="n">
        <v>0</v>
      </c>
      <c r="AB191" s="92" t="n">
        <v>0</v>
      </c>
      <c r="AC191" s="92" t="n">
        <v>0</v>
      </c>
      <c r="AD191" s="92" t="n">
        <v>0</v>
      </c>
      <c r="AE191" s="92" t="n">
        <v>0</v>
      </c>
      <c r="AF191" s="92" t="n">
        <v>0</v>
      </c>
      <c r="AG191" s="92" t="n">
        <v>0</v>
      </c>
      <c r="AH191" s="92" t="n">
        <v>0</v>
      </c>
      <c r="AI191" s="92" t="n">
        <v>0</v>
      </c>
      <c r="AJ191" s="92" t="n">
        <v>0</v>
      </c>
      <c r="AK191" s="92" t="n">
        <v>0</v>
      </c>
    </row>
    <row r="192" customFormat="false" ht="12.75" hidden="false" customHeight="false" outlineLevel="0" collapsed="false">
      <c r="B192" s="89" t="s">
        <v>121</v>
      </c>
      <c r="C192" s="89" t="s">
        <v>122</v>
      </c>
      <c r="D192" s="92" t="n">
        <v>0</v>
      </c>
      <c r="E192" s="92" t="n">
        <v>0</v>
      </c>
      <c r="F192" s="92" t="n">
        <v>0</v>
      </c>
      <c r="G192" s="92" t="n">
        <v>0</v>
      </c>
      <c r="H192" s="92" t="n">
        <v>0</v>
      </c>
      <c r="I192" s="92" t="n">
        <v>1</v>
      </c>
      <c r="J192" s="92" t="n">
        <v>0</v>
      </c>
      <c r="K192" s="92" t="n">
        <v>0</v>
      </c>
      <c r="L192" s="92" t="n">
        <v>0</v>
      </c>
      <c r="M192" s="92" t="n">
        <v>0</v>
      </c>
      <c r="N192" s="92" t="n">
        <v>0</v>
      </c>
      <c r="O192" s="92" t="n">
        <v>0</v>
      </c>
      <c r="P192" s="92" t="n">
        <v>0</v>
      </c>
      <c r="Q192" s="92" t="n">
        <v>0</v>
      </c>
      <c r="R192" s="92" t="n">
        <v>0</v>
      </c>
      <c r="S192" s="92" t="n">
        <v>0</v>
      </c>
      <c r="T192" s="92" t="n">
        <v>0</v>
      </c>
      <c r="U192" s="92" t="n">
        <v>0</v>
      </c>
      <c r="V192" s="92" t="n">
        <v>0</v>
      </c>
      <c r="W192" s="92" t="n">
        <v>0</v>
      </c>
      <c r="X192" s="92" t="n">
        <v>0</v>
      </c>
      <c r="Y192" s="92" t="n">
        <v>0</v>
      </c>
      <c r="Z192" s="92" t="n">
        <v>0</v>
      </c>
      <c r="AA192" s="92" t="n">
        <v>0</v>
      </c>
      <c r="AB192" s="92" t="n">
        <v>0</v>
      </c>
      <c r="AC192" s="92" t="n">
        <v>0</v>
      </c>
      <c r="AD192" s="92" t="n">
        <v>0</v>
      </c>
      <c r="AE192" s="92" t="n">
        <v>0</v>
      </c>
      <c r="AF192" s="92" t="n">
        <v>0</v>
      </c>
      <c r="AG192" s="92" t="n">
        <v>0</v>
      </c>
      <c r="AH192" s="92" t="n">
        <v>0</v>
      </c>
      <c r="AI192" s="92" t="n">
        <v>0</v>
      </c>
      <c r="AJ192" s="92" t="n">
        <v>0</v>
      </c>
      <c r="AK192" s="92" t="n">
        <v>0</v>
      </c>
    </row>
    <row r="193" customFormat="false" ht="12.75" hidden="false" customHeight="false" outlineLevel="0" collapsed="false">
      <c r="B193" s="89" t="s">
        <v>123</v>
      </c>
      <c r="C193" s="89" t="s">
        <v>124</v>
      </c>
      <c r="D193" s="92" t="n">
        <v>0</v>
      </c>
      <c r="E193" s="92" t="n">
        <v>0</v>
      </c>
      <c r="F193" s="92" t="n">
        <v>0</v>
      </c>
      <c r="G193" s="92" t="n">
        <v>0</v>
      </c>
      <c r="H193" s="92" t="n">
        <v>0</v>
      </c>
      <c r="I193" s="92" t="n">
        <v>0</v>
      </c>
      <c r="J193" s="92" t="n">
        <v>1</v>
      </c>
      <c r="K193" s="92" t="n">
        <v>0</v>
      </c>
      <c r="L193" s="92" t="n">
        <v>0</v>
      </c>
      <c r="M193" s="92" t="n">
        <v>0</v>
      </c>
      <c r="N193" s="92" t="n">
        <v>0</v>
      </c>
      <c r="O193" s="92" t="n">
        <v>0</v>
      </c>
      <c r="P193" s="92" t="n">
        <v>0</v>
      </c>
      <c r="Q193" s="92" t="n">
        <v>0</v>
      </c>
      <c r="R193" s="92" t="n">
        <v>0</v>
      </c>
      <c r="S193" s="92" t="n">
        <v>0</v>
      </c>
      <c r="T193" s="92" t="n">
        <v>0</v>
      </c>
      <c r="U193" s="92" t="n">
        <v>0</v>
      </c>
      <c r="V193" s="92" t="n">
        <v>0</v>
      </c>
      <c r="W193" s="92" t="n">
        <v>0</v>
      </c>
      <c r="X193" s="92" t="n">
        <v>0</v>
      </c>
      <c r="Y193" s="92" t="n">
        <v>0</v>
      </c>
      <c r="Z193" s="92" t="n">
        <v>0</v>
      </c>
      <c r="AA193" s="92" t="n">
        <v>0</v>
      </c>
      <c r="AB193" s="92" t="n">
        <v>0</v>
      </c>
      <c r="AC193" s="92" t="n">
        <v>0</v>
      </c>
      <c r="AD193" s="92" t="n">
        <v>0</v>
      </c>
      <c r="AE193" s="92" t="n">
        <v>0</v>
      </c>
      <c r="AF193" s="92" t="n">
        <v>0</v>
      </c>
      <c r="AG193" s="92" t="n">
        <v>0</v>
      </c>
      <c r="AH193" s="92" t="n">
        <v>0</v>
      </c>
      <c r="AI193" s="92" t="n">
        <v>0</v>
      </c>
      <c r="AJ193" s="92" t="n">
        <v>0</v>
      </c>
      <c r="AK193" s="92" t="n">
        <v>0</v>
      </c>
    </row>
    <row r="194" customFormat="false" ht="12.75" hidden="false" customHeight="false" outlineLevel="0" collapsed="false">
      <c r="B194" s="89" t="s">
        <v>125</v>
      </c>
      <c r="C194" s="89" t="s">
        <v>126</v>
      </c>
      <c r="D194" s="92" t="n">
        <v>0</v>
      </c>
      <c r="E194" s="92" t="n">
        <v>0</v>
      </c>
      <c r="F194" s="92" t="n">
        <v>0</v>
      </c>
      <c r="G194" s="92" t="n">
        <v>0</v>
      </c>
      <c r="H194" s="92" t="n">
        <v>0</v>
      </c>
      <c r="I194" s="92" t="n">
        <v>0</v>
      </c>
      <c r="J194" s="92" t="n">
        <v>0</v>
      </c>
      <c r="K194" s="92" t="n">
        <v>1</v>
      </c>
      <c r="L194" s="92" t="n">
        <v>0</v>
      </c>
      <c r="M194" s="92" t="n">
        <v>0</v>
      </c>
      <c r="N194" s="92" t="n">
        <v>0</v>
      </c>
      <c r="O194" s="92" t="n">
        <v>0</v>
      </c>
      <c r="P194" s="92" t="n">
        <v>0</v>
      </c>
      <c r="Q194" s="92" t="n">
        <v>0</v>
      </c>
      <c r="R194" s="92" t="n">
        <v>0</v>
      </c>
      <c r="S194" s="92" t="n">
        <v>0</v>
      </c>
      <c r="T194" s="92" t="n">
        <v>0</v>
      </c>
      <c r="U194" s="92" t="n">
        <v>0</v>
      </c>
      <c r="V194" s="92" t="n">
        <v>0</v>
      </c>
      <c r="W194" s="92" t="n">
        <v>0</v>
      </c>
      <c r="X194" s="92" t="n">
        <v>0</v>
      </c>
      <c r="Y194" s="92" t="n">
        <v>0</v>
      </c>
      <c r="Z194" s="92" t="n">
        <v>0</v>
      </c>
      <c r="AA194" s="92" t="n">
        <v>0</v>
      </c>
      <c r="AB194" s="92" t="n">
        <v>0</v>
      </c>
      <c r="AC194" s="92" t="n">
        <v>0</v>
      </c>
      <c r="AD194" s="92" t="n">
        <v>0</v>
      </c>
      <c r="AE194" s="92" t="n">
        <v>0</v>
      </c>
      <c r="AF194" s="92" t="n">
        <v>0</v>
      </c>
      <c r="AG194" s="92" t="n">
        <v>0</v>
      </c>
      <c r="AH194" s="92" t="n">
        <v>0</v>
      </c>
      <c r="AI194" s="92" t="n">
        <v>0</v>
      </c>
      <c r="AJ194" s="92" t="n">
        <v>0</v>
      </c>
      <c r="AK194" s="92" t="n">
        <v>0</v>
      </c>
    </row>
    <row r="195" customFormat="false" ht="12.75" hidden="false" customHeight="false" outlineLevel="0" collapsed="false">
      <c r="B195" s="89" t="s">
        <v>127</v>
      </c>
      <c r="C195" s="89" t="s">
        <v>128</v>
      </c>
      <c r="D195" s="92" t="n">
        <v>0</v>
      </c>
      <c r="E195" s="92" t="n">
        <v>0</v>
      </c>
      <c r="F195" s="92" t="n">
        <v>0</v>
      </c>
      <c r="G195" s="92" t="n">
        <v>0</v>
      </c>
      <c r="H195" s="92" t="n">
        <v>0</v>
      </c>
      <c r="I195" s="92" t="n">
        <v>0</v>
      </c>
      <c r="J195" s="92" t="n">
        <v>0</v>
      </c>
      <c r="K195" s="92" t="n">
        <v>0</v>
      </c>
      <c r="L195" s="92" t="n">
        <v>1</v>
      </c>
      <c r="M195" s="92" t="n">
        <v>0</v>
      </c>
      <c r="N195" s="92" t="n">
        <v>0</v>
      </c>
      <c r="O195" s="92" t="n">
        <v>0</v>
      </c>
      <c r="P195" s="92" t="n">
        <v>0</v>
      </c>
      <c r="Q195" s="92" t="n">
        <v>0</v>
      </c>
      <c r="R195" s="92" t="n">
        <v>0</v>
      </c>
      <c r="S195" s="92" t="n">
        <v>0</v>
      </c>
      <c r="T195" s="92" t="n">
        <v>0</v>
      </c>
      <c r="U195" s="92" t="n">
        <v>0</v>
      </c>
      <c r="V195" s="92" t="n">
        <v>0</v>
      </c>
      <c r="W195" s="92" t="n">
        <v>0</v>
      </c>
      <c r="X195" s="92" t="n">
        <v>0</v>
      </c>
      <c r="Y195" s="92" t="n">
        <v>0</v>
      </c>
      <c r="Z195" s="92" t="n">
        <v>0</v>
      </c>
      <c r="AA195" s="92" t="n">
        <v>0</v>
      </c>
      <c r="AB195" s="92" t="n">
        <v>0</v>
      </c>
      <c r="AC195" s="92" t="n">
        <v>0</v>
      </c>
      <c r="AD195" s="92" t="n">
        <v>0</v>
      </c>
      <c r="AE195" s="92" t="n">
        <v>0</v>
      </c>
      <c r="AF195" s="92" t="n">
        <v>0</v>
      </c>
      <c r="AG195" s="92" t="n">
        <v>0</v>
      </c>
      <c r="AH195" s="92" t="n">
        <v>0</v>
      </c>
      <c r="AI195" s="92" t="n">
        <v>0</v>
      </c>
      <c r="AJ195" s="92" t="n">
        <v>0</v>
      </c>
      <c r="AK195" s="92" t="n">
        <v>0</v>
      </c>
    </row>
    <row r="196" customFormat="false" ht="12.75" hidden="false" customHeight="false" outlineLevel="0" collapsed="false">
      <c r="B196" s="89" t="s">
        <v>129</v>
      </c>
      <c r="C196" s="89" t="s">
        <v>130</v>
      </c>
      <c r="D196" s="92" t="n">
        <v>0</v>
      </c>
      <c r="E196" s="92" t="n">
        <v>0</v>
      </c>
      <c r="F196" s="92" t="n">
        <v>0</v>
      </c>
      <c r="G196" s="92" t="n">
        <v>0</v>
      </c>
      <c r="H196" s="92" t="n">
        <v>0</v>
      </c>
      <c r="I196" s="92" t="n">
        <v>0</v>
      </c>
      <c r="J196" s="92" t="n">
        <v>0</v>
      </c>
      <c r="K196" s="92" t="n">
        <v>0</v>
      </c>
      <c r="L196" s="92" t="n">
        <v>0</v>
      </c>
      <c r="M196" s="92" t="n">
        <v>1</v>
      </c>
      <c r="N196" s="92" t="n">
        <v>0</v>
      </c>
      <c r="O196" s="92" t="n">
        <v>0</v>
      </c>
      <c r="P196" s="92" t="n">
        <v>0</v>
      </c>
      <c r="Q196" s="92" t="n">
        <v>0</v>
      </c>
      <c r="R196" s="92" t="n">
        <v>0</v>
      </c>
      <c r="S196" s="92" t="n">
        <v>0</v>
      </c>
      <c r="T196" s="92" t="n">
        <v>0</v>
      </c>
      <c r="U196" s="92" t="n">
        <v>0</v>
      </c>
      <c r="V196" s="92" t="n">
        <v>0</v>
      </c>
      <c r="W196" s="92" t="n">
        <v>0</v>
      </c>
      <c r="X196" s="92" t="n">
        <v>0</v>
      </c>
      <c r="Y196" s="92" t="n">
        <v>0</v>
      </c>
      <c r="Z196" s="92" t="n">
        <v>0</v>
      </c>
      <c r="AA196" s="92" t="n">
        <v>0</v>
      </c>
      <c r="AB196" s="92" t="n">
        <v>0</v>
      </c>
      <c r="AC196" s="92" t="n">
        <v>0</v>
      </c>
      <c r="AD196" s="92" t="n">
        <v>0</v>
      </c>
      <c r="AE196" s="92" t="n">
        <v>0</v>
      </c>
      <c r="AF196" s="92" t="n">
        <v>0</v>
      </c>
      <c r="AG196" s="92" t="n">
        <v>0</v>
      </c>
      <c r="AH196" s="92" t="n">
        <v>0</v>
      </c>
      <c r="AI196" s="92" t="n">
        <v>0</v>
      </c>
      <c r="AJ196" s="92" t="n">
        <v>0</v>
      </c>
      <c r="AK196" s="92" t="n">
        <v>0</v>
      </c>
    </row>
    <row r="197" customFormat="false" ht="12.75" hidden="false" customHeight="false" outlineLevel="0" collapsed="false">
      <c r="B197" s="89" t="s">
        <v>131</v>
      </c>
      <c r="C197" s="89" t="s">
        <v>132</v>
      </c>
      <c r="D197" s="92" t="n">
        <v>0</v>
      </c>
      <c r="E197" s="92" t="n">
        <v>0</v>
      </c>
      <c r="F197" s="92" t="n">
        <v>0</v>
      </c>
      <c r="G197" s="92" t="n">
        <v>0</v>
      </c>
      <c r="H197" s="92" t="n">
        <v>0</v>
      </c>
      <c r="I197" s="92" t="n">
        <v>0</v>
      </c>
      <c r="J197" s="92" t="n">
        <v>0</v>
      </c>
      <c r="K197" s="92" t="n">
        <v>0</v>
      </c>
      <c r="L197" s="92" t="n">
        <v>0</v>
      </c>
      <c r="M197" s="92" t="n">
        <v>0</v>
      </c>
      <c r="N197" s="92" t="n">
        <v>1</v>
      </c>
      <c r="O197" s="92" t="n">
        <v>0</v>
      </c>
      <c r="P197" s="92" t="n">
        <v>0</v>
      </c>
      <c r="Q197" s="92" t="n">
        <v>0</v>
      </c>
      <c r="R197" s="92" t="n">
        <v>0</v>
      </c>
      <c r="S197" s="92" t="n">
        <v>0</v>
      </c>
      <c r="T197" s="92" t="n">
        <v>0</v>
      </c>
      <c r="U197" s="92" t="n">
        <v>0</v>
      </c>
      <c r="V197" s="92" t="n">
        <v>0</v>
      </c>
      <c r="W197" s="92" t="n">
        <v>0</v>
      </c>
      <c r="X197" s="92" t="n">
        <v>0</v>
      </c>
      <c r="Y197" s="92" t="n">
        <v>0</v>
      </c>
      <c r="Z197" s="92" t="n">
        <v>0</v>
      </c>
      <c r="AA197" s="92" t="n">
        <v>0</v>
      </c>
      <c r="AB197" s="92" t="n">
        <v>0</v>
      </c>
      <c r="AC197" s="92" t="n">
        <v>0</v>
      </c>
      <c r="AD197" s="92" t="n">
        <v>0</v>
      </c>
      <c r="AE197" s="92" t="n">
        <v>0</v>
      </c>
      <c r="AF197" s="92" t="n">
        <v>0</v>
      </c>
      <c r="AG197" s="92" t="n">
        <v>0</v>
      </c>
      <c r="AH197" s="92" t="n">
        <v>0</v>
      </c>
      <c r="AI197" s="92" t="n">
        <v>0</v>
      </c>
      <c r="AJ197" s="92" t="n">
        <v>0</v>
      </c>
      <c r="AK197" s="92" t="n">
        <v>0</v>
      </c>
    </row>
    <row r="198" customFormat="false" ht="12.75" hidden="false" customHeight="false" outlineLevel="0" collapsed="false">
      <c r="B198" s="89" t="s">
        <v>133</v>
      </c>
      <c r="C198" s="89" t="s">
        <v>134</v>
      </c>
      <c r="D198" s="92" t="n">
        <v>0</v>
      </c>
      <c r="E198" s="92" t="n">
        <v>0</v>
      </c>
      <c r="F198" s="92" t="n">
        <v>0</v>
      </c>
      <c r="G198" s="92" t="n">
        <v>0</v>
      </c>
      <c r="H198" s="92" t="n">
        <v>0</v>
      </c>
      <c r="I198" s="92" t="n">
        <v>0</v>
      </c>
      <c r="J198" s="92" t="n">
        <v>0</v>
      </c>
      <c r="K198" s="92" t="n">
        <v>0</v>
      </c>
      <c r="L198" s="92" t="n">
        <v>0</v>
      </c>
      <c r="M198" s="92" t="n">
        <v>0</v>
      </c>
      <c r="N198" s="92" t="n">
        <v>0</v>
      </c>
      <c r="O198" s="92" t="n">
        <v>1</v>
      </c>
      <c r="P198" s="92" t="n">
        <v>0</v>
      </c>
      <c r="Q198" s="92" t="n">
        <v>0</v>
      </c>
      <c r="R198" s="92" t="n">
        <v>0</v>
      </c>
      <c r="S198" s="92" t="n">
        <v>0</v>
      </c>
      <c r="T198" s="92" t="n">
        <v>0</v>
      </c>
      <c r="U198" s="92" t="n">
        <v>0</v>
      </c>
      <c r="V198" s="92" t="n">
        <v>0</v>
      </c>
      <c r="W198" s="92" t="n">
        <v>0</v>
      </c>
      <c r="X198" s="92" t="n">
        <v>0</v>
      </c>
      <c r="Y198" s="92" t="n">
        <v>0</v>
      </c>
      <c r="Z198" s="92" t="n">
        <v>0</v>
      </c>
      <c r="AA198" s="92" t="n">
        <v>0</v>
      </c>
      <c r="AB198" s="92" t="n">
        <v>0</v>
      </c>
      <c r="AC198" s="92" t="n">
        <v>0</v>
      </c>
      <c r="AD198" s="92" t="n">
        <v>0</v>
      </c>
      <c r="AE198" s="92" t="n">
        <v>0</v>
      </c>
      <c r="AF198" s="92" t="n">
        <v>0</v>
      </c>
      <c r="AG198" s="92" t="n">
        <v>0</v>
      </c>
      <c r="AH198" s="92" t="n">
        <v>0</v>
      </c>
      <c r="AI198" s="92" t="n">
        <v>0</v>
      </c>
      <c r="AJ198" s="92" t="n">
        <v>0</v>
      </c>
      <c r="AK198" s="92" t="n">
        <v>0</v>
      </c>
    </row>
    <row r="199" customFormat="false" ht="12.75" hidden="false" customHeight="false" outlineLevel="0" collapsed="false">
      <c r="B199" s="89" t="s">
        <v>135</v>
      </c>
      <c r="C199" s="89" t="s">
        <v>136</v>
      </c>
      <c r="D199" s="92" t="n">
        <v>0</v>
      </c>
      <c r="E199" s="92" t="n">
        <v>0</v>
      </c>
      <c r="F199" s="92" t="n">
        <v>0</v>
      </c>
      <c r="G199" s="92" t="n">
        <v>0</v>
      </c>
      <c r="H199" s="92" t="n">
        <v>0</v>
      </c>
      <c r="I199" s="92" t="n">
        <v>0</v>
      </c>
      <c r="J199" s="92" t="n">
        <v>0</v>
      </c>
      <c r="K199" s="92" t="n">
        <v>0</v>
      </c>
      <c r="L199" s="92" t="n">
        <v>0</v>
      </c>
      <c r="M199" s="92" t="n">
        <v>0</v>
      </c>
      <c r="N199" s="92" t="n">
        <v>0</v>
      </c>
      <c r="O199" s="92" t="n">
        <v>0</v>
      </c>
      <c r="P199" s="92" t="n">
        <v>1</v>
      </c>
      <c r="Q199" s="92" t="n">
        <v>0</v>
      </c>
      <c r="R199" s="92" t="n">
        <v>0</v>
      </c>
      <c r="S199" s="92" t="n">
        <v>0</v>
      </c>
      <c r="T199" s="92" t="n">
        <v>0</v>
      </c>
      <c r="U199" s="92" t="n">
        <v>0</v>
      </c>
      <c r="V199" s="92" t="n">
        <v>0</v>
      </c>
      <c r="W199" s="92" t="n">
        <v>0</v>
      </c>
      <c r="X199" s="92" t="n">
        <v>0</v>
      </c>
      <c r="Y199" s="92" t="n">
        <v>0</v>
      </c>
      <c r="Z199" s="92" t="n">
        <v>0</v>
      </c>
      <c r="AA199" s="92" t="n">
        <v>0</v>
      </c>
      <c r="AB199" s="92" t="n">
        <v>0</v>
      </c>
      <c r="AC199" s="92" t="n">
        <v>0</v>
      </c>
      <c r="AD199" s="92" t="n">
        <v>0</v>
      </c>
      <c r="AE199" s="92" t="n">
        <v>0</v>
      </c>
      <c r="AF199" s="92" t="n">
        <v>0</v>
      </c>
      <c r="AG199" s="92" t="n">
        <v>0</v>
      </c>
      <c r="AH199" s="92" t="n">
        <v>0</v>
      </c>
      <c r="AI199" s="92" t="n">
        <v>0</v>
      </c>
      <c r="AJ199" s="92" t="n">
        <v>0</v>
      </c>
      <c r="AK199" s="92" t="n">
        <v>0</v>
      </c>
    </row>
    <row r="200" customFormat="false" ht="12.75" hidden="false" customHeight="false" outlineLevel="0" collapsed="false">
      <c r="B200" s="89" t="s">
        <v>137</v>
      </c>
      <c r="C200" s="89" t="s">
        <v>138</v>
      </c>
      <c r="D200" s="92" t="n">
        <v>0</v>
      </c>
      <c r="E200" s="92" t="n">
        <v>0</v>
      </c>
      <c r="F200" s="92" t="n">
        <v>0</v>
      </c>
      <c r="G200" s="92" t="n">
        <v>0</v>
      </c>
      <c r="H200" s="92" t="n">
        <v>0</v>
      </c>
      <c r="I200" s="92" t="n">
        <v>0</v>
      </c>
      <c r="J200" s="92" t="n">
        <v>0</v>
      </c>
      <c r="K200" s="92" t="n">
        <v>0</v>
      </c>
      <c r="L200" s="92" t="n">
        <v>0</v>
      </c>
      <c r="M200" s="92" t="n">
        <v>0</v>
      </c>
      <c r="N200" s="92" t="n">
        <v>0</v>
      </c>
      <c r="O200" s="92" t="n">
        <v>0</v>
      </c>
      <c r="P200" s="92" t="n">
        <v>0</v>
      </c>
      <c r="Q200" s="92" t="n">
        <v>1</v>
      </c>
      <c r="R200" s="92" t="n">
        <v>0</v>
      </c>
      <c r="S200" s="92" t="n">
        <v>0</v>
      </c>
      <c r="T200" s="92" t="n">
        <v>0</v>
      </c>
      <c r="U200" s="92" t="n">
        <v>0</v>
      </c>
      <c r="V200" s="92" t="n">
        <v>0</v>
      </c>
      <c r="W200" s="92" t="n">
        <v>0</v>
      </c>
      <c r="X200" s="92" t="n">
        <v>0</v>
      </c>
      <c r="Y200" s="92" t="n">
        <v>0</v>
      </c>
      <c r="Z200" s="92" t="n">
        <v>0</v>
      </c>
      <c r="AA200" s="92" t="n">
        <v>0</v>
      </c>
      <c r="AB200" s="92" t="n">
        <v>0</v>
      </c>
      <c r="AC200" s="92" t="n">
        <v>0</v>
      </c>
      <c r="AD200" s="92" t="n">
        <v>0</v>
      </c>
      <c r="AE200" s="92" t="n">
        <v>0</v>
      </c>
      <c r="AF200" s="92" t="n">
        <v>0</v>
      </c>
      <c r="AG200" s="92" t="n">
        <v>0</v>
      </c>
      <c r="AH200" s="92" t="n">
        <v>0</v>
      </c>
      <c r="AI200" s="92" t="n">
        <v>0</v>
      </c>
      <c r="AJ200" s="92" t="n">
        <v>0</v>
      </c>
      <c r="AK200" s="92" t="n">
        <v>0</v>
      </c>
    </row>
    <row r="201" customFormat="false" ht="12.75" hidden="false" customHeight="false" outlineLevel="0" collapsed="false">
      <c r="B201" s="89" t="s">
        <v>139</v>
      </c>
      <c r="C201" s="89" t="s">
        <v>140</v>
      </c>
      <c r="D201" s="92" t="n">
        <v>0</v>
      </c>
      <c r="E201" s="92" t="n">
        <v>0</v>
      </c>
      <c r="F201" s="92" t="n">
        <v>0</v>
      </c>
      <c r="G201" s="92" t="n">
        <v>0</v>
      </c>
      <c r="H201" s="92" t="n">
        <v>0</v>
      </c>
      <c r="I201" s="92" t="n">
        <v>0</v>
      </c>
      <c r="J201" s="92" t="n">
        <v>0</v>
      </c>
      <c r="K201" s="92" t="n">
        <v>0</v>
      </c>
      <c r="L201" s="92" t="n">
        <v>0</v>
      </c>
      <c r="M201" s="92" t="n">
        <v>0</v>
      </c>
      <c r="N201" s="92" t="n">
        <v>0</v>
      </c>
      <c r="O201" s="92" t="n">
        <v>0</v>
      </c>
      <c r="P201" s="92" t="n">
        <v>0</v>
      </c>
      <c r="Q201" s="92" t="n">
        <v>0</v>
      </c>
      <c r="R201" s="92" t="n">
        <v>1</v>
      </c>
      <c r="S201" s="92" t="n">
        <v>0</v>
      </c>
      <c r="T201" s="92" t="n">
        <v>0</v>
      </c>
      <c r="U201" s="92" t="n">
        <v>0</v>
      </c>
      <c r="V201" s="92" t="n">
        <v>0</v>
      </c>
      <c r="W201" s="92" t="n">
        <v>0</v>
      </c>
      <c r="X201" s="92" t="n">
        <v>0</v>
      </c>
      <c r="Y201" s="92" t="n">
        <v>0</v>
      </c>
      <c r="Z201" s="92" t="n">
        <v>0</v>
      </c>
      <c r="AA201" s="92" t="n">
        <v>0</v>
      </c>
      <c r="AB201" s="92" t="n">
        <v>0</v>
      </c>
      <c r="AC201" s="92" t="n">
        <v>0</v>
      </c>
      <c r="AD201" s="92" t="n">
        <v>0</v>
      </c>
      <c r="AE201" s="92" t="n">
        <v>0</v>
      </c>
      <c r="AF201" s="92" t="n">
        <v>0</v>
      </c>
      <c r="AG201" s="92" t="n">
        <v>0</v>
      </c>
      <c r="AH201" s="92" t="n">
        <v>0</v>
      </c>
      <c r="AI201" s="92" t="n">
        <v>0</v>
      </c>
      <c r="AJ201" s="92" t="n">
        <v>0</v>
      </c>
      <c r="AK201" s="92" t="n">
        <v>0</v>
      </c>
    </row>
    <row r="202" customFormat="false" ht="12.75" hidden="false" customHeight="false" outlineLevel="0" collapsed="false">
      <c r="B202" s="89" t="s">
        <v>141</v>
      </c>
      <c r="C202" s="89" t="s">
        <v>142</v>
      </c>
      <c r="D202" s="92" t="n">
        <v>0</v>
      </c>
      <c r="E202" s="92" t="n">
        <v>0</v>
      </c>
      <c r="F202" s="92" t="n">
        <v>0</v>
      </c>
      <c r="G202" s="92" t="n">
        <v>0</v>
      </c>
      <c r="H202" s="92" t="n">
        <v>0</v>
      </c>
      <c r="I202" s="92" t="n">
        <v>0</v>
      </c>
      <c r="J202" s="92" t="n">
        <v>0</v>
      </c>
      <c r="K202" s="92" t="n">
        <v>0</v>
      </c>
      <c r="L202" s="92" t="n">
        <v>0</v>
      </c>
      <c r="M202" s="92" t="n">
        <v>0</v>
      </c>
      <c r="N202" s="92" t="n">
        <v>0</v>
      </c>
      <c r="O202" s="92" t="n">
        <v>0</v>
      </c>
      <c r="P202" s="92" t="n">
        <v>0</v>
      </c>
      <c r="Q202" s="92" t="n">
        <v>0</v>
      </c>
      <c r="R202" s="92" t="n">
        <v>0</v>
      </c>
      <c r="S202" s="92" t="n">
        <v>1</v>
      </c>
      <c r="T202" s="92" t="n">
        <v>0</v>
      </c>
      <c r="U202" s="92" t="n">
        <v>0</v>
      </c>
      <c r="V202" s="92" t="n">
        <v>0</v>
      </c>
      <c r="W202" s="92" t="n">
        <v>0</v>
      </c>
      <c r="X202" s="92" t="n">
        <v>0</v>
      </c>
      <c r="Y202" s="92" t="n">
        <v>0</v>
      </c>
      <c r="Z202" s="92" t="n">
        <v>0</v>
      </c>
      <c r="AA202" s="92" t="n">
        <v>0</v>
      </c>
      <c r="AB202" s="92" t="n">
        <v>0</v>
      </c>
      <c r="AC202" s="92" t="n">
        <v>0</v>
      </c>
      <c r="AD202" s="92" t="n">
        <v>0</v>
      </c>
      <c r="AE202" s="92" t="n">
        <v>0</v>
      </c>
      <c r="AF202" s="92" t="n">
        <v>0</v>
      </c>
      <c r="AG202" s="92" t="n">
        <v>0</v>
      </c>
      <c r="AH202" s="92" t="n">
        <v>0</v>
      </c>
      <c r="AI202" s="92" t="n">
        <v>0</v>
      </c>
      <c r="AJ202" s="92" t="n">
        <v>0</v>
      </c>
      <c r="AK202" s="92" t="n">
        <v>0</v>
      </c>
    </row>
    <row r="203" customFormat="false" ht="12.75" hidden="false" customHeight="false" outlineLevel="0" collapsed="false">
      <c r="B203" s="89" t="s">
        <v>143</v>
      </c>
      <c r="C203" s="89" t="s">
        <v>144</v>
      </c>
      <c r="D203" s="92" t="n">
        <v>0</v>
      </c>
      <c r="E203" s="92" t="n">
        <v>0</v>
      </c>
      <c r="F203" s="92" t="n">
        <v>0</v>
      </c>
      <c r="G203" s="92" t="n">
        <v>0</v>
      </c>
      <c r="H203" s="92" t="n">
        <v>0</v>
      </c>
      <c r="I203" s="92" t="n">
        <v>0</v>
      </c>
      <c r="J203" s="92" t="n">
        <v>0</v>
      </c>
      <c r="K203" s="92" t="n">
        <v>0</v>
      </c>
      <c r="L203" s="92" t="n">
        <v>0</v>
      </c>
      <c r="M203" s="92" t="n">
        <v>0</v>
      </c>
      <c r="N203" s="92" t="n">
        <v>0</v>
      </c>
      <c r="O203" s="92" t="n">
        <v>0</v>
      </c>
      <c r="P203" s="92" t="n">
        <v>0</v>
      </c>
      <c r="Q203" s="92" t="n">
        <v>0</v>
      </c>
      <c r="R203" s="92" t="n">
        <v>0</v>
      </c>
      <c r="S203" s="92" t="n">
        <v>0</v>
      </c>
      <c r="T203" s="92" t="n">
        <v>1</v>
      </c>
      <c r="U203" s="92" t="n">
        <v>0</v>
      </c>
      <c r="V203" s="92" t="n">
        <v>0</v>
      </c>
      <c r="W203" s="92" t="n">
        <v>0</v>
      </c>
      <c r="X203" s="92" t="n">
        <v>0</v>
      </c>
      <c r="Y203" s="92" t="n">
        <v>0</v>
      </c>
      <c r="Z203" s="92" t="n">
        <v>0</v>
      </c>
      <c r="AA203" s="92" t="n">
        <v>0</v>
      </c>
      <c r="AB203" s="92" t="n">
        <v>0</v>
      </c>
      <c r="AC203" s="92" t="n">
        <v>0</v>
      </c>
      <c r="AD203" s="92" t="n">
        <v>0</v>
      </c>
      <c r="AE203" s="92" t="n">
        <v>0</v>
      </c>
      <c r="AF203" s="92" t="n">
        <v>0</v>
      </c>
      <c r="AG203" s="92" t="n">
        <v>0</v>
      </c>
      <c r="AH203" s="92" t="n">
        <v>0</v>
      </c>
      <c r="AI203" s="92" t="n">
        <v>0</v>
      </c>
      <c r="AJ203" s="92" t="n">
        <v>0</v>
      </c>
      <c r="AK203" s="92" t="n">
        <v>0</v>
      </c>
    </row>
    <row r="204" customFormat="false" ht="12.75" hidden="false" customHeight="false" outlineLevel="0" collapsed="false">
      <c r="B204" s="89" t="s">
        <v>145</v>
      </c>
      <c r="C204" s="89" t="s">
        <v>146</v>
      </c>
      <c r="D204" s="92" t="n">
        <v>0</v>
      </c>
      <c r="E204" s="92" t="n">
        <v>0</v>
      </c>
      <c r="F204" s="92" t="n">
        <v>0</v>
      </c>
      <c r="G204" s="92" t="n">
        <v>0</v>
      </c>
      <c r="H204" s="92" t="n">
        <v>0</v>
      </c>
      <c r="I204" s="92" t="n">
        <v>0</v>
      </c>
      <c r="J204" s="92" t="n">
        <v>0</v>
      </c>
      <c r="K204" s="92" t="n">
        <v>0</v>
      </c>
      <c r="L204" s="92" t="n">
        <v>0</v>
      </c>
      <c r="M204" s="92" t="n">
        <v>0</v>
      </c>
      <c r="N204" s="92" t="n">
        <v>0</v>
      </c>
      <c r="O204" s="92" t="n">
        <v>0</v>
      </c>
      <c r="P204" s="92" t="n">
        <v>0</v>
      </c>
      <c r="Q204" s="92" t="n">
        <v>0</v>
      </c>
      <c r="R204" s="92" t="n">
        <v>0</v>
      </c>
      <c r="S204" s="92" t="n">
        <v>0</v>
      </c>
      <c r="T204" s="92" t="n">
        <v>0</v>
      </c>
      <c r="U204" s="92" t="n">
        <v>1</v>
      </c>
      <c r="V204" s="92" t="n">
        <v>0</v>
      </c>
      <c r="W204" s="92" t="n">
        <v>0</v>
      </c>
      <c r="X204" s="92" t="n">
        <v>0</v>
      </c>
      <c r="Y204" s="92" t="n">
        <v>0</v>
      </c>
      <c r="Z204" s="92" t="n">
        <v>0</v>
      </c>
      <c r="AA204" s="92" t="n">
        <v>0</v>
      </c>
      <c r="AB204" s="92" t="n">
        <v>0</v>
      </c>
      <c r="AC204" s="92" t="n">
        <v>0</v>
      </c>
      <c r="AD204" s="92" t="n">
        <v>0</v>
      </c>
      <c r="AE204" s="92" t="n">
        <v>0</v>
      </c>
      <c r="AF204" s="92" t="n">
        <v>0</v>
      </c>
      <c r="AG204" s="92" t="n">
        <v>0</v>
      </c>
      <c r="AH204" s="92" t="n">
        <v>0</v>
      </c>
      <c r="AI204" s="92" t="n">
        <v>0</v>
      </c>
      <c r="AJ204" s="92" t="n">
        <v>0</v>
      </c>
      <c r="AK204" s="92" t="n">
        <v>0</v>
      </c>
    </row>
    <row r="205" customFormat="false" ht="12.75" hidden="false" customHeight="false" outlineLevel="0" collapsed="false">
      <c r="B205" s="89" t="s">
        <v>147</v>
      </c>
      <c r="C205" s="89" t="s">
        <v>148</v>
      </c>
      <c r="D205" s="92" t="n">
        <v>0</v>
      </c>
      <c r="E205" s="92" t="n">
        <v>0</v>
      </c>
      <c r="F205" s="92" t="n">
        <v>0</v>
      </c>
      <c r="G205" s="92" t="n">
        <v>0</v>
      </c>
      <c r="H205" s="92" t="n">
        <v>0</v>
      </c>
      <c r="I205" s="92" t="n">
        <v>0</v>
      </c>
      <c r="J205" s="92" t="n">
        <v>0</v>
      </c>
      <c r="K205" s="92" t="n">
        <v>0</v>
      </c>
      <c r="L205" s="92" t="n">
        <v>0</v>
      </c>
      <c r="M205" s="92" t="n">
        <v>0</v>
      </c>
      <c r="N205" s="92" t="n">
        <v>0</v>
      </c>
      <c r="O205" s="92" t="n">
        <v>0</v>
      </c>
      <c r="P205" s="92" t="n">
        <v>0</v>
      </c>
      <c r="Q205" s="92" t="n">
        <v>0</v>
      </c>
      <c r="R205" s="92" t="n">
        <v>0</v>
      </c>
      <c r="S205" s="92" t="n">
        <v>0</v>
      </c>
      <c r="T205" s="92" t="n">
        <v>0</v>
      </c>
      <c r="U205" s="92" t="n">
        <v>0</v>
      </c>
      <c r="V205" s="92" t="n">
        <v>1</v>
      </c>
      <c r="W205" s="92" t="n">
        <v>0</v>
      </c>
      <c r="X205" s="92" t="n">
        <v>0</v>
      </c>
      <c r="Y205" s="92" t="n">
        <v>0</v>
      </c>
      <c r="Z205" s="92" t="n">
        <v>0</v>
      </c>
      <c r="AA205" s="92" t="n">
        <v>0</v>
      </c>
      <c r="AB205" s="92" t="n">
        <v>0</v>
      </c>
      <c r="AC205" s="92" t="n">
        <v>0</v>
      </c>
      <c r="AD205" s="92" t="n">
        <v>0</v>
      </c>
      <c r="AE205" s="92" t="n">
        <v>0</v>
      </c>
      <c r="AF205" s="92" t="n">
        <v>0</v>
      </c>
      <c r="AG205" s="92" t="n">
        <v>0</v>
      </c>
      <c r="AH205" s="92" t="n">
        <v>0</v>
      </c>
      <c r="AI205" s="92" t="n">
        <v>0</v>
      </c>
      <c r="AJ205" s="92" t="n">
        <v>0</v>
      </c>
      <c r="AK205" s="92" t="n">
        <v>0</v>
      </c>
    </row>
    <row r="206" customFormat="false" ht="12.75" hidden="false" customHeight="false" outlineLevel="0" collapsed="false">
      <c r="B206" s="89" t="s">
        <v>149</v>
      </c>
      <c r="C206" s="89" t="s">
        <v>150</v>
      </c>
      <c r="D206" s="92" t="n">
        <v>0</v>
      </c>
      <c r="E206" s="92" t="n">
        <v>0</v>
      </c>
      <c r="F206" s="92" t="n">
        <v>0</v>
      </c>
      <c r="G206" s="92" t="n">
        <v>0</v>
      </c>
      <c r="H206" s="92" t="n">
        <v>0</v>
      </c>
      <c r="I206" s="92" t="n">
        <v>0</v>
      </c>
      <c r="J206" s="92" t="n">
        <v>0</v>
      </c>
      <c r="K206" s="92" t="n">
        <v>0</v>
      </c>
      <c r="L206" s="92" t="n">
        <v>0</v>
      </c>
      <c r="M206" s="92" t="n">
        <v>0</v>
      </c>
      <c r="N206" s="92" t="n">
        <v>0</v>
      </c>
      <c r="O206" s="92" t="n">
        <v>0</v>
      </c>
      <c r="P206" s="92" t="n">
        <v>0</v>
      </c>
      <c r="Q206" s="92" t="n">
        <v>0</v>
      </c>
      <c r="R206" s="92" t="n">
        <v>0</v>
      </c>
      <c r="S206" s="92" t="n">
        <v>0</v>
      </c>
      <c r="T206" s="92" t="n">
        <v>0</v>
      </c>
      <c r="U206" s="92" t="n">
        <v>0</v>
      </c>
      <c r="V206" s="92" t="n">
        <v>0</v>
      </c>
      <c r="W206" s="92" t="n">
        <v>1</v>
      </c>
      <c r="X206" s="92" t="n">
        <v>0</v>
      </c>
      <c r="Y206" s="92" t="n">
        <v>0</v>
      </c>
      <c r="Z206" s="92" t="n">
        <v>0</v>
      </c>
      <c r="AA206" s="92" t="n">
        <v>0</v>
      </c>
      <c r="AB206" s="92" t="n">
        <v>0</v>
      </c>
      <c r="AC206" s="92" t="n">
        <v>0</v>
      </c>
      <c r="AD206" s="92" t="n">
        <v>0</v>
      </c>
      <c r="AE206" s="92" t="n">
        <v>0</v>
      </c>
      <c r="AF206" s="92" t="n">
        <v>0</v>
      </c>
      <c r="AG206" s="92" t="n">
        <v>0</v>
      </c>
      <c r="AH206" s="92" t="n">
        <v>0</v>
      </c>
      <c r="AI206" s="92" t="n">
        <v>0</v>
      </c>
      <c r="AJ206" s="92" t="n">
        <v>0</v>
      </c>
      <c r="AK206" s="92" t="n">
        <v>0</v>
      </c>
    </row>
    <row r="207" customFormat="false" ht="12.75" hidden="false" customHeight="false" outlineLevel="0" collapsed="false">
      <c r="B207" s="89" t="s">
        <v>151</v>
      </c>
      <c r="C207" s="89" t="s">
        <v>152</v>
      </c>
      <c r="D207" s="92" t="n">
        <v>0</v>
      </c>
      <c r="E207" s="92" t="n">
        <v>0</v>
      </c>
      <c r="F207" s="92" t="n">
        <v>0</v>
      </c>
      <c r="G207" s="92" t="n">
        <v>0</v>
      </c>
      <c r="H207" s="92" t="n">
        <v>0</v>
      </c>
      <c r="I207" s="92" t="n">
        <v>0</v>
      </c>
      <c r="J207" s="92" t="n">
        <v>0</v>
      </c>
      <c r="K207" s="92" t="n">
        <v>0</v>
      </c>
      <c r="L207" s="92" t="n">
        <v>0</v>
      </c>
      <c r="M207" s="92" t="n">
        <v>0</v>
      </c>
      <c r="N207" s="92" t="n">
        <v>0</v>
      </c>
      <c r="O207" s="92" t="n">
        <v>0</v>
      </c>
      <c r="P207" s="92" t="n">
        <v>0</v>
      </c>
      <c r="Q207" s="92" t="n">
        <v>0</v>
      </c>
      <c r="R207" s="92" t="n">
        <v>0</v>
      </c>
      <c r="S207" s="92" t="n">
        <v>0</v>
      </c>
      <c r="T207" s="92" t="n">
        <v>0</v>
      </c>
      <c r="U207" s="92" t="n">
        <v>0</v>
      </c>
      <c r="V207" s="92" t="n">
        <v>0</v>
      </c>
      <c r="W207" s="92" t="n">
        <v>0</v>
      </c>
      <c r="X207" s="92" t="n">
        <v>1</v>
      </c>
      <c r="Y207" s="92" t="n">
        <v>0</v>
      </c>
      <c r="Z207" s="92" t="n">
        <v>0</v>
      </c>
      <c r="AA207" s="92" t="n">
        <v>0</v>
      </c>
      <c r="AB207" s="92" t="n">
        <v>0</v>
      </c>
      <c r="AC207" s="92" t="n">
        <v>0</v>
      </c>
      <c r="AD207" s="92" t="n">
        <v>0</v>
      </c>
      <c r="AE207" s="92" t="n">
        <v>0</v>
      </c>
      <c r="AF207" s="92" t="n">
        <v>0</v>
      </c>
      <c r="AG207" s="92" t="n">
        <v>0</v>
      </c>
      <c r="AH207" s="92" t="n">
        <v>0</v>
      </c>
      <c r="AI207" s="92" t="n">
        <v>0</v>
      </c>
      <c r="AJ207" s="92" t="n">
        <v>0</v>
      </c>
      <c r="AK207" s="92" t="n">
        <v>0</v>
      </c>
    </row>
    <row r="208" customFormat="false" ht="12.75" hidden="false" customHeight="false" outlineLevel="0" collapsed="false">
      <c r="B208" s="89" t="s">
        <v>153</v>
      </c>
      <c r="C208" s="89" t="s">
        <v>154</v>
      </c>
      <c r="D208" s="92" t="n">
        <v>0</v>
      </c>
      <c r="E208" s="92" t="n">
        <v>0</v>
      </c>
      <c r="F208" s="92" t="n">
        <v>0</v>
      </c>
      <c r="G208" s="92" t="n">
        <v>0</v>
      </c>
      <c r="H208" s="92" t="n">
        <v>0</v>
      </c>
      <c r="I208" s="92" t="n">
        <v>0</v>
      </c>
      <c r="J208" s="92" t="n">
        <v>0</v>
      </c>
      <c r="K208" s="92" t="n">
        <v>0</v>
      </c>
      <c r="L208" s="92" t="n">
        <v>0</v>
      </c>
      <c r="M208" s="92" t="n">
        <v>0</v>
      </c>
      <c r="N208" s="92" t="n">
        <v>0</v>
      </c>
      <c r="O208" s="92" t="n">
        <v>0</v>
      </c>
      <c r="P208" s="92" t="n">
        <v>0</v>
      </c>
      <c r="Q208" s="92" t="n">
        <v>0</v>
      </c>
      <c r="R208" s="92" t="n">
        <v>0</v>
      </c>
      <c r="S208" s="92" t="n">
        <v>0</v>
      </c>
      <c r="T208" s="92" t="n">
        <v>0</v>
      </c>
      <c r="U208" s="92" t="n">
        <v>0</v>
      </c>
      <c r="V208" s="92" t="n">
        <v>0</v>
      </c>
      <c r="W208" s="92" t="n">
        <v>0</v>
      </c>
      <c r="X208" s="92" t="n">
        <v>0</v>
      </c>
      <c r="Y208" s="92" t="n">
        <v>1</v>
      </c>
      <c r="Z208" s="92" t="n">
        <v>0</v>
      </c>
      <c r="AA208" s="92" t="n">
        <v>0</v>
      </c>
      <c r="AB208" s="92" t="n">
        <v>0</v>
      </c>
      <c r="AC208" s="92" t="n">
        <v>0</v>
      </c>
      <c r="AD208" s="92" t="n">
        <v>0</v>
      </c>
      <c r="AE208" s="92" t="n">
        <v>0</v>
      </c>
      <c r="AF208" s="92" t="n">
        <v>0</v>
      </c>
      <c r="AG208" s="92" t="n">
        <v>0</v>
      </c>
      <c r="AH208" s="92" t="n">
        <v>0</v>
      </c>
      <c r="AI208" s="92" t="n">
        <v>0</v>
      </c>
      <c r="AJ208" s="92" t="n">
        <v>0</v>
      </c>
      <c r="AK208" s="92" t="n">
        <v>0</v>
      </c>
    </row>
    <row r="209" customFormat="false" ht="12.75" hidden="false" customHeight="false" outlineLevel="0" collapsed="false">
      <c r="B209" s="89" t="s">
        <v>155</v>
      </c>
      <c r="C209" s="89" t="s">
        <v>156</v>
      </c>
      <c r="D209" s="92" t="n">
        <v>0</v>
      </c>
      <c r="E209" s="92" t="n">
        <v>0</v>
      </c>
      <c r="F209" s="92" t="n">
        <v>0</v>
      </c>
      <c r="G209" s="92" t="n">
        <v>0</v>
      </c>
      <c r="H209" s="92" t="n">
        <v>0</v>
      </c>
      <c r="I209" s="92" t="n">
        <v>0</v>
      </c>
      <c r="J209" s="92" t="n">
        <v>0</v>
      </c>
      <c r="K209" s="92" t="n">
        <v>0</v>
      </c>
      <c r="L209" s="92" t="n">
        <v>0</v>
      </c>
      <c r="M209" s="92" t="n">
        <v>0</v>
      </c>
      <c r="N209" s="92" t="n">
        <v>0</v>
      </c>
      <c r="O209" s="92" t="n">
        <v>0</v>
      </c>
      <c r="P209" s="92" t="n">
        <v>0</v>
      </c>
      <c r="Q209" s="92" t="n">
        <v>0</v>
      </c>
      <c r="R209" s="92" t="n">
        <v>0</v>
      </c>
      <c r="S209" s="92" t="n">
        <v>0</v>
      </c>
      <c r="T209" s="92" t="n">
        <v>0</v>
      </c>
      <c r="U209" s="92" t="n">
        <v>0</v>
      </c>
      <c r="V209" s="92" t="n">
        <v>0</v>
      </c>
      <c r="W209" s="92" t="n">
        <v>0</v>
      </c>
      <c r="X209" s="92" t="n">
        <v>0</v>
      </c>
      <c r="Y209" s="92" t="n">
        <v>0</v>
      </c>
      <c r="Z209" s="92" t="n">
        <v>1</v>
      </c>
      <c r="AA209" s="92" t="n">
        <v>0</v>
      </c>
      <c r="AB209" s="92" t="n">
        <v>0</v>
      </c>
      <c r="AC209" s="92" t="n">
        <v>0</v>
      </c>
      <c r="AD209" s="92" t="n">
        <v>0</v>
      </c>
      <c r="AE209" s="92" t="n">
        <v>0</v>
      </c>
      <c r="AF209" s="92" t="n">
        <v>0</v>
      </c>
      <c r="AG209" s="92" t="n">
        <v>0</v>
      </c>
      <c r="AH209" s="92" t="n">
        <v>0</v>
      </c>
      <c r="AI209" s="92" t="n">
        <v>0</v>
      </c>
      <c r="AJ209" s="92" t="n">
        <v>0</v>
      </c>
      <c r="AK209" s="92" t="n">
        <v>0</v>
      </c>
    </row>
    <row r="210" customFormat="false" ht="12.75" hidden="false" customHeight="false" outlineLevel="0" collapsed="false">
      <c r="B210" s="89" t="s">
        <v>157</v>
      </c>
      <c r="C210" s="89" t="s">
        <v>158</v>
      </c>
      <c r="D210" s="92" t="n">
        <v>0</v>
      </c>
      <c r="E210" s="92" t="n">
        <v>0</v>
      </c>
      <c r="F210" s="92" t="n">
        <v>0</v>
      </c>
      <c r="G210" s="92" t="n">
        <v>0</v>
      </c>
      <c r="H210" s="92" t="n">
        <v>0</v>
      </c>
      <c r="I210" s="92" t="n">
        <v>0</v>
      </c>
      <c r="J210" s="92" t="n">
        <v>0</v>
      </c>
      <c r="K210" s="92" t="n">
        <v>0</v>
      </c>
      <c r="L210" s="92" t="n">
        <v>0</v>
      </c>
      <c r="M210" s="92" t="n">
        <v>0</v>
      </c>
      <c r="N210" s="92" t="n">
        <v>0</v>
      </c>
      <c r="O210" s="92" t="n">
        <v>0</v>
      </c>
      <c r="P210" s="92" t="n">
        <v>0</v>
      </c>
      <c r="Q210" s="92" t="n">
        <v>0</v>
      </c>
      <c r="R210" s="92" t="n">
        <v>0</v>
      </c>
      <c r="S210" s="92" t="n">
        <v>0</v>
      </c>
      <c r="T210" s="92" t="n">
        <v>0</v>
      </c>
      <c r="U210" s="92" t="n">
        <v>0</v>
      </c>
      <c r="V210" s="92" t="n">
        <v>0</v>
      </c>
      <c r="W210" s="92" t="n">
        <v>0</v>
      </c>
      <c r="X210" s="92" t="n">
        <v>0</v>
      </c>
      <c r="Y210" s="92" t="n">
        <v>0</v>
      </c>
      <c r="Z210" s="92" t="n">
        <v>0</v>
      </c>
      <c r="AA210" s="92" t="n">
        <v>1</v>
      </c>
      <c r="AB210" s="92" t="n">
        <v>0</v>
      </c>
      <c r="AC210" s="92" t="n">
        <v>0</v>
      </c>
      <c r="AD210" s="92" t="n">
        <v>0</v>
      </c>
      <c r="AE210" s="92" t="n">
        <v>0</v>
      </c>
      <c r="AF210" s="92" t="n">
        <v>0</v>
      </c>
      <c r="AG210" s="92" t="n">
        <v>0</v>
      </c>
      <c r="AH210" s="92" t="n">
        <v>0</v>
      </c>
      <c r="AI210" s="92" t="n">
        <v>0</v>
      </c>
      <c r="AJ210" s="92" t="n">
        <v>0</v>
      </c>
      <c r="AK210" s="92" t="n">
        <v>0</v>
      </c>
    </row>
    <row r="211" customFormat="false" ht="12.75" hidden="false" customHeight="false" outlineLevel="0" collapsed="false">
      <c r="B211" s="89" t="s">
        <v>159</v>
      </c>
      <c r="C211" s="89" t="s">
        <v>160</v>
      </c>
      <c r="D211" s="92" t="n">
        <v>0</v>
      </c>
      <c r="E211" s="92" t="n">
        <v>0</v>
      </c>
      <c r="F211" s="92" t="n">
        <v>0</v>
      </c>
      <c r="G211" s="92" t="n">
        <v>0</v>
      </c>
      <c r="H211" s="92" t="n">
        <v>0</v>
      </c>
      <c r="I211" s="92" t="n">
        <v>0</v>
      </c>
      <c r="J211" s="92" t="n">
        <v>0</v>
      </c>
      <c r="K211" s="92" t="n">
        <v>0</v>
      </c>
      <c r="L211" s="92" t="n">
        <v>0</v>
      </c>
      <c r="M211" s="92" t="n">
        <v>0</v>
      </c>
      <c r="N211" s="92" t="n">
        <v>0</v>
      </c>
      <c r="O211" s="92" t="n">
        <v>0</v>
      </c>
      <c r="P211" s="92" t="n">
        <v>0</v>
      </c>
      <c r="Q211" s="92" t="n">
        <v>0</v>
      </c>
      <c r="R211" s="92" t="n">
        <v>0</v>
      </c>
      <c r="S211" s="92" t="n">
        <v>0</v>
      </c>
      <c r="T211" s="92" t="n">
        <v>0</v>
      </c>
      <c r="U211" s="92" t="n">
        <v>0</v>
      </c>
      <c r="V211" s="92" t="n">
        <v>0</v>
      </c>
      <c r="W211" s="92" t="n">
        <v>0</v>
      </c>
      <c r="X211" s="92" t="n">
        <v>0</v>
      </c>
      <c r="Y211" s="92" t="n">
        <v>0</v>
      </c>
      <c r="Z211" s="92" t="n">
        <v>0</v>
      </c>
      <c r="AA211" s="92" t="n">
        <v>0</v>
      </c>
      <c r="AB211" s="92" t="n">
        <v>1</v>
      </c>
      <c r="AC211" s="92" t="n">
        <v>0</v>
      </c>
      <c r="AD211" s="92" t="n">
        <v>0</v>
      </c>
      <c r="AE211" s="92" t="n">
        <v>0</v>
      </c>
      <c r="AF211" s="92" t="n">
        <v>0</v>
      </c>
      <c r="AG211" s="92" t="n">
        <v>0</v>
      </c>
      <c r="AH211" s="92" t="n">
        <v>0</v>
      </c>
      <c r="AI211" s="92" t="n">
        <v>0</v>
      </c>
      <c r="AJ211" s="92" t="n">
        <v>0</v>
      </c>
      <c r="AK211" s="92" t="n">
        <v>0</v>
      </c>
    </row>
    <row r="212" customFormat="false" ht="12.75" hidden="false" customHeight="false" outlineLevel="0" collapsed="false">
      <c r="B212" s="89" t="s">
        <v>161</v>
      </c>
      <c r="C212" s="89" t="s">
        <v>162</v>
      </c>
      <c r="D212" s="92" t="n">
        <v>0</v>
      </c>
      <c r="E212" s="92" t="n">
        <v>0</v>
      </c>
      <c r="F212" s="92" t="n">
        <v>0</v>
      </c>
      <c r="G212" s="92" t="n">
        <v>0</v>
      </c>
      <c r="H212" s="92" t="n">
        <v>0</v>
      </c>
      <c r="I212" s="92" t="n">
        <v>0</v>
      </c>
      <c r="J212" s="92" t="n">
        <v>0</v>
      </c>
      <c r="K212" s="92" t="n">
        <v>0</v>
      </c>
      <c r="L212" s="92" t="n">
        <v>0</v>
      </c>
      <c r="M212" s="92" t="n">
        <v>0</v>
      </c>
      <c r="N212" s="92" t="n">
        <v>0</v>
      </c>
      <c r="O212" s="92" t="n">
        <v>0</v>
      </c>
      <c r="P212" s="92" t="n">
        <v>0</v>
      </c>
      <c r="Q212" s="92" t="n">
        <v>0</v>
      </c>
      <c r="R212" s="92" t="n">
        <v>0</v>
      </c>
      <c r="S212" s="92" t="n">
        <v>0</v>
      </c>
      <c r="T212" s="92" t="n">
        <v>0</v>
      </c>
      <c r="U212" s="92" t="n">
        <v>0</v>
      </c>
      <c r="V212" s="92" t="n">
        <v>0</v>
      </c>
      <c r="W212" s="92" t="n">
        <v>0</v>
      </c>
      <c r="X212" s="92" t="n">
        <v>0</v>
      </c>
      <c r="Y212" s="92" t="n">
        <v>0</v>
      </c>
      <c r="Z212" s="92" t="n">
        <v>0</v>
      </c>
      <c r="AA212" s="92" t="n">
        <v>0</v>
      </c>
      <c r="AB212" s="92" t="n">
        <v>0</v>
      </c>
      <c r="AC212" s="92" t="n">
        <v>1</v>
      </c>
      <c r="AD212" s="92" t="n">
        <v>0</v>
      </c>
      <c r="AE212" s="92" t="n">
        <v>0</v>
      </c>
      <c r="AF212" s="92" t="n">
        <v>0</v>
      </c>
      <c r="AG212" s="92" t="n">
        <v>0</v>
      </c>
      <c r="AH212" s="92" t="n">
        <v>0</v>
      </c>
      <c r="AI212" s="92" t="n">
        <v>0</v>
      </c>
      <c r="AJ212" s="92" t="n">
        <v>0</v>
      </c>
      <c r="AK212" s="92" t="n">
        <v>0</v>
      </c>
    </row>
    <row r="213" customFormat="false" ht="12.75" hidden="false" customHeight="false" outlineLevel="0" collapsed="false">
      <c r="B213" s="89" t="s">
        <v>163</v>
      </c>
      <c r="C213" s="89" t="s">
        <v>164</v>
      </c>
      <c r="D213" s="92" t="n">
        <v>0</v>
      </c>
      <c r="E213" s="92" t="n">
        <v>0</v>
      </c>
      <c r="F213" s="92" t="n">
        <v>0</v>
      </c>
      <c r="G213" s="92" t="n">
        <v>0</v>
      </c>
      <c r="H213" s="92" t="n">
        <v>0</v>
      </c>
      <c r="I213" s="92" t="n">
        <v>0</v>
      </c>
      <c r="J213" s="92" t="n">
        <v>0</v>
      </c>
      <c r="K213" s="92" t="n">
        <v>0</v>
      </c>
      <c r="L213" s="92" t="n">
        <v>0</v>
      </c>
      <c r="M213" s="92" t="n">
        <v>0</v>
      </c>
      <c r="N213" s="92" t="n">
        <v>0</v>
      </c>
      <c r="O213" s="92" t="n">
        <v>0</v>
      </c>
      <c r="P213" s="92" t="n">
        <v>0</v>
      </c>
      <c r="Q213" s="92" t="n">
        <v>0</v>
      </c>
      <c r="R213" s="92" t="n">
        <v>0</v>
      </c>
      <c r="S213" s="92" t="n">
        <v>0</v>
      </c>
      <c r="T213" s="92" t="n">
        <v>0</v>
      </c>
      <c r="U213" s="92" t="n">
        <v>0</v>
      </c>
      <c r="V213" s="92" t="n">
        <v>0</v>
      </c>
      <c r="W213" s="92" t="n">
        <v>0</v>
      </c>
      <c r="X213" s="92" t="n">
        <v>0</v>
      </c>
      <c r="Y213" s="92" t="n">
        <v>0</v>
      </c>
      <c r="Z213" s="92" t="n">
        <v>0</v>
      </c>
      <c r="AA213" s="92" t="n">
        <v>0</v>
      </c>
      <c r="AB213" s="92" t="n">
        <v>0</v>
      </c>
      <c r="AC213" s="92" t="n">
        <v>0</v>
      </c>
      <c r="AD213" s="92" t="n">
        <v>1</v>
      </c>
      <c r="AE213" s="92" t="n">
        <v>0</v>
      </c>
      <c r="AF213" s="92" t="n">
        <v>0</v>
      </c>
      <c r="AG213" s="92" t="n">
        <v>0</v>
      </c>
      <c r="AH213" s="92" t="n">
        <v>0</v>
      </c>
      <c r="AI213" s="92" t="n">
        <v>0</v>
      </c>
      <c r="AJ213" s="92" t="n">
        <v>0</v>
      </c>
      <c r="AK213" s="92" t="n">
        <v>0</v>
      </c>
    </row>
    <row r="214" customFormat="false" ht="12.75" hidden="false" customHeight="false" outlineLevel="0" collapsed="false">
      <c r="B214" s="89" t="s">
        <v>165</v>
      </c>
      <c r="C214" s="89" t="s">
        <v>166</v>
      </c>
      <c r="D214" s="92" t="n">
        <v>0</v>
      </c>
      <c r="E214" s="92" t="n">
        <v>0</v>
      </c>
      <c r="F214" s="92" t="n">
        <v>0</v>
      </c>
      <c r="G214" s="92" t="n">
        <v>0</v>
      </c>
      <c r="H214" s="92" t="n">
        <v>0</v>
      </c>
      <c r="I214" s="92" t="n">
        <v>0</v>
      </c>
      <c r="J214" s="92" t="n">
        <v>0</v>
      </c>
      <c r="K214" s="92" t="n">
        <v>0</v>
      </c>
      <c r="L214" s="92" t="n">
        <v>0</v>
      </c>
      <c r="M214" s="92" t="n">
        <v>0</v>
      </c>
      <c r="N214" s="92" t="n">
        <v>0</v>
      </c>
      <c r="O214" s="92" t="n">
        <v>0</v>
      </c>
      <c r="P214" s="92" t="n">
        <v>0</v>
      </c>
      <c r="Q214" s="92" t="n">
        <v>0</v>
      </c>
      <c r="R214" s="92" t="n">
        <v>0</v>
      </c>
      <c r="S214" s="92" t="n">
        <v>0</v>
      </c>
      <c r="T214" s="92" t="n">
        <v>0</v>
      </c>
      <c r="U214" s="92" t="n">
        <v>0</v>
      </c>
      <c r="V214" s="92" t="n">
        <v>0</v>
      </c>
      <c r="W214" s="92" t="n">
        <v>0</v>
      </c>
      <c r="X214" s="92" t="n">
        <v>0</v>
      </c>
      <c r="Y214" s="92" t="n">
        <v>0</v>
      </c>
      <c r="Z214" s="92" t="n">
        <v>0</v>
      </c>
      <c r="AA214" s="92" t="n">
        <v>0</v>
      </c>
      <c r="AB214" s="92" t="n">
        <v>0</v>
      </c>
      <c r="AC214" s="92" t="n">
        <v>0</v>
      </c>
      <c r="AD214" s="92" t="n">
        <v>0</v>
      </c>
      <c r="AE214" s="92" t="n">
        <v>1</v>
      </c>
      <c r="AF214" s="92" t="n">
        <v>0</v>
      </c>
      <c r="AG214" s="92" t="n">
        <v>0</v>
      </c>
      <c r="AH214" s="92" t="n">
        <v>0</v>
      </c>
      <c r="AI214" s="92" t="n">
        <v>0</v>
      </c>
      <c r="AJ214" s="92" t="n">
        <v>0</v>
      </c>
      <c r="AK214" s="92" t="n">
        <v>0</v>
      </c>
    </row>
    <row r="215" customFormat="false" ht="12.75" hidden="false" customHeight="false" outlineLevel="0" collapsed="false">
      <c r="B215" s="89" t="s">
        <v>167</v>
      </c>
      <c r="C215" s="89" t="s">
        <v>168</v>
      </c>
      <c r="D215" s="92" t="n">
        <v>0</v>
      </c>
      <c r="E215" s="92" t="n">
        <v>0</v>
      </c>
      <c r="F215" s="92" t="n">
        <v>0</v>
      </c>
      <c r="G215" s="92" t="n">
        <v>0</v>
      </c>
      <c r="H215" s="92" t="n">
        <v>0</v>
      </c>
      <c r="I215" s="92" t="n">
        <v>0</v>
      </c>
      <c r="J215" s="92" t="n">
        <v>0</v>
      </c>
      <c r="K215" s="92" t="n">
        <v>0</v>
      </c>
      <c r="L215" s="92" t="n">
        <v>0</v>
      </c>
      <c r="M215" s="92" t="n">
        <v>0</v>
      </c>
      <c r="N215" s="92" t="n">
        <v>0</v>
      </c>
      <c r="O215" s="92" t="n">
        <v>0</v>
      </c>
      <c r="P215" s="92" t="n">
        <v>0</v>
      </c>
      <c r="Q215" s="92" t="n">
        <v>0</v>
      </c>
      <c r="R215" s="92" t="n">
        <v>0</v>
      </c>
      <c r="S215" s="92" t="n">
        <v>0</v>
      </c>
      <c r="T215" s="92" t="n">
        <v>0</v>
      </c>
      <c r="U215" s="92" t="n">
        <v>0</v>
      </c>
      <c r="V215" s="92" t="n">
        <v>0</v>
      </c>
      <c r="W215" s="92" t="n">
        <v>0</v>
      </c>
      <c r="X215" s="92" t="n">
        <v>0</v>
      </c>
      <c r="Y215" s="92" t="n">
        <v>0</v>
      </c>
      <c r="Z215" s="92" t="n">
        <v>0</v>
      </c>
      <c r="AA215" s="92" t="n">
        <v>0</v>
      </c>
      <c r="AB215" s="92" t="n">
        <v>0</v>
      </c>
      <c r="AC215" s="92" t="n">
        <v>0</v>
      </c>
      <c r="AD215" s="92" t="n">
        <v>0</v>
      </c>
      <c r="AE215" s="92" t="n">
        <v>0</v>
      </c>
      <c r="AF215" s="92" t="n">
        <v>1</v>
      </c>
      <c r="AG215" s="92" t="n">
        <v>0</v>
      </c>
      <c r="AH215" s="92" t="n">
        <v>0</v>
      </c>
      <c r="AI215" s="92" t="n">
        <v>0</v>
      </c>
      <c r="AJ215" s="92" t="n">
        <v>0</v>
      </c>
      <c r="AK215" s="92" t="n">
        <v>0</v>
      </c>
    </row>
    <row r="216" customFormat="false" ht="12.75" hidden="false" customHeight="false" outlineLevel="0" collapsed="false">
      <c r="B216" s="89" t="s">
        <v>169</v>
      </c>
      <c r="C216" s="89" t="s">
        <v>170</v>
      </c>
      <c r="D216" s="92" t="n">
        <v>0</v>
      </c>
      <c r="E216" s="92" t="n">
        <v>0</v>
      </c>
      <c r="F216" s="92" t="n">
        <v>0</v>
      </c>
      <c r="G216" s="92" t="n">
        <v>0</v>
      </c>
      <c r="H216" s="92" t="n">
        <v>0</v>
      </c>
      <c r="I216" s="92" t="n">
        <v>0</v>
      </c>
      <c r="J216" s="92" t="n">
        <v>0</v>
      </c>
      <c r="K216" s="92" t="n">
        <v>0</v>
      </c>
      <c r="L216" s="92" t="n">
        <v>0</v>
      </c>
      <c r="M216" s="92" t="n">
        <v>0</v>
      </c>
      <c r="N216" s="92" t="n">
        <v>0</v>
      </c>
      <c r="O216" s="92" t="n">
        <v>0</v>
      </c>
      <c r="P216" s="92" t="n">
        <v>0</v>
      </c>
      <c r="Q216" s="92" t="n">
        <v>0</v>
      </c>
      <c r="R216" s="92" t="n">
        <v>0</v>
      </c>
      <c r="S216" s="92" t="n">
        <v>0</v>
      </c>
      <c r="T216" s="92" t="n">
        <v>0</v>
      </c>
      <c r="U216" s="92" t="n">
        <v>0</v>
      </c>
      <c r="V216" s="92" t="n">
        <v>0</v>
      </c>
      <c r="W216" s="92" t="n">
        <v>0</v>
      </c>
      <c r="X216" s="92" t="n">
        <v>0</v>
      </c>
      <c r="Y216" s="92" t="n">
        <v>0</v>
      </c>
      <c r="Z216" s="92" t="n">
        <v>0</v>
      </c>
      <c r="AA216" s="92" t="n">
        <v>0</v>
      </c>
      <c r="AB216" s="92" t="n">
        <v>0</v>
      </c>
      <c r="AC216" s="92" t="n">
        <v>0</v>
      </c>
      <c r="AD216" s="92" t="n">
        <v>0</v>
      </c>
      <c r="AE216" s="92" t="n">
        <v>0</v>
      </c>
      <c r="AF216" s="92" t="n">
        <v>0</v>
      </c>
      <c r="AG216" s="92" t="n">
        <v>1</v>
      </c>
      <c r="AH216" s="92" t="n">
        <v>0</v>
      </c>
      <c r="AI216" s="92" t="n">
        <v>0</v>
      </c>
      <c r="AJ216" s="92" t="n">
        <v>0</v>
      </c>
      <c r="AK216" s="92" t="n">
        <v>0</v>
      </c>
    </row>
    <row r="217" customFormat="false" ht="12.75" hidden="false" customHeight="false" outlineLevel="0" collapsed="false">
      <c r="B217" s="89" t="s">
        <v>171</v>
      </c>
      <c r="C217" s="89" t="s">
        <v>172</v>
      </c>
      <c r="D217" s="92" t="n">
        <v>0</v>
      </c>
      <c r="E217" s="92" t="n">
        <v>0</v>
      </c>
      <c r="F217" s="92" t="n">
        <v>0</v>
      </c>
      <c r="G217" s="92" t="n">
        <v>0</v>
      </c>
      <c r="H217" s="92" t="n">
        <v>0</v>
      </c>
      <c r="I217" s="92" t="n">
        <v>0</v>
      </c>
      <c r="J217" s="92" t="n">
        <v>0</v>
      </c>
      <c r="K217" s="92" t="n">
        <v>0</v>
      </c>
      <c r="L217" s="92" t="n">
        <v>0</v>
      </c>
      <c r="M217" s="92" t="n">
        <v>0</v>
      </c>
      <c r="N217" s="92" t="n">
        <v>0</v>
      </c>
      <c r="O217" s="92" t="n">
        <v>0</v>
      </c>
      <c r="P217" s="92" t="n">
        <v>0</v>
      </c>
      <c r="Q217" s="92" t="n">
        <v>0</v>
      </c>
      <c r="R217" s="92" t="n">
        <v>0</v>
      </c>
      <c r="S217" s="92" t="n">
        <v>0</v>
      </c>
      <c r="T217" s="92" t="n">
        <v>0</v>
      </c>
      <c r="U217" s="92" t="n">
        <v>0</v>
      </c>
      <c r="V217" s="92" t="n">
        <v>0</v>
      </c>
      <c r="W217" s="92" t="n">
        <v>0</v>
      </c>
      <c r="X217" s="92" t="n">
        <v>0</v>
      </c>
      <c r="Y217" s="92" t="n">
        <v>0</v>
      </c>
      <c r="Z217" s="92" t="n">
        <v>0</v>
      </c>
      <c r="AA217" s="92" t="n">
        <v>0</v>
      </c>
      <c r="AB217" s="92" t="n">
        <v>0</v>
      </c>
      <c r="AC217" s="92" t="n">
        <v>0</v>
      </c>
      <c r="AD217" s="92" t="n">
        <v>0</v>
      </c>
      <c r="AE217" s="92" t="n">
        <v>0</v>
      </c>
      <c r="AF217" s="92" t="n">
        <v>0</v>
      </c>
      <c r="AG217" s="92" t="n">
        <v>0</v>
      </c>
      <c r="AH217" s="92" t="n">
        <v>1</v>
      </c>
      <c r="AI217" s="92" t="n">
        <v>0</v>
      </c>
      <c r="AJ217" s="92" t="n">
        <v>0</v>
      </c>
      <c r="AK217" s="92" t="n">
        <v>0</v>
      </c>
    </row>
    <row r="218" customFormat="false" ht="12.75" hidden="false" customHeight="false" outlineLevel="0" collapsed="false">
      <c r="B218" s="89" t="s">
        <v>173</v>
      </c>
      <c r="C218" s="89" t="s">
        <v>174</v>
      </c>
      <c r="D218" s="92" t="n">
        <v>0</v>
      </c>
      <c r="E218" s="92" t="n">
        <v>0</v>
      </c>
      <c r="F218" s="92" t="n">
        <v>0</v>
      </c>
      <c r="G218" s="92" t="n">
        <v>0</v>
      </c>
      <c r="H218" s="92" t="n">
        <v>0</v>
      </c>
      <c r="I218" s="92" t="n">
        <v>0</v>
      </c>
      <c r="J218" s="92" t="n">
        <v>0</v>
      </c>
      <c r="K218" s="92" t="n">
        <v>0</v>
      </c>
      <c r="L218" s="92" t="n">
        <v>0</v>
      </c>
      <c r="M218" s="92" t="n">
        <v>0</v>
      </c>
      <c r="N218" s="92" t="n">
        <v>0</v>
      </c>
      <c r="O218" s="92" t="n">
        <v>0</v>
      </c>
      <c r="P218" s="92" t="n">
        <v>0</v>
      </c>
      <c r="Q218" s="92" t="n">
        <v>0</v>
      </c>
      <c r="R218" s="92" t="n">
        <v>0</v>
      </c>
      <c r="S218" s="92" t="n">
        <v>0</v>
      </c>
      <c r="T218" s="92" t="n">
        <v>0</v>
      </c>
      <c r="U218" s="92" t="n">
        <v>0</v>
      </c>
      <c r="V218" s="92" t="n">
        <v>0</v>
      </c>
      <c r="W218" s="92" t="n">
        <v>0</v>
      </c>
      <c r="X218" s="92" t="n">
        <v>0</v>
      </c>
      <c r="Y218" s="92" t="n">
        <v>0</v>
      </c>
      <c r="Z218" s="92" t="n">
        <v>0</v>
      </c>
      <c r="AA218" s="92" t="n">
        <v>0</v>
      </c>
      <c r="AB218" s="92" t="n">
        <v>0</v>
      </c>
      <c r="AC218" s="92" t="n">
        <v>0</v>
      </c>
      <c r="AD218" s="92" t="n">
        <v>0</v>
      </c>
      <c r="AE218" s="92" t="n">
        <v>0</v>
      </c>
      <c r="AF218" s="92" t="n">
        <v>0</v>
      </c>
      <c r="AG218" s="92" t="n">
        <v>0</v>
      </c>
      <c r="AH218" s="92" t="n">
        <v>0</v>
      </c>
      <c r="AI218" s="92" t="n">
        <v>1</v>
      </c>
      <c r="AJ218" s="92" t="n">
        <v>0</v>
      </c>
      <c r="AK218" s="92" t="n">
        <v>0</v>
      </c>
    </row>
    <row r="219" customFormat="false" ht="12.75" hidden="false" customHeight="false" outlineLevel="0" collapsed="false">
      <c r="B219" s="89" t="s">
        <v>175</v>
      </c>
      <c r="C219" s="89" t="s">
        <v>176</v>
      </c>
      <c r="D219" s="92" t="n">
        <v>0</v>
      </c>
      <c r="E219" s="92" t="n">
        <v>0</v>
      </c>
      <c r="F219" s="92" t="n">
        <v>0</v>
      </c>
      <c r="G219" s="92" t="n">
        <v>0</v>
      </c>
      <c r="H219" s="92" t="n">
        <v>0</v>
      </c>
      <c r="I219" s="92" t="n">
        <v>0</v>
      </c>
      <c r="J219" s="92" t="n">
        <v>0</v>
      </c>
      <c r="K219" s="92" t="n">
        <v>0</v>
      </c>
      <c r="L219" s="92" t="n">
        <v>0</v>
      </c>
      <c r="M219" s="92" t="n">
        <v>0</v>
      </c>
      <c r="N219" s="92" t="n">
        <v>0</v>
      </c>
      <c r="O219" s="92" t="n">
        <v>0</v>
      </c>
      <c r="P219" s="92" t="n">
        <v>0</v>
      </c>
      <c r="Q219" s="92" t="n">
        <v>0</v>
      </c>
      <c r="R219" s="92" t="n">
        <v>0</v>
      </c>
      <c r="S219" s="92" t="n">
        <v>0</v>
      </c>
      <c r="T219" s="92" t="n">
        <v>0</v>
      </c>
      <c r="U219" s="92" t="n">
        <v>0</v>
      </c>
      <c r="V219" s="92" t="n">
        <v>0</v>
      </c>
      <c r="W219" s="92" t="n">
        <v>0</v>
      </c>
      <c r="X219" s="92" t="n">
        <v>0</v>
      </c>
      <c r="Y219" s="92" t="n">
        <v>0</v>
      </c>
      <c r="Z219" s="92" t="n">
        <v>0</v>
      </c>
      <c r="AA219" s="92" t="n">
        <v>0</v>
      </c>
      <c r="AB219" s="92" t="n">
        <v>0</v>
      </c>
      <c r="AC219" s="92" t="n">
        <v>0</v>
      </c>
      <c r="AD219" s="92" t="n">
        <v>0</v>
      </c>
      <c r="AE219" s="92" t="n">
        <v>0</v>
      </c>
      <c r="AF219" s="92" t="n">
        <v>0</v>
      </c>
      <c r="AG219" s="92" t="n">
        <v>0</v>
      </c>
      <c r="AH219" s="92" t="n">
        <v>0</v>
      </c>
      <c r="AI219" s="92" t="n">
        <v>0</v>
      </c>
      <c r="AJ219" s="92" t="n">
        <v>1</v>
      </c>
      <c r="AK219" s="92" t="n">
        <v>0</v>
      </c>
    </row>
    <row r="220" customFormat="false" ht="12.75" hidden="false" customHeight="false" outlineLevel="0" collapsed="false">
      <c r="B220" s="89" t="s">
        <v>177</v>
      </c>
      <c r="C220" s="89" t="s">
        <v>178</v>
      </c>
      <c r="D220" s="92" t="n">
        <v>0</v>
      </c>
      <c r="E220" s="92" t="n">
        <v>0</v>
      </c>
      <c r="F220" s="92" t="n">
        <v>0</v>
      </c>
      <c r="G220" s="92" t="n">
        <v>0</v>
      </c>
      <c r="H220" s="92" t="n">
        <v>0</v>
      </c>
      <c r="I220" s="92" t="n">
        <v>0</v>
      </c>
      <c r="J220" s="92" t="n">
        <v>0</v>
      </c>
      <c r="K220" s="92" t="n">
        <v>0</v>
      </c>
      <c r="L220" s="92" t="n">
        <v>0</v>
      </c>
      <c r="M220" s="92" t="n">
        <v>0</v>
      </c>
      <c r="N220" s="92" t="n">
        <v>0</v>
      </c>
      <c r="O220" s="92" t="n">
        <v>0</v>
      </c>
      <c r="P220" s="92" t="n">
        <v>0</v>
      </c>
      <c r="Q220" s="92" t="n">
        <v>0</v>
      </c>
      <c r="R220" s="92" t="n">
        <v>0</v>
      </c>
      <c r="S220" s="92" t="n">
        <v>0</v>
      </c>
      <c r="T220" s="92" t="n">
        <v>0</v>
      </c>
      <c r="U220" s="92" t="n">
        <v>0</v>
      </c>
      <c r="V220" s="92" t="n">
        <v>0</v>
      </c>
      <c r="W220" s="92" t="n">
        <v>0</v>
      </c>
      <c r="X220" s="92" t="n">
        <v>0</v>
      </c>
      <c r="Y220" s="92" t="n">
        <v>0</v>
      </c>
      <c r="Z220" s="92" t="n">
        <v>0</v>
      </c>
      <c r="AA220" s="92" t="n">
        <v>0</v>
      </c>
      <c r="AB220" s="92" t="n">
        <v>0</v>
      </c>
      <c r="AC220" s="92" t="n">
        <v>0</v>
      </c>
      <c r="AD220" s="92" t="n">
        <v>0</v>
      </c>
      <c r="AE220" s="92" t="n">
        <v>0</v>
      </c>
      <c r="AF220" s="92" t="n">
        <v>0</v>
      </c>
      <c r="AG220" s="92" t="n">
        <v>0</v>
      </c>
      <c r="AH220" s="92" t="n">
        <v>0</v>
      </c>
      <c r="AI220" s="92" t="n">
        <v>0</v>
      </c>
      <c r="AJ220" s="92" t="n">
        <v>0</v>
      </c>
      <c r="AK220" s="92" t="n">
        <v>1</v>
      </c>
    </row>
    <row r="222" customFormat="false" ht="12.75" hidden="false" customHeight="false" outlineLevel="0" collapsed="false">
      <c r="B222" s="30" t="s">
        <v>347</v>
      </c>
    </row>
    <row r="224" customFormat="false" ht="91.7" hidden="false" customHeight="false" outlineLevel="0" collapsed="false">
      <c r="B224" s="89"/>
      <c r="C224" s="89"/>
      <c r="D224" s="90" t="s">
        <v>208</v>
      </c>
      <c r="E224" s="90" t="s">
        <v>209</v>
      </c>
      <c r="F224" s="90" t="s">
        <v>210</v>
      </c>
      <c r="G224" s="90" t="s">
        <v>211</v>
      </c>
      <c r="H224" s="90" t="s">
        <v>212</v>
      </c>
      <c r="I224" s="90" t="s">
        <v>213</v>
      </c>
      <c r="J224" s="90" t="s">
        <v>214</v>
      </c>
      <c r="K224" s="90" t="s">
        <v>215</v>
      </c>
      <c r="L224" s="90" t="s">
        <v>216</v>
      </c>
      <c r="M224" s="90" t="s">
        <v>217</v>
      </c>
      <c r="N224" s="90" t="s">
        <v>218</v>
      </c>
      <c r="O224" s="90" t="s">
        <v>219</v>
      </c>
      <c r="P224" s="90" t="s">
        <v>135</v>
      </c>
      <c r="Q224" s="90" t="s">
        <v>220</v>
      </c>
      <c r="R224" s="90" t="s">
        <v>221</v>
      </c>
      <c r="S224" s="90" t="s">
        <v>222</v>
      </c>
      <c r="T224" s="90" t="s">
        <v>223</v>
      </c>
      <c r="U224" s="90" t="s">
        <v>145</v>
      </c>
      <c r="V224" s="90" t="s">
        <v>224</v>
      </c>
      <c r="W224" s="90" t="s">
        <v>225</v>
      </c>
      <c r="X224" s="90" t="s">
        <v>226</v>
      </c>
      <c r="Y224" s="90" t="s">
        <v>227</v>
      </c>
      <c r="Z224" s="90" t="s">
        <v>228</v>
      </c>
      <c r="AA224" s="90" t="s">
        <v>229</v>
      </c>
      <c r="AB224" s="90" t="s">
        <v>230</v>
      </c>
      <c r="AC224" s="90" t="s">
        <v>231</v>
      </c>
      <c r="AD224" s="90" t="s">
        <v>232</v>
      </c>
      <c r="AE224" s="90" t="s">
        <v>233</v>
      </c>
      <c r="AF224" s="90" t="s">
        <v>234</v>
      </c>
      <c r="AG224" s="90" t="s">
        <v>235</v>
      </c>
      <c r="AH224" s="90" t="s">
        <v>236</v>
      </c>
      <c r="AI224" s="90" t="s">
        <v>173</v>
      </c>
      <c r="AJ224" s="90" t="s">
        <v>237</v>
      </c>
      <c r="AK224" s="90" t="s">
        <v>238</v>
      </c>
    </row>
    <row r="225" customFormat="false" ht="12.75" hidden="false" customHeight="false" outlineLevel="0" collapsed="false">
      <c r="B225" s="89"/>
      <c r="C225" s="89"/>
      <c r="D225" s="92" t="s">
        <v>112</v>
      </c>
      <c r="E225" s="92" t="s">
        <v>114</v>
      </c>
      <c r="F225" s="92" t="s">
        <v>116</v>
      </c>
      <c r="G225" s="92" t="s">
        <v>118</v>
      </c>
      <c r="H225" s="92" t="s">
        <v>120</v>
      </c>
      <c r="I225" s="92" t="s">
        <v>122</v>
      </c>
      <c r="J225" s="92" t="s">
        <v>124</v>
      </c>
      <c r="K225" s="92" t="s">
        <v>126</v>
      </c>
      <c r="L225" s="92" t="s">
        <v>128</v>
      </c>
      <c r="M225" s="92" t="s">
        <v>130</v>
      </c>
      <c r="N225" s="92" t="s">
        <v>132</v>
      </c>
      <c r="O225" s="92" t="s">
        <v>134</v>
      </c>
      <c r="P225" s="92" t="s">
        <v>136</v>
      </c>
      <c r="Q225" s="92" t="s">
        <v>138</v>
      </c>
      <c r="R225" s="92" t="s">
        <v>140</v>
      </c>
      <c r="S225" s="92" t="s">
        <v>142</v>
      </c>
      <c r="T225" s="92" t="s">
        <v>144</v>
      </c>
      <c r="U225" s="92" t="s">
        <v>146</v>
      </c>
      <c r="V225" s="92" t="s">
        <v>148</v>
      </c>
      <c r="W225" s="92" t="s">
        <v>150</v>
      </c>
      <c r="X225" s="92" t="s">
        <v>152</v>
      </c>
      <c r="Y225" s="92" t="s">
        <v>154</v>
      </c>
      <c r="Z225" s="92" t="s">
        <v>156</v>
      </c>
      <c r="AA225" s="92" t="s">
        <v>158</v>
      </c>
      <c r="AB225" s="92" t="s">
        <v>160</v>
      </c>
      <c r="AC225" s="92" t="s">
        <v>162</v>
      </c>
      <c r="AD225" s="92" t="s">
        <v>164</v>
      </c>
      <c r="AE225" s="92" t="s">
        <v>166</v>
      </c>
      <c r="AF225" s="92" t="s">
        <v>168</v>
      </c>
      <c r="AG225" s="92" t="s">
        <v>170</v>
      </c>
      <c r="AH225" s="92" t="s">
        <v>172</v>
      </c>
      <c r="AI225" s="92" t="s">
        <v>174</v>
      </c>
      <c r="AJ225" s="92" t="s">
        <v>176</v>
      </c>
      <c r="AK225" s="92" t="s">
        <v>178</v>
      </c>
    </row>
    <row r="226" customFormat="false" ht="12.75" hidden="false" customHeight="false" outlineLevel="0" collapsed="false">
      <c r="B226" s="89" t="s">
        <v>111</v>
      </c>
      <c r="C226" s="89" t="s">
        <v>112</v>
      </c>
      <c r="D226" s="91" t="n">
        <f aca="false">D187-D148</f>
        <v>0.548747837135501</v>
      </c>
      <c r="E226" s="91" t="n">
        <f aca="false">E187-E148</f>
        <v>-0.00221617413541719</v>
      </c>
      <c r="F226" s="91" t="n">
        <f aca="false">F187-F148</f>
        <v>-0.179245217764241</v>
      </c>
      <c r="G226" s="91" t="n">
        <f aca="false">G187-G148</f>
        <v>-0.133147386165569</v>
      </c>
      <c r="H226" s="91" t="n">
        <f aca="false">H187-H148</f>
        <v>-0.12146327771202</v>
      </c>
      <c r="I226" s="91" t="n">
        <f aca="false">I187-I148</f>
        <v>-0.00226525734744479</v>
      </c>
      <c r="J226" s="91" t="n">
        <f aca="false">J187-J148</f>
        <v>-0.0019276059427764</v>
      </c>
      <c r="K226" s="91" t="n">
        <f aca="false">K187-K148</f>
        <v>-0.00287853707619722</v>
      </c>
      <c r="L226" s="91" t="n">
        <f aca="false">L187-L148</f>
        <v>-0.0030392634587225</v>
      </c>
      <c r="M226" s="91" t="n">
        <f aca="false">M187-M148</f>
        <v>-0.000720588870270366</v>
      </c>
      <c r="N226" s="91" t="n">
        <f aca="false">N187-N148</f>
        <v>-0.000714649667737304</v>
      </c>
      <c r="O226" s="91" t="n">
        <f aca="false">O187-O148</f>
        <v>-2.6117809222648E-005</v>
      </c>
      <c r="P226" s="91" t="n">
        <f aca="false">P187-P148</f>
        <v>0</v>
      </c>
      <c r="Q226" s="91" t="n">
        <f aca="false">Q187-Q148</f>
        <v>0</v>
      </c>
      <c r="R226" s="91" t="n">
        <f aca="false">R187-R148</f>
        <v>0</v>
      </c>
      <c r="S226" s="91" t="n">
        <f aca="false">S187-S148</f>
        <v>0</v>
      </c>
      <c r="T226" s="91" t="n">
        <f aca="false">T187-T148</f>
        <v>0</v>
      </c>
      <c r="U226" s="91" t="n">
        <f aca="false">U187-U148</f>
        <v>-8.81277747536711E-005</v>
      </c>
      <c r="V226" s="91" t="n">
        <f aca="false">V187-V148</f>
        <v>0</v>
      </c>
      <c r="W226" s="91" t="n">
        <f aca="false">W187-W148</f>
        <v>-0.00263506056603786</v>
      </c>
      <c r="X226" s="91" t="n">
        <f aca="false">X187-X148</f>
        <v>-8.07822977358744E-005</v>
      </c>
      <c r="Y226" s="91" t="n">
        <f aca="false">Y187-Y148</f>
        <v>-0.0399283348089905</v>
      </c>
      <c r="Z226" s="91" t="n">
        <f aca="false">Z187-Z148</f>
        <v>0</v>
      </c>
      <c r="AA226" s="91" t="n">
        <f aca="false">AA187-AA148</f>
        <v>0</v>
      </c>
      <c r="AB226" s="91" t="n">
        <f aca="false">AB187-AB148</f>
        <v>0</v>
      </c>
      <c r="AC226" s="91" t="n">
        <f aca="false">AC187-AC148</f>
        <v>0</v>
      </c>
      <c r="AD226" s="91" t="n">
        <f aca="false">AD187-AD148</f>
        <v>0</v>
      </c>
      <c r="AE226" s="91" t="n">
        <f aca="false">AE187-AE148</f>
        <v>0</v>
      </c>
      <c r="AF226" s="91" t="n">
        <f aca="false">AF187-AF148</f>
        <v>-0.00100525502232843</v>
      </c>
      <c r="AG226" s="91" t="n">
        <f aca="false">AG187-AG148</f>
        <v>-0.00102923580045598</v>
      </c>
      <c r="AH226" s="91" t="n">
        <f aca="false">AH187-AH148</f>
        <v>-0.0342752515310736</v>
      </c>
      <c r="AI226" s="91" t="n">
        <f aca="false">AI187-AI148</f>
        <v>-0.017941122276997</v>
      </c>
      <c r="AJ226" s="91" t="n">
        <f aca="false">AJ187-AJ148</f>
        <v>-0.0360410327513355</v>
      </c>
      <c r="AK226" s="91" t="n">
        <f aca="false">AK187-AK148</f>
        <v>-0.000310229564168507</v>
      </c>
    </row>
    <row r="227" customFormat="false" ht="12.75" hidden="false" customHeight="false" outlineLevel="0" collapsed="false">
      <c r="B227" s="89" t="s">
        <v>113</v>
      </c>
      <c r="C227" s="89" t="s">
        <v>114</v>
      </c>
      <c r="D227" s="91" t="n">
        <f aca="false">D188-D149</f>
        <v>-9.33327489489378E-007</v>
      </c>
      <c r="E227" s="91" t="n">
        <f aca="false">E188-E149</f>
        <v>0.968269600719537</v>
      </c>
      <c r="F227" s="91" t="n">
        <f aca="false">F188-F149</f>
        <v>-0.00448885153523126</v>
      </c>
      <c r="G227" s="91" t="n">
        <f aca="false">G188-G149</f>
        <v>-0.00237054991837362</v>
      </c>
      <c r="H227" s="91" t="n">
        <f aca="false">H188-H149</f>
        <v>-0.00236143519478076</v>
      </c>
      <c r="I227" s="91" t="n">
        <f aca="false">I188-I149</f>
        <v>-0.000722935429973692</v>
      </c>
      <c r="J227" s="91" t="n">
        <f aca="false">J188-J149</f>
        <v>-0.000588105014249988</v>
      </c>
      <c r="K227" s="91" t="n">
        <f aca="false">K188-K149</f>
        <v>-0.0990585290253169</v>
      </c>
      <c r="L227" s="91" t="n">
        <f aca="false">L188-L149</f>
        <v>-0.0990126744971333</v>
      </c>
      <c r="M227" s="91" t="n">
        <f aca="false">M188-M149</f>
        <v>-0.0246609548721813</v>
      </c>
      <c r="N227" s="91" t="n">
        <f aca="false">N188-N149</f>
        <v>-0.0244576955495808</v>
      </c>
      <c r="O227" s="91" t="n">
        <f aca="false">O188-O149</f>
        <v>-0.00807667662853071</v>
      </c>
      <c r="P227" s="91" t="n">
        <f aca="false">P188-P149</f>
        <v>-0.0287970033599892</v>
      </c>
      <c r="Q227" s="91" t="n">
        <f aca="false">Q188-Q149</f>
        <v>-0.028550428385253</v>
      </c>
      <c r="R227" s="91" t="n">
        <f aca="false">R188-R149</f>
        <v>-0.0284919669485238</v>
      </c>
      <c r="S227" s="91" t="n">
        <f aca="false">S188-S149</f>
        <v>-0.0345283123480921</v>
      </c>
      <c r="T227" s="91" t="n">
        <f aca="false">T188-T149</f>
        <v>-0.0617182049534604</v>
      </c>
      <c r="U227" s="91" t="n">
        <f aca="false">U188-U149</f>
        <v>-0.00707735857227023</v>
      </c>
      <c r="V227" s="91" t="n">
        <f aca="false">V188-V149</f>
        <v>-0.00864136366034703</v>
      </c>
      <c r="W227" s="91" t="n">
        <f aca="false">W188-W149</f>
        <v>-0.000258930755104337</v>
      </c>
      <c r="X227" s="91" t="n">
        <f aca="false">X188-X149</f>
        <v>-0.00027193647973576</v>
      </c>
      <c r="Y227" s="91" t="n">
        <f aca="false">Y188-Y149</f>
        <v>-0.000563188829968637</v>
      </c>
      <c r="Z227" s="91" t="n">
        <f aca="false">Z188-Z149</f>
        <v>-0.00135014017089816</v>
      </c>
      <c r="AA227" s="91" t="n">
        <f aca="false">AA188-AA149</f>
        <v>-0.00139437276307094</v>
      </c>
      <c r="AB227" s="91" t="n">
        <f aca="false">AB188-AB149</f>
        <v>-0.00134184456857838</v>
      </c>
      <c r="AC227" s="91" t="n">
        <f aca="false">AC188-AC149</f>
        <v>-0.00134284179304587</v>
      </c>
      <c r="AD227" s="91" t="n">
        <f aca="false">AD188-AD149</f>
        <v>-0.000986524331954289</v>
      </c>
      <c r="AE227" s="91" t="n">
        <f aca="false">AE188-AE149</f>
        <v>0</v>
      </c>
      <c r="AF227" s="91" t="n">
        <f aca="false">AF188-AF149</f>
        <v>-3.66305693293409E-005</v>
      </c>
      <c r="AG227" s="91" t="n">
        <f aca="false">AG188-AG149</f>
        <v>-3.7504406849434E-005</v>
      </c>
      <c r="AH227" s="91" t="n">
        <f aca="false">AH188-AH149</f>
        <v>-0.00279199594138527</v>
      </c>
      <c r="AI227" s="91" t="n">
        <f aca="false">AI188-AI149</f>
        <v>-0.00971782634670099</v>
      </c>
      <c r="AJ227" s="91" t="n">
        <f aca="false">AJ188-AJ149</f>
        <v>-0.000128557633368162</v>
      </c>
      <c r="AK227" s="91" t="n">
        <f aca="false">AK188-AK149</f>
        <v>-0.000647682512097589</v>
      </c>
    </row>
    <row r="228" customFormat="false" ht="12.75" hidden="false" customHeight="false" outlineLevel="0" collapsed="false">
      <c r="B228" s="89" t="s">
        <v>115</v>
      </c>
      <c r="C228" s="89" t="s">
        <v>116</v>
      </c>
      <c r="D228" s="91" t="n">
        <f aca="false">D189-D150</f>
        <v>-0.00244055770956993</v>
      </c>
      <c r="E228" s="91" t="n">
        <f aca="false">E189-E150</f>
        <v>-0.00120531785002058</v>
      </c>
      <c r="F228" s="91" t="n">
        <f aca="false">F189-F150</f>
        <v>0.90656880623142</v>
      </c>
      <c r="G228" s="91" t="n">
        <f aca="false">G189-G150</f>
        <v>-0.00742587314260568</v>
      </c>
      <c r="H228" s="91" t="n">
        <f aca="false">H189-H150</f>
        <v>-0.00739732078831604</v>
      </c>
      <c r="I228" s="91" t="n">
        <f aca="false">I189-I150</f>
        <v>-0.000117510458959246</v>
      </c>
      <c r="J228" s="91" t="n">
        <f aca="false">J189-J150</f>
        <v>-0.000579647067404921</v>
      </c>
      <c r="K228" s="91" t="n">
        <f aca="false">K189-K150</f>
        <v>-0.0265069750435195</v>
      </c>
      <c r="L228" s="91" t="n">
        <f aca="false">L189-L150</f>
        <v>-0.0264897585373334</v>
      </c>
      <c r="M228" s="91" t="n">
        <f aca="false">M189-M150</f>
        <v>-0.00638488886818608</v>
      </c>
      <c r="N228" s="91" t="n">
        <f aca="false">N189-N150</f>
        <v>-0.00633226364775354</v>
      </c>
      <c r="O228" s="91" t="n">
        <f aca="false">O189-O150</f>
        <v>-0.000772272509685461</v>
      </c>
      <c r="P228" s="91" t="n">
        <f aca="false">P189-P150</f>
        <v>-0.000107051223789687</v>
      </c>
      <c r="Q228" s="91" t="n">
        <f aca="false">Q189-Q150</f>
        <v>-0.000106134595331113</v>
      </c>
      <c r="R228" s="91" t="n">
        <f aca="false">R189-R150</f>
        <v>-0.00010591726826176</v>
      </c>
      <c r="S228" s="91" t="n">
        <f aca="false">S189-S150</f>
        <v>-0.000184019742708838</v>
      </c>
      <c r="T228" s="91" t="n">
        <f aca="false">T189-T150</f>
        <v>-0.00383628976621221</v>
      </c>
      <c r="U228" s="91" t="n">
        <f aca="false">U189-U150</f>
        <v>-0.0170553129652573</v>
      </c>
      <c r="V228" s="91" t="n">
        <f aca="false">V189-V150</f>
        <v>-0.000162071705426881</v>
      </c>
      <c r="W228" s="91" t="n">
        <f aca="false">W189-W150</f>
        <v>-0.0121104577196797</v>
      </c>
      <c r="X228" s="91" t="n">
        <f aca="false">X189-X150</f>
        <v>-0.0336192859241723</v>
      </c>
      <c r="Y228" s="91" t="n">
        <f aca="false">Y189-Y150</f>
        <v>-0.0785733020004991</v>
      </c>
      <c r="Z228" s="91" t="n">
        <f aca="false">Z189-Z150</f>
        <v>-0.00598866458127619</v>
      </c>
      <c r="AA228" s="91" t="n">
        <f aca="false">AA189-AA150</f>
        <v>-0.0061848621049058</v>
      </c>
      <c r="AB228" s="91" t="n">
        <f aca="false">AB189-AB150</f>
        <v>-0.00595186871306655</v>
      </c>
      <c r="AC228" s="91" t="n">
        <f aca="false">AC189-AC150</f>
        <v>-0.00595629198923956</v>
      </c>
      <c r="AD228" s="91" t="n">
        <f aca="false">AD189-AD150</f>
        <v>-0.00781068919754724</v>
      </c>
      <c r="AE228" s="91" t="n">
        <f aca="false">AE189-AE150</f>
        <v>-0.000191220477378893</v>
      </c>
      <c r="AF228" s="91" t="n">
        <f aca="false">AF189-AF150</f>
        <v>-0.0193345668370948</v>
      </c>
      <c r="AG228" s="91" t="n">
        <f aca="false">AG189-AG150</f>
        <v>-0.0197958009987892</v>
      </c>
      <c r="AH228" s="91" t="n">
        <f aca="false">AH189-AH150</f>
        <v>-0.0348982181707289</v>
      </c>
      <c r="AI228" s="91" t="n">
        <f aca="false">AI189-AI150</f>
        <v>-0.0168784676080094</v>
      </c>
      <c r="AJ228" s="91" t="n">
        <f aca="false">AJ189-AJ150</f>
        <v>-0.0186065112535883</v>
      </c>
      <c r="AK228" s="91" t="n">
        <f aca="false">AK189-AK150</f>
        <v>-0.0101544058072175</v>
      </c>
    </row>
    <row r="229" customFormat="false" ht="12.75" hidden="false" customHeight="false" outlineLevel="0" collapsed="false">
      <c r="B229" s="89" t="s">
        <v>117</v>
      </c>
      <c r="C229" s="89" t="s">
        <v>118</v>
      </c>
      <c r="D229" s="91" t="n">
        <f aca="false">D190-D151</f>
        <v>-6.27918315514915E-007</v>
      </c>
      <c r="E229" s="91" t="n">
        <f aca="false">E190-E151</f>
        <v>-0.000245099167383247</v>
      </c>
      <c r="F229" s="91" t="n">
        <f aca="false">F190-F151</f>
        <v>-0.000438981106696443</v>
      </c>
      <c r="G229" s="91" t="n">
        <f aca="false">G190-G151</f>
        <v>0.973913759990798</v>
      </c>
      <c r="H229" s="91" t="n">
        <f aca="false">H190-H151</f>
        <v>-0.027836745504615</v>
      </c>
      <c r="I229" s="91" t="n">
        <f aca="false">I190-I151</f>
        <v>-0.00167053517790614</v>
      </c>
      <c r="J229" s="91" t="n">
        <f aca="false">J190-J151</f>
        <v>-0.00213254487577696</v>
      </c>
      <c r="K229" s="91" t="n">
        <f aca="false">K190-K151</f>
        <v>-0.00917063045843107</v>
      </c>
      <c r="L229" s="91" t="n">
        <f aca="false">L190-L151</f>
        <v>-0.00916467405579525</v>
      </c>
      <c r="M229" s="91" t="n">
        <f aca="false">M190-M151</f>
        <v>-0.00088574882234209</v>
      </c>
      <c r="N229" s="91" t="n">
        <f aca="false">N190-N151</f>
        <v>-0.000878448346486375</v>
      </c>
      <c r="O229" s="91" t="n">
        <f aca="false">O190-O151</f>
        <v>-0.000133195829392839</v>
      </c>
      <c r="P229" s="91" t="n">
        <f aca="false">P190-P151</f>
        <v>-0.00292404564718975</v>
      </c>
      <c r="Q229" s="91" t="n">
        <f aca="false">Q190-Q151</f>
        <v>-0.00289900844201357</v>
      </c>
      <c r="R229" s="91" t="n">
        <f aca="false">R190-R151</f>
        <v>-0.00289307227193853</v>
      </c>
      <c r="S229" s="91" t="n">
        <f aca="false">S190-S151</f>
        <v>-0.00878867310377072</v>
      </c>
      <c r="T229" s="91" t="n">
        <f aca="false">T190-T151</f>
        <v>-0.000357890860077603</v>
      </c>
      <c r="U229" s="91" t="n">
        <f aca="false">U190-U151</f>
        <v>-1.22973115681468E-005</v>
      </c>
      <c r="V229" s="91" t="n">
        <f aca="false">V190-V151</f>
        <v>-0.00013401460474481</v>
      </c>
      <c r="W229" s="91" t="n">
        <f aca="false">W190-W151</f>
        <v>-7.02517215916092E-005</v>
      </c>
      <c r="X229" s="91" t="n">
        <f aca="false">X190-X151</f>
        <v>-0.000131208652963761</v>
      </c>
      <c r="Y229" s="91" t="n">
        <f aca="false">Y190-Y151</f>
        <v>-0.00318133836783359</v>
      </c>
      <c r="Z229" s="91" t="n">
        <f aca="false">Z190-Z151</f>
        <v>-0.000141509651956682</v>
      </c>
      <c r="AA229" s="91" t="n">
        <f aca="false">AA190-AA151</f>
        <v>-0.0001461457177952</v>
      </c>
      <c r="AB229" s="91" t="n">
        <f aca="false">AB190-AB151</f>
        <v>-0.000140640180902975</v>
      </c>
      <c r="AC229" s="91" t="n">
        <f aca="false">AC190-AC151</f>
        <v>-0.000140744701078258</v>
      </c>
      <c r="AD229" s="91" t="n">
        <f aca="false">AD190-AD151</f>
        <v>-0.000148574678537184</v>
      </c>
      <c r="AE229" s="91" t="n">
        <f aca="false">AE190-AE151</f>
        <v>-7.34669845357103E-007</v>
      </c>
      <c r="AF229" s="91" t="n">
        <f aca="false">AF190-AF151</f>
        <v>-0.000166358110692228</v>
      </c>
      <c r="AG229" s="91" t="n">
        <f aca="false">AG190-AG151</f>
        <v>-0.000170326652856771</v>
      </c>
      <c r="AH229" s="91" t="n">
        <f aca="false">AH190-AH151</f>
        <v>-0.0012951761065353</v>
      </c>
      <c r="AI229" s="91" t="n">
        <f aca="false">AI190-AI151</f>
        <v>-0.000746664027472587</v>
      </c>
      <c r="AJ229" s="91" t="n">
        <f aca="false">AJ190-AJ151</f>
        <v>-0.00169337748323206</v>
      </c>
      <c r="AK229" s="91" t="n">
        <f aca="false">AK190-AK151</f>
        <v>-0.00171440437989661</v>
      </c>
    </row>
    <row r="230" customFormat="false" ht="12.75" hidden="false" customHeight="false" outlineLevel="0" collapsed="false">
      <c r="B230" s="89" t="s">
        <v>119</v>
      </c>
      <c r="C230" s="89" t="s">
        <v>120</v>
      </c>
      <c r="D230" s="91" t="n">
        <f aca="false">D191-D152</f>
        <v>-6.64120563944213E-008</v>
      </c>
      <c r="E230" s="91" t="n">
        <f aca="false">E191-E152</f>
        <v>-2.59230210750164E-005</v>
      </c>
      <c r="F230" s="91" t="n">
        <f aca="false">F191-F152</f>
        <v>-4.64290295308598E-005</v>
      </c>
      <c r="G230" s="91" t="n">
        <f aca="false">G191-G152</f>
        <v>-0.00295552957325158</v>
      </c>
      <c r="H230" s="91" t="n">
        <f aca="false">H191-H152</f>
        <v>0.997055834387036</v>
      </c>
      <c r="I230" s="91" t="n">
        <f aca="false">I191-I152</f>
        <v>-0.000176684886716499</v>
      </c>
      <c r="J230" s="91" t="n">
        <f aca="false">J191-J152</f>
        <v>-0.000225549545306057</v>
      </c>
      <c r="K230" s="91" t="n">
        <f aca="false">K191-K152</f>
        <v>-0.000969935757771757</v>
      </c>
      <c r="L230" s="91" t="n">
        <f aca="false">L191-L152</f>
        <v>-0.00096930577623119</v>
      </c>
      <c r="M230" s="91" t="n">
        <f aca="false">M191-M152</f>
        <v>-9.36816131767673E-005</v>
      </c>
      <c r="N230" s="91" t="n">
        <f aca="false">N191-N152</f>
        <v>-9.290947514184E-005</v>
      </c>
      <c r="O230" s="91" t="n">
        <f aca="false">O191-O152</f>
        <v>-1.40875153894582E-005</v>
      </c>
      <c r="P230" s="91" t="n">
        <f aca="false">P191-P152</f>
        <v>-0.000309262971986705</v>
      </c>
      <c r="Q230" s="91" t="n">
        <f aca="false">Q191-Q152</f>
        <v>-0.000306614900986014</v>
      </c>
      <c r="R230" s="91" t="n">
        <f aca="false">R191-R152</f>
        <v>-0.000305987059351122</v>
      </c>
      <c r="S230" s="91" t="n">
        <f aca="false">S191-S152</f>
        <v>-0.000929537870417306</v>
      </c>
      <c r="T230" s="91" t="n">
        <f aca="false">T191-T152</f>
        <v>-3.7852483985964E-005</v>
      </c>
      <c r="U230" s="91" t="n">
        <f aca="false">U191-U152</f>
        <v>-1.30063055844106E-006</v>
      </c>
      <c r="V230" s="91" t="n">
        <f aca="false">V191-V152</f>
        <v>-1.41741135241292E-005</v>
      </c>
      <c r="W230" s="91" t="n">
        <f aca="false">W191-W152</f>
        <v>-7.4302041855894E-006</v>
      </c>
      <c r="X230" s="91" t="n">
        <f aca="false">X191-X152</f>
        <v>-1.38773408017566E-005</v>
      </c>
      <c r="Y230" s="91" t="n">
        <f aca="false">Y191-Y152</f>
        <v>-0.000336475649577197</v>
      </c>
      <c r="Z230" s="91" t="n">
        <f aca="false">Z191-Z152</f>
        <v>-1.49668304839866E-005</v>
      </c>
      <c r="AA230" s="91" t="n">
        <f aca="false">AA191-AA152</f>
        <v>-1.54571660233527E-005</v>
      </c>
      <c r="AB230" s="91" t="n">
        <f aca="false">AB191-AB152</f>
        <v>-1.48748704961579E-005</v>
      </c>
      <c r="AC230" s="91" t="n">
        <f aca="false">AC191-AC152</f>
        <v>-1.48859251183974E-005</v>
      </c>
      <c r="AD230" s="91" t="n">
        <f aca="false">AD191-AD152</f>
        <v>-1.57140661229209E-005</v>
      </c>
      <c r="AE230" s="91" t="n">
        <f aca="false">AE191-AE152</f>
        <v>-7.77026788287372E-008</v>
      </c>
      <c r="AF230" s="91" t="n">
        <f aca="false">AF191-AF152</f>
        <v>-1.7594938634497E-005</v>
      </c>
      <c r="AG230" s="91" t="n">
        <f aca="false">AG191-AG152</f>
        <v>-1.80146732393383E-005</v>
      </c>
      <c r="AH230" s="91" t="n">
        <f aca="false">AH191-AH152</f>
        <v>-0.000136984869691839</v>
      </c>
      <c r="AI230" s="91" t="n">
        <f aca="false">AI191-AI152</f>
        <v>-7.89712487674957E-005</v>
      </c>
      <c r="AJ230" s="91" t="n">
        <f aca="false">AJ191-AJ152</f>
        <v>-0.000179100813170626</v>
      </c>
      <c r="AK230" s="91" t="n">
        <f aca="false">AK191-AK152</f>
        <v>-0.000181324732130438</v>
      </c>
    </row>
    <row r="231" customFormat="false" ht="12.75" hidden="false" customHeight="false" outlineLevel="0" collapsed="false">
      <c r="B231" s="89" t="s">
        <v>121</v>
      </c>
      <c r="C231" s="89" t="s">
        <v>122</v>
      </c>
      <c r="D231" s="91" t="n">
        <f aca="false">D192-D153</f>
        <v>-1.26102220947412E-007</v>
      </c>
      <c r="E231" s="91" t="n">
        <f aca="false">E192-E153</f>
        <v>-2.12028032455064E-005</v>
      </c>
      <c r="F231" s="91" t="n">
        <f aca="false">F192-F153</f>
        <v>-3.71904663467626E-005</v>
      </c>
      <c r="G231" s="91" t="n">
        <f aca="false">G192-G153</f>
        <v>-2.30421491218619E-006</v>
      </c>
      <c r="H231" s="91" t="n">
        <f aca="false">H192-H153</f>
        <v>-2.29535524554919E-006</v>
      </c>
      <c r="I231" s="91" t="n">
        <f aca="false">I192-I153</f>
        <v>0.995790430918936</v>
      </c>
      <c r="J231" s="91" t="n">
        <f aca="false">J192-J153</f>
        <v>-0.00385852845605881</v>
      </c>
      <c r="K231" s="91" t="n">
        <f aca="false">K192-K153</f>
        <v>-0.000159159218880602</v>
      </c>
      <c r="L231" s="91" t="n">
        <f aca="false">L192-L153</f>
        <v>-0.000159055843611567</v>
      </c>
      <c r="M231" s="91" t="n">
        <f aca="false">M192-M153</f>
        <v>-0.000176853598571505</v>
      </c>
      <c r="N231" s="91" t="n">
        <f aca="false">N192-N153</f>
        <v>-0.00017539594444451</v>
      </c>
      <c r="O231" s="91" t="n">
        <f aca="false">O192-O153</f>
        <v>-4.21890886968221E-005</v>
      </c>
      <c r="P231" s="91" t="n">
        <f aca="false">P192-P153</f>
        <v>-0.000192693834914705</v>
      </c>
      <c r="Q231" s="91" t="n">
        <f aca="false">Q192-Q153</f>
        <v>-0.000191043889714438</v>
      </c>
      <c r="R231" s="91" t="n">
        <f aca="false">R192-R153</f>
        <v>-0.000190652697676253</v>
      </c>
      <c r="S231" s="91" t="n">
        <f aca="false">S192-S153</f>
        <v>-0.00355174543811117</v>
      </c>
      <c r="T231" s="91" t="n">
        <f aca="false">T192-T153</f>
        <v>-4.51333357160904E-005</v>
      </c>
      <c r="U231" s="91" t="n">
        <f aca="false">U192-U153</f>
        <v>-0.000177440020544114</v>
      </c>
      <c r="V231" s="91" t="n">
        <f aca="false">V192-V153</f>
        <v>-4.05774202999737E-005</v>
      </c>
      <c r="W231" s="91" t="n">
        <f aca="false">W192-W153</f>
        <v>-0.000122742738542511</v>
      </c>
      <c r="X231" s="91" t="n">
        <f aca="false">X192-X153</f>
        <v>-3.66840324070582E-005</v>
      </c>
      <c r="Y231" s="91" t="n">
        <f aca="false">Y192-Y153</f>
        <v>-0.000195979049332982</v>
      </c>
      <c r="Z231" s="91" t="n">
        <f aca="false">Z192-Z153</f>
        <v>-1.49390688548626E-005</v>
      </c>
      <c r="AA231" s="91" t="n">
        <f aca="false">AA192-AA153</f>
        <v>-1.5428494882131E-005</v>
      </c>
      <c r="AB231" s="91" t="n">
        <f aca="false">AB192-AB153</f>
        <v>-1.48472794414973E-005</v>
      </c>
      <c r="AC231" s="91" t="n">
        <f aca="false">AC192-AC153</f>
        <v>-1.48583135587725E-005</v>
      </c>
      <c r="AD231" s="91" t="n">
        <f aca="false">AD192-AD153</f>
        <v>-2.0354037788081E-005</v>
      </c>
      <c r="AE231" s="91" t="n">
        <f aca="false">AE192-AE153</f>
        <v>-2.95081372444557E-008</v>
      </c>
      <c r="AF231" s="91" t="n">
        <f aca="false">AF192-AF153</f>
        <v>-2.4015749767594E-005</v>
      </c>
      <c r="AG231" s="91" t="n">
        <f aca="false">AG192-AG153</f>
        <v>-2.45886555019116E-005</v>
      </c>
      <c r="AH231" s="91" t="n">
        <f aca="false">AH192-AH153</f>
        <v>-3.96374882672535E-005</v>
      </c>
      <c r="AI231" s="91" t="n">
        <f aca="false">AI192-AI153</f>
        <v>-4.46993398788884E-005</v>
      </c>
      <c r="AJ231" s="91" t="n">
        <f aca="false">AJ192-AJ153</f>
        <v>-8.32227582238019E-006</v>
      </c>
      <c r="AK231" s="91" t="n">
        <f aca="false">AK192-AK153</f>
        <v>-0.000192510918611867</v>
      </c>
    </row>
    <row r="232" customFormat="false" ht="12.75" hidden="false" customHeight="false" outlineLevel="0" collapsed="false">
      <c r="B232" s="89" t="s">
        <v>123</v>
      </c>
      <c r="C232" s="89" t="s">
        <v>124</v>
      </c>
      <c r="D232" s="91" t="n">
        <f aca="false">D193-D154</f>
        <v>-3.67681810820557E-006</v>
      </c>
      <c r="E232" s="91" t="n">
        <f aca="false">E193-E154</f>
        <v>-0.000602436147497387</v>
      </c>
      <c r="F232" s="91" t="n">
        <f aca="false">F193-F154</f>
        <v>-0.000533621525227092</v>
      </c>
      <c r="G232" s="91" t="n">
        <f aca="false">G193-G154</f>
        <v>-0.000180784935234742</v>
      </c>
      <c r="H232" s="91" t="n">
        <f aca="false">H193-H154</f>
        <v>-0.00018008982027359</v>
      </c>
      <c r="I232" s="91" t="n">
        <f aca="false">I193-I154</f>
        <v>-0.0521097384068331</v>
      </c>
      <c r="J232" s="91" t="n">
        <f aca="false">J193-J154</f>
        <v>0.965722752408755</v>
      </c>
      <c r="K232" s="91" t="n">
        <f aca="false">K193-K154</f>
        <v>-0.00215656112763613</v>
      </c>
      <c r="L232" s="91" t="n">
        <f aca="false">L193-L154</f>
        <v>-0.00215516042280529</v>
      </c>
      <c r="M232" s="91" t="n">
        <f aca="false">M193-M154</f>
        <v>-0.00172413918023487</v>
      </c>
      <c r="N232" s="91" t="n">
        <f aca="false">N193-N154</f>
        <v>-0.00170992856415533</v>
      </c>
      <c r="O232" s="91" t="n">
        <f aca="false">O193-O154</f>
        <v>-0.000546186508032025</v>
      </c>
      <c r="P232" s="91" t="n">
        <f aca="false">P193-P154</f>
        <v>-0.00291408414961022</v>
      </c>
      <c r="Q232" s="91" t="n">
        <f aca="false">Q193-Q154</f>
        <v>-0.00288913223997621</v>
      </c>
      <c r="R232" s="91" t="n">
        <f aca="false">R193-R154</f>
        <v>-0.00288321629295886</v>
      </c>
      <c r="S232" s="91" t="n">
        <f aca="false">S193-S154</f>
        <v>-0.0311518290083047</v>
      </c>
      <c r="T232" s="91" t="n">
        <f aca="false">T193-T154</f>
        <v>-0.000785675597913119</v>
      </c>
      <c r="U232" s="91" t="n">
        <f aca="false">U193-U154</f>
        <v>-0.00155673910425293</v>
      </c>
      <c r="V232" s="91" t="n">
        <f aca="false">V193-V154</f>
        <v>-0.000591505909867885</v>
      </c>
      <c r="W232" s="91" t="n">
        <f aca="false">W193-W154</f>
        <v>-0.00130132225569808</v>
      </c>
      <c r="X232" s="91" t="n">
        <f aca="false">X193-X154</f>
        <v>-0.000764061119485425</v>
      </c>
      <c r="Y232" s="91" t="n">
        <f aca="false">Y193-Y154</f>
        <v>-0.00237912265939429</v>
      </c>
      <c r="Z232" s="91" t="n">
        <f aca="false">Z193-Z154</f>
        <v>-0.00015072014828556</v>
      </c>
      <c r="AA232" s="91" t="n">
        <f aca="false">AA193-AA154</f>
        <v>-0.000155657963628763</v>
      </c>
      <c r="AB232" s="91" t="n">
        <f aca="false">AB193-AB154</f>
        <v>-0.000149794085615398</v>
      </c>
      <c r="AC232" s="91" t="n">
        <f aca="false">AC193-AC154</f>
        <v>-0.000149905408737882</v>
      </c>
      <c r="AD232" s="91" t="n">
        <f aca="false">AD193-AD154</f>
        <v>-0.000244933891790376</v>
      </c>
      <c r="AE232" s="91" t="n">
        <f aca="false">AE193-AE154</f>
        <v>-5.02718035422281E-005</v>
      </c>
      <c r="AF232" s="91" t="n">
        <f aca="false">AF193-AF154</f>
        <v>-0.000238984236586839</v>
      </c>
      <c r="AG232" s="91" t="n">
        <f aca="false">AG193-AG154</f>
        <v>-0.000244685305297041</v>
      </c>
      <c r="AH232" s="91" t="n">
        <f aca="false">AH193-AH154</f>
        <v>-0.00072460595601721</v>
      </c>
      <c r="AI232" s="91" t="n">
        <f aca="false">AI193-AI154</f>
        <v>-0.00133116235261537</v>
      </c>
      <c r="AJ232" s="91" t="n">
        <f aca="false">AJ193-AJ154</f>
        <v>-0.000389533284626318</v>
      </c>
      <c r="AK232" s="91" t="n">
        <f aca="false">AK193-AK154</f>
        <v>-0.00240356863874884</v>
      </c>
    </row>
    <row r="233" customFormat="false" ht="12.75" hidden="false" customHeight="false" outlineLevel="0" collapsed="false">
      <c r="B233" s="89" t="s">
        <v>125</v>
      </c>
      <c r="C233" s="89" t="s">
        <v>126</v>
      </c>
      <c r="D233" s="91" t="n">
        <f aca="false">D194-D155</f>
        <v>-0.000724517408228389</v>
      </c>
      <c r="E233" s="91" t="n">
        <f aca="false">E194-E155</f>
        <v>-0.00655192905240749</v>
      </c>
      <c r="F233" s="91" t="n">
        <f aca="false">F194-F155</f>
        <v>-0.000297012811517085</v>
      </c>
      <c r="G233" s="91" t="n">
        <f aca="false">G194-G155</f>
        <v>-0.00109989112855301</v>
      </c>
      <c r="H233" s="91" t="n">
        <f aca="false">H194-H155</f>
        <v>-0.00109566206611424</v>
      </c>
      <c r="I233" s="91" t="n">
        <f aca="false">I194-I155</f>
        <v>-0.0027626226170056</v>
      </c>
      <c r="J233" s="91" t="n">
        <f aca="false">J194-J155</f>
        <v>-0.00426256967536364</v>
      </c>
      <c r="K233" s="91" t="n">
        <f aca="false">K194-K155</f>
        <v>0.994690072016412</v>
      </c>
      <c r="L233" s="91" t="n">
        <f aca="false">L194-L155</f>
        <v>-0.0053064791401105</v>
      </c>
      <c r="M233" s="91" t="n">
        <f aca="false">M194-M155</f>
        <v>-0.000590634928352631</v>
      </c>
      <c r="N233" s="91" t="n">
        <f aca="false">N194-N155</f>
        <v>-0.000585766825877962</v>
      </c>
      <c r="O233" s="91" t="n">
        <f aca="false">O194-O155</f>
        <v>-0.000899982716113804</v>
      </c>
      <c r="P233" s="91" t="n">
        <f aca="false">P194-P155</f>
        <v>-0.00356601924536061</v>
      </c>
      <c r="Q233" s="91" t="n">
        <f aca="false">Q194-Q155</f>
        <v>-0.0035354851271282</v>
      </c>
      <c r="R233" s="91" t="n">
        <f aca="false">R194-R155</f>
        <v>-0.00352824567217932</v>
      </c>
      <c r="S233" s="91" t="n">
        <f aca="false">S194-S155</f>
        <v>-0.000702004478425957</v>
      </c>
      <c r="T233" s="91" t="n">
        <f aca="false">T194-T155</f>
        <v>-0.00457501556926536</v>
      </c>
      <c r="U233" s="91" t="n">
        <f aca="false">U194-U155</f>
        <v>-0.00439132411309189</v>
      </c>
      <c r="V233" s="91" t="n">
        <f aca="false">V194-V155</f>
        <v>-0.00409094490905553</v>
      </c>
      <c r="W233" s="91" t="n">
        <f aca="false">W194-W155</f>
        <v>-0.00254472332104214</v>
      </c>
      <c r="X233" s="91" t="n">
        <f aca="false">X194-X155</f>
        <v>-0.00390896171398937</v>
      </c>
      <c r="Y233" s="91" t="n">
        <f aca="false">Y194-Y155</f>
        <v>-5.2180279233245E-005</v>
      </c>
      <c r="Z233" s="91" t="n">
        <f aca="false">Z194-Z155</f>
        <v>-0.010307856161206</v>
      </c>
      <c r="AA233" s="91" t="n">
        <f aca="false">AA194-AA155</f>
        <v>-0.00890663563723897</v>
      </c>
      <c r="AB233" s="91" t="n">
        <f aca="false">AB194-AB155</f>
        <v>-0.0085711087957673</v>
      </c>
      <c r="AC233" s="91" t="n">
        <f aca="false">AC194-AC155</f>
        <v>-0.0100660625624511</v>
      </c>
      <c r="AD233" s="91" t="n">
        <f aca="false">AD194-AD155</f>
        <v>-0.0042729459602719</v>
      </c>
      <c r="AE233" s="91" t="n">
        <f aca="false">AE194-AE155</f>
        <v>-2.95153442010042E-005</v>
      </c>
      <c r="AF233" s="91" t="n">
        <f aca="false">AF194-AF155</f>
        <v>-0.00137744914254911</v>
      </c>
      <c r="AG233" s="91" t="n">
        <f aca="false">AG194-AG155</f>
        <v>-0.00141030876675963</v>
      </c>
      <c r="AH233" s="91" t="n">
        <f aca="false">AH194-AH155</f>
        <v>-0.001175738673494</v>
      </c>
      <c r="AI233" s="91" t="n">
        <f aca="false">AI194-AI155</f>
        <v>-5.43920402404862E-005</v>
      </c>
      <c r="AJ233" s="91" t="n">
        <f aca="false">AJ194-AJ155</f>
        <v>-0.00122056823911759</v>
      </c>
      <c r="AK233" s="91" t="n">
        <f aca="false">AK194-AK155</f>
        <v>-0.000863284729229421</v>
      </c>
    </row>
    <row r="234" customFormat="false" ht="12.75" hidden="false" customHeight="false" outlineLevel="0" collapsed="false">
      <c r="B234" s="89" t="s">
        <v>127</v>
      </c>
      <c r="C234" s="89" t="s">
        <v>128</v>
      </c>
      <c r="D234" s="91" t="n">
        <f aca="false">D195-D156</f>
        <v>-0.000331392568417762</v>
      </c>
      <c r="E234" s="91" t="n">
        <f aca="false">E195-E156</f>
        <v>-0.00333202497101989</v>
      </c>
      <c r="F234" s="91" t="n">
        <f aca="false">F195-F156</f>
        <v>-0.000135852965496448</v>
      </c>
      <c r="G234" s="91" t="n">
        <f aca="false">G195-G156</f>
        <v>-0.00050308763037505</v>
      </c>
      <c r="H234" s="91" t="n">
        <f aca="false">H195-H156</f>
        <v>-0.00050115326710418</v>
      </c>
      <c r="I234" s="91" t="n">
        <f aca="false">I195-I156</f>
        <v>-0.00126361712530431</v>
      </c>
      <c r="J234" s="91" t="n">
        <f aca="false">J195-J156</f>
        <v>-0.0019496894025397</v>
      </c>
      <c r="K234" s="91" t="n">
        <f aca="false">K195-K156</f>
        <v>-0.00242874864373135</v>
      </c>
      <c r="L234" s="91" t="n">
        <f aca="false">L195-L156</f>
        <v>0.997572828849211</v>
      </c>
      <c r="M234" s="91" t="n">
        <f aca="false">M195-M156</f>
        <v>-0.000270155035173867</v>
      </c>
      <c r="N234" s="91" t="n">
        <f aca="false">N195-N156</f>
        <v>-0.000267928376484811</v>
      </c>
      <c r="O234" s="91" t="n">
        <f aca="false">O195-O156</f>
        <v>-0.00041164998996205</v>
      </c>
      <c r="P234" s="91" t="n">
        <f aca="false">P195-P156</f>
        <v>-0.00163108886456832</v>
      </c>
      <c r="Q234" s="91" t="n">
        <f aca="false">Q195-Q156</f>
        <v>-0.00161712263028533</v>
      </c>
      <c r="R234" s="91" t="n">
        <f aca="false">R195-R156</f>
        <v>-0.0016138113205194</v>
      </c>
      <c r="S234" s="91" t="n">
        <f aca="false">S195-S156</f>
        <v>-0.000321095206967084</v>
      </c>
      <c r="T234" s="91" t="n">
        <f aca="false">T195-T156</f>
        <v>-0.00234638955806273</v>
      </c>
      <c r="U234" s="91" t="n">
        <f aca="false">U195-U156</f>
        <v>-0.00200858138129601</v>
      </c>
      <c r="V234" s="91" t="n">
        <f aca="false">V195-V156</f>
        <v>-0.0022847867613708</v>
      </c>
      <c r="W234" s="91" t="n">
        <f aca="false">W195-W156</f>
        <v>-0.00132632911122337</v>
      </c>
      <c r="X234" s="91" t="n">
        <f aca="false">X195-X156</f>
        <v>-0.00201204153649368</v>
      </c>
      <c r="Y234" s="91" t="n">
        <f aca="false">Y195-Y156</f>
        <v>-2.38671377105269E-005</v>
      </c>
      <c r="Z234" s="91" t="n">
        <f aca="false">Z195-Z156</f>
        <v>-0.00441634136149087</v>
      </c>
      <c r="AA234" s="91" t="n">
        <f aca="false">AA195-AA156</f>
        <v>-0.00513437894604789</v>
      </c>
      <c r="AB234" s="91" t="n">
        <f aca="false">AB195-AB156</f>
        <v>-0.004940958891512</v>
      </c>
      <c r="AC234" s="91" t="n">
        <f aca="false">AC195-AC156</f>
        <v>-0.00420841395804633</v>
      </c>
      <c r="AD234" s="91" t="n">
        <f aca="false">AD195-AD156</f>
        <v>-0.00195443549099433</v>
      </c>
      <c r="AE234" s="91" t="n">
        <f aca="false">AE195-AE156</f>
        <v>-1.35002494231605E-005</v>
      </c>
      <c r="AF234" s="91" t="n">
        <f aca="false">AF195-AF156</f>
        <v>-0.00063004201697566</v>
      </c>
      <c r="AG234" s="91" t="n">
        <f aca="false">AG195-AG156</f>
        <v>-0.000645071932255396</v>
      </c>
      <c r="AH234" s="91" t="n">
        <f aca="false">AH195-AH156</f>
        <v>-0.000537780120080214</v>
      </c>
      <c r="AI234" s="91" t="n">
        <f aca="false">AI195-AI156</f>
        <v>-2.48787920235794E-005</v>
      </c>
      <c r="AJ234" s="91" t="n">
        <f aca="false">AJ195-AJ156</f>
        <v>-0.000558285058573523</v>
      </c>
      <c r="AK234" s="91" t="n">
        <f aca="false">AK195-AK156</f>
        <v>-0.000394864416570357</v>
      </c>
    </row>
    <row r="235" customFormat="false" ht="12.75" hidden="false" customHeight="false" outlineLevel="0" collapsed="false">
      <c r="B235" s="89" t="s">
        <v>129</v>
      </c>
      <c r="C235" s="89" t="s">
        <v>130</v>
      </c>
      <c r="D235" s="91" t="n">
        <f aca="false">D196-D157</f>
        <v>-3.3066617842572E-005</v>
      </c>
      <c r="E235" s="91" t="n">
        <f aca="false">E196-E157</f>
        <v>-9.08838462837416E-005</v>
      </c>
      <c r="F235" s="91" t="n">
        <f aca="false">F196-F157</f>
        <v>-0.00122771828097617</v>
      </c>
      <c r="G235" s="91" t="n">
        <f aca="false">G196-G157</f>
        <v>-0.000281064229301676</v>
      </c>
      <c r="H235" s="91" t="n">
        <f aca="false">H196-H157</f>
        <v>-0.000279983542182592</v>
      </c>
      <c r="I235" s="91" t="n">
        <f aca="false">I196-I157</f>
        <v>-4.11233002280974E-005</v>
      </c>
      <c r="J235" s="91" t="n">
        <f aca="false">J196-J157</f>
        <v>-8.79024779433252E-005</v>
      </c>
      <c r="K235" s="91" t="n">
        <f aca="false">K196-K157</f>
        <v>-0.000190463154069526</v>
      </c>
      <c r="L235" s="91" t="n">
        <f aca="false">L196-L157</f>
        <v>-0.000190339446627811</v>
      </c>
      <c r="M235" s="91" t="n">
        <f aca="false">M196-M157</f>
        <v>0.972432366320698</v>
      </c>
      <c r="N235" s="91" t="n">
        <f aca="false">N196-N157</f>
        <v>-0.0273404170700349</v>
      </c>
      <c r="O235" s="91" t="n">
        <f aca="false">O196-O157</f>
        <v>-2.50617181773776E-005</v>
      </c>
      <c r="P235" s="91" t="n">
        <f aca="false">P196-P157</f>
        <v>-0.0019633693804381</v>
      </c>
      <c r="Q235" s="91" t="n">
        <f aca="false">Q196-Q157</f>
        <v>-0.0019465579869286</v>
      </c>
      <c r="R235" s="91" t="n">
        <f aca="false">R196-R157</f>
        <v>-0.00194257210710022</v>
      </c>
      <c r="S235" s="91" t="n">
        <f aca="false">S196-S157</f>
        <v>-0.000370620028695308</v>
      </c>
      <c r="T235" s="91" t="n">
        <f aca="false">T196-T157</f>
        <v>-0.00217686709344285</v>
      </c>
      <c r="U235" s="91" t="n">
        <f aca="false">U196-U157</f>
        <v>-0.0143083492811428</v>
      </c>
      <c r="V235" s="91" t="n">
        <f aca="false">V196-V157</f>
        <v>-5.40168607302585E-006</v>
      </c>
      <c r="W235" s="91" t="n">
        <f aca="false">W196-W157</f>
        <v>-0.00312021602615166</v>
      </c>
      <c r="X235" s="91" t="n">
        <f aca="false">X196-X157</f>
        <v>-0.00264165680491581</v>
      </c>
      <c r="Y235" s="91" t="n">
        <f aca="false">Y196-Y157</f>
        <v>-0.0013850139106023</v>
      </c>
      <c r="Z235" s="91" t="n">
        <f aca="false">Z196-Z157</f>
        <v>-0.00227332510956902</v>
      </c>
      <c r="AA235" s="91" t="n">
        <f aca="false">AA196-AA157</f>
        <v>-0.00234780260799115</v>
      </c>
      <c r="AB235" s="91" t="n">
        <f aca="false">AB196-AB157</f>
        <v>-0.00225935722574551</v>
      </c>
      <c r="AC235" s="91" t="n">
        <f aca="false">AC196-AC157</f>
        <v>-0.0022610363220873</v>
      </c>
      <c r="AD235" s="91" t="n">
        <f aca="false">AD196-AD157</f>
        <v>-0.00134748244822877</v>
      </c>
      <c r="AE235" s="91" t="n">
        <f aca="false">AE196-AE157</f>
        <v>-7.6991498700354E-007</v>
      </c>
      <c r="AF235" s="91" t="n">
        <f aca="false">AF196-AF157</f>
        <v>-0.00240316198252774</v>
      </c>
      <c r="AG235" s="91" t="n">
        <f aca="false">AG196-AG157</f>
        <v>-0.00246049041464448</v>
      </c>
      <c r="AH235" s="91" t="n">
        <f aca="false">AH196-AH157</f>
        <v>-6.82711232587669E-005</v>
      </c>
      <c r="AI235" s="91" t="n">
        <f aca="false">AI196-AI157</f>
        <v>-9.36427601927116E-005</v>
      </c>
      <c r="AJ235" s="91" t="n">
        <f aca="false">AJ196-AJ157</f>
        <v>-2.32651741421575E-005</v>
      </c>
      <c r="AK235" s="91" t="n">
        <f aca="false">AK196-AK157</f>
        <v>-0.000436447923941994</v>
      </c>
    </row>
    <row r="236" customFormat="false" ht="12.75" hidden="false" customHeight="false" outlineLevel="0" collapsed="false">
      <c r="B236" s="89" t="s">
        <v>131</v>
      </c>
      <c r="C236" s="89" t="s">
        <v>132</v>
      </c>
      <c r="D236" s="91" t="n">
        <f aca="false">D197-D158</f>
        <v>-0.000125956838447965</v>
      </c>
      <c r="E236" s="91" t="n">
        <f aca="false">E197-E158</f>
        <v>-0.000346193311889096</v>
      </c>
      <c r="F236" s="91" t="n">
        <f aca="false">F197-F158</f>
        <v>-0.00467660508591349</v>
      </c>
      <c r="G236" s="91" t="n">
        <f aca="false">G197-G158</f>
        <v>-0.00107062542326523</v>
      </c>
      <c r="H236" s="91" t="n">
        <f aca="false">H197-H158</f>
        <v>-0.00106650888695906</v>
      </c>
      <c r="I236" s="91" t="n">
        <f aca="false">I197-I158</f>
        <v>-0.000156646225747616</v>
      </c>
      <c r="J236" s="91" t="n">
        <f aca="false">J197-J158</f>
        <v>-0.00033483673069305</v>
      </c>
      <c r="K236" s="91" t="n">
        <f aca="false">K197-K158</f>
        <v>-0.000725509238399915</v>
      </c>
      <c r="L236" s="91" t="n">
        <f aca="false">L197-L158</f>
        <v>-0.000725038013966707</v>
      </c>
      <c r="M236" s="91" t="n">
        <f aca="false">M197-M158</f>
        <v>-0.087473153242266</v>
      </c>
      <c r="N236" s="91" t="n">
        <f aca="false">N197-N158</f>
        <v>0.904551564412088</v>
      </c>
      <c r="O236" s="91" t="n">
        <f aca="false">O197-O158</f>
        <v>-9.54647010687695E-005</v>
      </c>
      <c r="P236" s="91" t="n">
        <f aca="false">P197-P158</f>
        <v>-0.00747883563547086</v>
      </c>
      <c r="Q236" s="91" t="n">
        <f aca="false">Q197-Q158</f>
        <v>-0.00741479794082544</v>
      </c>
      <c r="R236" s="91" t="n">
        <f aca="false">R197-R158</f>
        <v>-0.00739961499033415</v>
      </c>
      <c r="S236" s="91" t="n">
        <f aca="false">S197-S158</f>
        <v>-0.00141175995991505</v>
      </c>
      <c r="T236" s="91" t="n">
        <f aca="false">T197-T158</f>
        <v>-0.00829208775197031</v>
      </c>
      <c r="U236" s="91" t="n">
        <f aca="false">U197-U158</f>
        <v>-0.0489872346782407</v>
      </c>
      <c r="V236" s="91" t="n">
        <f aca="false">V197-V158</f>
        <v>-2.05760172777871E-005</v>
      </c>
      <c r="W236" s="91" t="n">
        <f aca="false">W197-W158</f>
        <v>-0.011885477607654</v>
      </c>
      <c r="X236" s="91" t="n">
        <f aca="false">X197-X158</f>
        <v>-0.0100625573802521</v>
      </c>
      <c r="Y236" s="91" t="n">
        <f aca="false">Y197-Y158</f>
        <v>-0.00527577311403526</v>
      </c>
      <c r="Z236" s="91" t="n">
        <f aca="false">Z197-Z158</f>
        <v>-0.00865951410358753</v>
      </c>
      <c r="AA236" s="91" t="n">
        <f aca="false">AA197-AA158</f>
        <v>-0.00894321261431591</v>
      </c>
      <c r="AB236" s="91" t="n">
        <f aca="false">AB197-AB158</f>
        <v>-0.00860630786112889</v>
      </c>
      <c r="AC236" s="91" t="n">
        <f aca="false">AC197-AC158</f>
        <v>-0.0086127038483952</v>
      </c>
      <c r="AD236" s="91" t="n">
        <f aca="false">AD197-AD158</f>
        <v>-0.00513280886031552</v>
      </c>
      <c r="AE236" s="91" t="n">
        <f aca="false">AE197-AE158</f>
        <v>-2.93274800883384E-006</v>
      </c>
      <c r="AF236" s="91" t="n">
        <f aca="false">AF197-AF158</f>
        <v>-0.00915408666948191</v>
      </c>
      <c r="AG236" s="91" t="n">
        <f aca="false">AG197-AG158</f>
        <v>-0.00937246122768378</v>
      </c>
      <c r="AH236" s="91" t="n">
        <f aca="false">AH197-AH158</f>
        <v>-0.000260057284476628</v>
      </c>
      <c r="AI236" s="91" t="n">
        <f aca="false">AI197-AI158</f>
        <v>-0.000356702523178207</v>
      </c>
      <c r="AJ236" s="91" t="n">
        <f aca="false">AJ197-AJ158</f>
        <v>-8.86213339035459E-005</v>
      </c>
      <c r="AK236" s="91" t="n">
        <f aca="false">AK197-AK158</f>
        <v>-0.0016625105388352</v>
      </c>
    </row>
    <row r="237" customFormat="false" ht="12.75" hidden="false" customHeight="false" outlineLevel="0" collapsed="false">
      <c r="B237" s="89" t="s">
        <v>133</v>
      </c>
      <c r="C237" s="89" t="s">
        <v>134</v>
      </c>
      <c r="D237" s="91" t="n">
        <f aca="false">D198-D159</f>
        <v>-0.00176514933846636</v>
      </c>
      <c r="E237" s="91" t="n">
        <f aca="false">E198-E159</f>
        <v>-0.00596442175193419</v>
      </c>
      <c r="F237" s="91" t="n">
        <f aca="false">F198-F159</f>
        <v>-0.00159286629231639</v>
      </c>
      <c r="G237" s="91" t="n">
        <f aca="false">G198-G159</f>
        <v>-0.00575856911762493</v>
      </c>
      <c r="H237" s="91" t="n">
        <f aca="false">H198-H159</f>
        <v>-0.00573642751858464</v>
      </c>
      <c r="I237" s="91" t="n">
        <f aca="false">I198-I159</f>
        <v>-0.00257496026935722</v>
      </c>
      <c r="J237" s="91" t="n">
        <f aca="false">J198-J159</f>
        <v>-0.0054506157472972</v>
      </c>
      <c r="K237" s="91" t="n">
        <f aca="false">K198-K159</f>
        <v>-0.00366881539234693</v>
      </c>
      <c r="L237" s="91" t="n">
        <f aca="false">L198-L159</f>
        <v>-0.00366643246548356</v>
      </c>
      <c r="M237" s="91" t="n">
        <f aca="false">M198-M159</f>
        <v>-0.0152091133711838</v>
      </c>
      <c r="N237" s="91" t="n">
        <f aca="false">N198-N159</f>
        <v>-0.0150837575568124</v>
      </c>
      <c r="O237" s="91" t="n">
        <f aca="false">O198-O159</f>
        <v>0.606187502920309</v>
      </c>
      <c r="P237" s="91" t="n">
        <f aca="false">P198-P159</f>
        <v>-0.0409228802627204</v>
      </c>
      <c r="Q237" s="91" t="n">
        <f aca="false">Q198-Q159</f>
        <v>-0.040572477200264</v>
      </c>
      <c r="R237" s="91" t="n">
        <f aca="false">R198-R159</f>
        <v>-0.0404893987512548</v>
      </c>
      <c r="S237" s="91" t="n">
        <f aca="false">S198-S159</f>
        <v>-0.0192072028253208</v>
      </c>
      <c r="T237" s="91" t="n">
        <f aca="false">T198-T159</f>
        <v>-0.00981532645483484</v>
      </c>
      <c r="U237" s="91" t="n">
        <f aca="false">U198-U159</f>
        <v>-0.0201586367593869</v>
      </c>
      <c r="V237" s="91" t="n">
        <f aca="false">V198-V159</f>
        <v>-0.00155948191236441</v>
      </c>
      <c r="W237" s="91" t="n">
        <f aca="false">W198-W159</f>
        <v>-0.00124033279285751</v>
      </c>
      <c r="X237" s="91" t="n">
        <f aca="false">X198-X159</f>
        <v>-0.000641477433428341</v>
      </c>
      <c r="Y237" s="91" t="n">
        <f aca="false">Y198-Y159</f>
        <v>-0.000538524816437408</v>
      </c>
      <c r="Z237" s="91" t="n">
        <f aca="false">Z198-Z159</f>
        <v>-0.000588175361854105</v>
      </c>
      <c r="AA237" s="91" t="n">
        <f aca="false">AA198-AA159</f>
        <v>-0.000607444858064757</v>
      </c>
      <c r="AB237" s="91" t="n">
        <f aca="false">AB198-AB159</f>
        <v>-0.000584561463829733</v>
      </c>
      <c r="AC237" s="91" t="n">
        <f aca="false">AC198-AC159</f>
        <v>-0.000584995894916717</v>
      </c>
      <c r="AD237" s="91" t="n">
        <f aca="false">AD198-AD159</f>
        <v>-0.00132768775007721</v>
      </c>
      <c r="AE237" s="91" t="n">
        <f aca="false">AE198-AE159</f>
        <v>-6.04065853842773E-006</v>
      </c>
      <c r="AF237" s="91" t="n">
        <f aca="false">AF198-AF159</f>
        <v>-0.000697056028250375</v>
      </c>
      <c r="AG237" s="91" t="n">
        <f aca="false">AG198-AG159</f>
        <v>-0.000713684590739156</v>
      </c>
      <c r="AH237" s="91" t="n">
        <f aca="false">AH198-AH159</f>
        <v>-3.54764052885676E-005</v>
      </c>
      <c r="AI237" s="91" t="n">
        <f aca="false">AI198-AI159</f>
        <v>-0.000240727865039711</v>
      </c>
      <c r="AJ237" s="91" t="n">
        <f aca="false">AJ198-AJ159</f>
        <v>-0.000152544949367744</v>
      </c>
      <c r="AK237" s="91" t="n">
        <f aca="false">AK198-AK159</f>
        <v>-0.00256937226776387</v>
      </c>
    </row>
    <row r="238" customFormat="false" ht="12.75" hidden="false" customHeight="false" outlineLevel="0" collapsed="false">
      <c r="B238" s="89" t="s">
        <v>135</v>
      </c>
      <c r="C238" s="89" t="s">
        <v>136</v>
      </c>
      <c r="D238" s="91" t="n">
        <f aca="false">D199-D160</f>
        <v>-0.000938282450783394</v>
      </c>
      <c r="E238" s="91" t="n">
        <f aca="false">E199-E160</f>
        <v>-0.000833921608937618</v>
      </c>
      <c r="F238" s="91" t="n">
        <f aca="false">F199-F160</f>
        <v>-0.00022240688783045</v>
      </c>
      <c r="G238" s="91" t="n">
        <f aca="false">G199-G160</f>
        <v>-0.000144381557848277</v>
      </c>
      <c r="H238" s="91" t="n">
        <f aca="false">H199-H160</f>
        <v>-0.000143826413245967</v>
      </c>
      <c r="I238" s="91" t="n">
        <f aca="false">I199-I160</f>
        <v>-0.000302132659795196</v>
      </c>
      <c r="J238" s="91" t="n">
        <f aca="false">J199-J160</f>
        <v>-0.000706323630828035</v>
      </c>
      <c r="K238" s="91" t="n">
        <f aca="false">K199-K160</f>
        <v>-0.000398618043986094</v>
      </c>
      <c r="L238" s="91" t="n">
        <f aca="false">L199-L160</f>
        <v>-0.000398359138169457</v>
      </c>
      <c r="M238" s="91" t="n">
        <f aca="false">M199-M160</f>
        <v>-0.000968342992028655</v>
      </c>
      <c r="N238" s="91" t="n">
        <f aca="false">N199-N160</f>
        <v>-0.000960361762525386</v>
      </c>
      <c r="O238" s="91" t="n">
        <f aca="false">O199-O160</f>
        <v>-0.000346844511492103</v>
      </c>
      <c r="P238" s="91" t="n">
        <f aca="false">P199-P160</f>
        <v>0.994985386577858</v>
      </c>
      <c r="Q238" s="91" t="n">
        <f aca="false">Q199-Q160</f>
        <v>-0.00497167568440524</v>
      </c>
      <c r="R238" s="91" t="n">
        <f aca="false">R199-R160</f>
        <v>-0.00496149540621329</v>
      </c>
      <c r="S238" s="91" t="n">
        <f aca="false">S199-S160</f>
        <v>-0.000718189376772134</v>
      </c>
      <c r="T238" s="91" t="n">
        <f aca="false">T199-T160</f>
        <v>-0.00314850561975469</v>
      </c>
      <c r="U238" s="91" t="n">
        <f aca="false">U199-U160</f>
        <v>-0.00179316868360414</v>
      </c>
      <c r="V238" s="91" t="n">
        <f aca="false">V199-V160</f>
        <v>-0.00030472675322636</v>
      </c>
      <c r="W238" s="91" t="n">
        <f aca="false">W199-W160</f>
        <v>-0.000850447564148656</v>
      </c>
      <c r="X238" s="91" t="n">
        <f aca="false">X199-X160</f>
        <v>-0.000863724498744489</v>
      </c>
      <c r="Y238" s="91" t="n">
        <f aca="false">Y199-Y160</f>
        <v>-0.00108276524213447</v>
      </c>
      <c r="Z238" s="91" t="n">
        <f aca="false">Z199-Z160</f>
        <v>-0.00244635523952414</v>
      </c>
      <c r="AA238" s="91" t="n">
        <f aca="false">AA199-AA160</f>
        <v>-0.00283553998870787</v>
      </c>
      <c r="AB238" s="91" t="n">
        <f aca="false">AB199-AB160</f>
        <v>-0.0027287207794096</v>
      </c>
      <c r="AC238" s="91" t="n">
        <f aca="false">AC199-AC160</f>
        <v>-0.00233392525198326</v>
      </c>
      <c r="AD238" s="91" t="n">
        <f aca="false">AD199-AD160</f>
        <v>-0.00432793982827949</v>
      </c>
      <c r="AE238" s="91" t="n">
        <f aca="false">AE199-AE160</f>
        <v>-1.76175715422504E-005</v>
      </c>
      <c r="AF238" s="91" t="n">
        <f aca="false">AF199-AF160</f>
        <v>-0.000711395503851225</v>
      </c>
      <c r="AG238" s="91" t="n">
        <f aca="false">AG199-AG160</f>
        <v>-0.000728366140515416</v>
      </c>
      <c r="AH238" s="91" t="n">
        <f aca="false">AH199-AH160</f>
        <v>-0.000547486755053493</v>
      </c>
      <c r="AI238" s="91" t="n">
        <f aca="false">AI199-AI160</f>
        <v>-0.000319359646348287</v>
      </c>
      <c r="AJ238" s="91" t="n">
        <f aca="false">AJ199-AJ160</f>
        <v>-0.000326066303669791</v>
      </c>
      <c r="AK238" s="91" t="n">
        <f aca="false">AK199-AK160</f>
        <v>-0.00177622274492993</v>
      </c>
    </row>
    <row r="239" customFormat="false" ht="12.75" hidden="false" customHeight="false" outlineLevel="0" collapsed="false">
      <c r="B239" s="89" t="s">
        <v>137</v>
      </c>
      <c r="C239" s="89" t="s">
        <v>138</v>
      </c>
      <c r="D239" s="91" t="n">
        <f aca="false">D200-D161</f>
        <v>-0.000212030735317942</v>
      </c>
      <c r="E239" s="91" t="n">
        <f aca="false">E200-E161</f>
        <v>-0.000188447531756495</v>
      </c>
      <c r="F239" s="91" t="n">
        <f aca="false">F200-F161</f>
        <v>-5.02589555278296E-005</v>
      </c>
      <c r="G239" s="91" t="n">
        <f aca="false">G200-G161</f>
        <v>-3.2626985457695E-005</v>
      </c>
      <c r="H239" s="91" t="n">
        <f aca="false">H200-H161</f>
        <v>-3.25015352607552E-005</v>
      </c>
      <c r="I239" s="91" t="n">
        <f aca="false">I200-I161</f>
        <v>-6.82751872492715E-005</v>
      </c>
      <c r="J239" s="91" t="n">
        <f aca="false">J200-J161</f>
        <v>-0.000159613257918089</v>
      </c>
      <c r="K239" s="91" t="n">
        <f aca="false">K200-K161</f>
        <v>-9.0078714471111E-005</v>
      </c>
      <c r="L239" s="91" t="n">
        <f aca="false">L200-L161</f>
        <v>-9.00202075784017E-005</v>
      </c>
      <c r="M239" s="91" t="n">
        <f aca="false">M200-M161</f>
        <v>-0.000218823741687151</v>
      </c>
      <c r="N239" s="91" t="n">
        <f aca="false">N200-N161</f>
        <v>-0.000217020163288232</v>
      </c>
      <c r="O239" s="91" t="n">
        <f aca="false">O200-O161</f>
        <v>-7.8379060325877E-005</v>
      </c>
      <c r="P239" s="91" t="n">
        <f aca="false">P200-P161</f>
        <v>-0.00113318987299002</v>
      </c>
      <c r="Q239" s="91" t="n">
        <f aca="false">Q200-Q161</f>
        <v>0.998876513090225</v>
      </c>
      <c r="R239" s="91" t="n">
        <f aca="false">R200-R161</f>
        <v>-0.00112118639582108</v>
      </c>
      <c r="S239" s="91" t="n">
        <f aca="false">S200-S161</f>
        <v>-0.000162294649683996</v>
      </c>
      <c r="T239" s="91" t="n">
        <f aca="false">T200-T161</f>
        <v>-0.000778340728881565</v>
      </c>
      <c r="U239" s="91" t="n">
        <f aca="false">U200-U161</f>
        <v>-0.000405215800653901</v>
      </c>
      <c r="V239" s="91" t="n">
        <f aca="false">V200-V161</f>
        <v>-6.88613940329898E-005</v>
      </c>
      <c r="W239" s="91" t="n">
        <f aca="false">W200-W161</f>
        <v>-0.000192182026025573</v>
      </c>
      <c r="X239" s="91" t="n">
        <f aca="false">X200-X161</f>
        <v>-0.000195182314694271</v>
      </c>
      <c r="Y239" s="91" t="n">
        <f aca="false">Y200-Y161</f>
        <v>-0.000244680597270899</v>
      </c>
      <c r="Z239" s="91" t="n">
        <f aca="false">Z200-Z161</f>
        <v>-0.000620441687624494</v>
      </c>
      <c r="AA239" s="91" t="n">
        <f aca="false">AA200-AA161</f>
        <v>-0.00064076827646855</v>
      </c>
      <c r="AB239" s="91" t="n">
        <f aca="false">AB200-AB161</f>
        <v>-0.000616629537142574</v>
      </c>
      <c r="AC239" s="91" t="n">
        <f aca="false">AC200-AC161</f>
        <v>-0.000617087800399162</v>
      </c>
      <c r="AD239" s="91" t="n">
        <f aca="false">AD200-AD161</f>
        <v>-0.00104252657930974</v>
      </c>
      <c r="AE239" s="91" t="n">
        <f aca="false">AE200-AE161</f>
        <v>-3.98117501345251E-006</v>
      </c>
      <c r="AF239" s="91" t="n">
        <f aca="false">AF200-AF161</f>
        <v>-0.000160759387173357</v>
      </c>
      <c r="AG239" s="91" t="n">
        <f aca="false">AG200-AG161</f>
        <v>-0.000164594369451581</v>
      </c>
      <c r="AH239" s="91" t="n">
        <f aca="false">AH200-AH161</f>
        <v>-0.000123719695656575</v>
      </c>
      <c r="AI239" s="91" t="n">
        <f aca="false">AI200-AI161</f>
        <v>-7.21680988380093E-005</v>
      </c>
      <c r="AJ239" s="91" t="n">
        <f aca="false">AJ200-AJ161</f>
        <v>-7.3683652584344E-005</v>
      </c>
      <c r="AK239" s="91" t="n">
        <f aca="false">AK200-AK161</f>
        <v>-0.000401386399566041</v>
      </c>
    </row>
    <row r="240" customFormat="false" ht="12.75" hidden="false" customHeight="false" outlineLevel="0" collapsed="false">
      <c r="B240" s="89" t="s">
        <v>139</v>
      </c>
      <c r="C240" s="89" t="s">
        <v>140</v>
      </c>
      <c r="D240" s="91" t="n">
        <f aca="false">D201-D162</f>
        <v>-0.000543814062032261</v>
      </c>
      <c r="E240" s="91" t="n">
        <f aca="false">E201-E162</f>
        <v>-0.000483328124909736</v>
      </c>
      <c r="F240" s="91" t="n">
        <f aca="false">F201-F162</f>
        <v>-0.000128903607857153</v>
      </c>
      <c r="G240" s="91" t="n">
        <f aca="false">G201-G162</f>
        <v>-8.36813279311178E-005</v>
      </c>
      <c r="H240" s="91" t="n">
        <f aca="false">H201-H162</f>
        <v>-8.3359574667006E-005</v>
      </c>
      <c r="I240" s="91" t="n">
        <f aca="false">I201-I162</f>
        <v>-0.000175111437775114</v>
      </c>
      <c r="J240" s="91" t="n">
        <f aca="false">J201-J162</f>
        <v>-0.000409374301383628</v>
      </c>
      <c r="K240" s="91" t="n">
        <f aca="false">K201-K162</f>
        <v>-0.000231032880896838</v>
      </c>
      <c r="L240" s="91" t="n">
        <f aca="false">L201-L162</f>
        <v>-0.000230882823071807</v>
      </c>
      <c r="M240" s="91" t="n">
        <f aca="false">M201-M162</f>
        <v>-0.000561236688905253</v>
      </c>
      <c r="N240" s="91" t="n">
        <f aca="false">N201-N162</f>
        <v>-0.000556610891169654</v>
      </c>
      <c r="O240" s="91" t="n">
        <f aca="false">O201-O162</f>
        <v>-0.000201025738604225</v>
      </c>
      <c r="P240" s="91" t="n">
        <f aca="false">P201-P162</f>
        <v>-0.00290639273103713</v>
      </c>
      <c r="Q240" s="91" t="n">
        <f aca="false">Q201-Q162</f>
        <v>-0.00288150667934385</v>
      </c>
      <c r="R240" s="91" t="n">
        <f aca="false">R201-R162</f>
        <v>0.997124393653154</v>
      </c>
      <c r="S240" s="91" t="n">
        <f aca="false">S201-S162</f>
        <v>-0.000416251505039647</v>
      </c>
      <c r="T240" s="91" t="n">
        <f aca="false">T201-T162</f>
        <v>-0.00199627960910255</v>
      </c>
      <c r="U240" s="91" t="n">
        <f aca="false">U201-U162</f>
        <v>-0.0010392929601589</v>
      </c>
      <c r="V240" s="91" t="n">
        <f aca="false">V201-V162</f>
        <v>-0.000176614934387369</v>
      </c>
      <c r="W240" s="91" t="n">
        <f aca="false">W201-W162</f>
        <v>-0.000492906314105077</v>
      </c>
      <c r="X240" s="91" t="n">
        <f aca="false">X201-X162</f>
        <v>-0.00050060142097601</v>
      </c>
      <c r="Y240" s="91" t="n">
        <f aca="false">Y201-Y162</f>
        <v>-0.000627554063342942</v>
      </c>
      <c r="Z240" s="91" t="n">
        <f aca="false">Z201-Z162</f>
        <v>-0.00159130191146715</v>
      </c>
      <c r="AA240" s="91" t="n">
        <f aca="false">AA201-AA162</f>
        <v>-0.00164343531953164</v>
      </c>
      <c r="AB240" s="91" t="n">
        <f aca="false">AB201-AB162</f>
        <v>-0.00158152455048436</v>
      </c>
      <c r="AC240" s="91" t="n">
        <f aca="false">AC201-AC162</f>
        <v>-0.00158269989896706</v>
      </c>
      <c r="AD240" s="91" t="n">
        <f aca="false">AD201-AD162</f>
        <v>-0.0023933641376769</v>
      </c>
      <c r="AE240" s="91" t="n">
        <f aca="false">AE201-AE162</f>
        <v>-1.02108732136427E-005</v>
      </c>
      <c r="AF240" s="91" t="n">
        <f aca="false">AF201-AF162</f>
        <v>-0.000412313880897823</v>
      </c>
      <c r="AG240" s="91" t="n">
        <f aca="false">AG201-AG162</f>
        <v>-0.0004221498006168</v>
      </c>
      <c r="AH240" s="91" t="n">
        <f aca="false">AH201-AH162</f>
        <v>-0.000317314893746461</v>
      </c>
      <c r="AI240" s="91" t="n">
        <f aca="false">AI201-AI162</f>
        <v>-0.000185095933942754</v>
      </c>
      <c r="AJ240" s="91" t="n">
        <f aca="false">AJ201-AJ162</f>
        <v>-0.000188983009265992</v>
      </c>
      <c r="AK240" s="91" t="n">
        <f aca="false">AK201-AK162</f>
        <v>-0.00102947135501464</v>
      </c>
    </row>
    <row r="241" customFormat="false" ht="12.75" hidden="false" customHeight="false" outlineLevel="0" collapsed="false">
      <c r="B241" s="89" t="s">
        <v>141</v>
      </c>
      <c r="C241" s="89" t="s">
        <v>142</v>
      </c>
      <c r="D241" s="91" t="n">
        <f aca="false">D202-D163</f>
        <v>-5.60231002383695E-007</v>
      </c>
      <c r="E241" s="91" t="n">
        <f aca="false">E202-E163</f>
        <v>-5.55020350083392E-005</v>
      </c>
      <c r="F241" s="91" t="n">
        <f aca="false">F202-F163</f>
        <v>-0.000477536926760559</v>
      </c>
      <c r="G241" s="91" t="n">
        <f aca="false">G202-G163</f>
        <v>-0.0237106418182441</v>
      </c>
      <c r="H241" s="91" t="n">
        <f aca="false">H202-H163</f>
        <v>-0.0254606432081652</v>
      </c>
      <c r="I241" s="91" t="n">
        <f aca="false">I202-I163</f>
        <v>0</v>
      </c>
      <c r="J241" s="91" t="n">
        <f aca="false">J202-J163</f>
        <v>-0.00101982288331787</v>
      </c>
      <c r="K241" s="91" t="n">
        <f aca="false">K202-K163</f>
        <v>0</v>
      </c>
      <c r="L241" s="91" t="n">
        <f aca="false">L202-L163</f>
        <v>0</v>
      </c>
      <c r="M241" s="91" t="n">
        <f aca="false">M202-M163</f>
        <v>-0.000766353732727859</v>
      </c>
      <c r="N241" s="91" t="n">
        <f aca="false">N202-N163</f>
        <v>-0.000760037329271708</v>
      </c>
      <c r="O241" s="91" t="n">
        <f aca="false">O202-O163</f>
        <v>-5.97395986239383E-005</v>
      </c>
      <c r="P241" s="91" t="n">
        <f aca="false">P202-P163</f>
        <v>-0.000620967394921221</v>
      </c>
      <c r="Q241" s="91" t="n">
        <f aca="false">Q202-Q163</f>
        <v>-0.000615650347942387</v>
      </c>
      <c r="R241" s="91" t="n">
        <f aca="false">R202-R163</f>
        <v>-0.000614389708228758</v>
      </c>
      <c r="S241" s="91" t="n">
        <f aca="false">S202-S163</f>
        <v>0.97488505890428</v>
      </c>
      <c r="T241" s="91" t="n">
        <f aca="false">T202-T163</f>
        <v>-0.000102243410583084</v>
      </c>
      <c r="U241" s="91" t="n">
        <f aca="false">U202-U163</f>
        <v>-0.00143828274582169</v>
      </c>
      <c r="V241" s="91" t="n">
        <f aca="false">V202-V163</f>
        <v>-0.000331112263125884</v>
      </c>
      <c r="W241" s="91" t="n">
        <f aca="false">W202-W163</f>
        <v>-0.000690291975175587</v>
      </c>
      <c r="X241" s="91" t="n">
        <f aca="false">X202-X163</f>
        <v>-0.000252604990166021</v>
      </c>
      <c r="Y241" s="91" t="n">
        <f aca="false">Y202-Y163</f>
        <v>-0.00137289810558489</v>
      </c>
      <c r="Z241" s="91" t="n">
        <f aca="false">Z202-Z163</f>
        <v>-0.000634049628862277</v>
      </c>
      <c r="AA241" s="91" t="n">
        <f aca="false">AA202-AA163</f>
        <v>-0.000654822034020857</v>
      </c>
      <c r="AB241" s="91" t="n">
        <f aca="false">AB202-AB163</f>
        <v>-0.000630153867751379</v>
      </c>
      <c r="AC241" s="91" t="n">
        <f aca="false">AC202-AC163</f>
        <v>-0.000630622181943597</v>
      </c>
      <c r="AD241" s="91" t="n">
        <f aca="false">AD202-AD163</f>
        <v>-0.00059301012422909</v>
      </c>
      <c r="AE241" s="91" t="n">
        <f aca="false">AE202-AE163</f>
        <v>-8.35730759061434E-006</v>
      </c>
      <c r="AF241" s="91" t="n">
        <f aca="false">AF202-AF163</f>
        <v>-0.000355736750228502</v>
      </c>
      <c r="AG241" s="91" t="n">
        <f aca="false">AG202-AG163</f>
        <v>-0.000364222998881393</v>
      </c>
      <c r="AH241" s="91" t="n">
        <f aca="false">AH202-AH163</f>
        <v>-8.89114282297585E-005</v>
      </c>
      <c r="AI241" s="91" t="n">
        <f aca="false">AI202-AI163</f>
        <v>-0.000410396042851177</v>
      </c>
      <c r="AJ241" s="91" t="n">
        <f aca="false">AJ202-AJ163</f>
        <v>-6.93246651068636E-005</v>
      </c>
      <c r="AK241" s="91" t="n">
        <f aca="false">AK202-AK163</f>
        <v>-0.00653127554829645</v>
      </c>
    </row>
    <row r="242" customFormat="false" ht="12.75" hidden="false" customHeight="false" outlineLevel="0" collapsed="false">
      <c r="B242" s="89" t="s">
        <v>143</v>
      </c>
      <c r="C242" s="89" t="s">
        <v>144</v>
      </c>
      <c r="D242" s="91" t="n">
        <f aca="false">D203-D164</f>
        <v>-0.000148990422218775</v>
      </c>
      <c r="E242" s="91" t="n">
        <f aca="false">E203-E164</f>
        <v>-0.0117914196711194</v>
      </c>
      <c r="F242" s="91" t="n">
        <f aca="false">F203-F164</f>
        <v>-0.0114775807808632</v>
      </c>
      <c r="G242" s="91" t="n">
        <f aca="false">G203-G164</f>
        <v>-0.012669702240101</v>
      </c>
      <c r="H242" s="91" t="n">
        <f aca="false">H203-H164</f>
        <v>-0.0126209874532797</v>
      </c>
      <c r="I242" s="91" t="n">
        <f aca="false">I203-I164</f>
        <v>-0.0257441724643207</v>
      </c>
      <c r="J242" s="91" t="n">
        <f aca="false">J203-J164</f>
        <v>-0.0537535851981697</v>
      </c>
      <c r="K242" s="91" t="n">
        <f aca="false">K203-K164</f>
        <v>-0.0279991429706886</v>
      </c>
      <c r="L242" s="91" t="n">
        <f aca="false">L203-L164</f>
        <v>-0.0279809572887177</v>
      </c>
      <c r="M242" s="91" t="n">
        <f aca="false">M203-M164</f>
        <v>-0.0195083813351334</v>
      </c>
      <c r="N242" s="91" t="n">
        <f aca="false">N203-N164</f>
        <v>-0.0193475903034901</v>
      </c>
      <c r="O242" s="91" t="n">
        <f aca="false">O203-O164</f>
        <v>-0.00538098728028067</v>
      </c>
      <c r="P242" s="91" t="n">
        <f aca="false">P203-P164</f>
        <v>-0.0701750436399834</v>
      </c>
      <c r="Q242" s="91" t="n">
        <f aca="false">Q203-Q164</f>
        <v>-0.06957416828513</v>
      </c>
      <c r="R242" s="91" t="n">
        <f aca="false">R203-R164</f>
        <v>-0.0694317043689217</v>
      </c>
      <c r="S242" s="91" t="n">
        <f aca="false">S203-S164</f>
        <v>-0.0118444553806173</v>
      </c>
      <c r="T242" s="91" t="n">
        <f aca="false">T203-T164</f>
        <v>0.971400426706334</v>
      </c>
      <c r="U242" s="91" t="n">
        <f aca="false">U203-U164</f>
        <v>-0.00736302151841703</v>
      </c>
      <c r="V242" s="91" t="n">
        <f aca="false">V203-V164</f>
        <v>-0.00391482769655305</v>
      </c>
      <c r="W242" s="91" t="n">
        <f aca="false">W203-W164</f>
        <v>-0.00710774295050504</v>
      </c>
      <c r="X242" s="91" t="n">
        <f aca="false">X203-X164</f>
        <v>-0.00322260360920539</v>
      </c>
      <c r="Y242" s="91" t="n">
        <f aca="false">Y203-Y164</f>
        <v>-0.0227377714030418</v>
      </c>
      <c r="Z242" s="91" t="n">
        <f aca="false">Z203-Z164</f>
        <v>-0.00291475093285727</v>
      </c>
      <c r="AA242" s="91" t="n">
        <f aca="false">AA203-AA164</f>
        <v>-0.00301024249149486</v>
      </c>
      <c r="AB242" s="91" t="n">
        <f aca="false">AB203-AB164</f>
        <v>-0.00289684196672073</v>
      </c>
      <c r="AC242" s="91" t="n">
        <f aca="false">AC203-AC164</f>
        <v>-0.00289899482537168</v>
      </c>
      <c r="AD242" s="91" t="n">
        <f aca="false">AD203-AD164</f>
        <v>-0.00424596375606581</v>
      </c>
      <c r="AE242" s="91" t="n">
        <f aca="false">AE203-AE164</f>
        <v>-0.000540759444442504</v>
      </c>
      <c r="AF242" s="91" t="n">
        <f aca="false">AF203-AF164</f>
        <v>-0.00818998631439168</v>
      </c>
      <c r="AG242" s="91" t="n">
        <f aca="false">AG203-AG164</f>
        <v>-0.00838536185623004</v>
      </c>
      <c r="AH242" s="91" t="n">
        <f aca="false">AH203-AH164</f>
        <v>-0.0119663115831934</v>
      </c>
      <c r="AI242" s="91" t="n">
        <f aca="false">AI203-AI164</f>
        <v>-0.0128018987332919</v>
      </c>
      <c r="AJ242" s="91" t="n">
        <f aca="false">AJ203-AJ164</f>
        <v>-0.0208522633365096</v>
      </c>
      <c r="AK242" s="91" t="n">
        <f aca="false">AK203-AK164</f>
        <v>-0.0124464511047098</v>
      </c>
    </row>
    <row r="243" customFormat="false" ht="12.75" hidden="false" customHeight="false" outlineLevel="0" collapsed="false">
      <c r="B243" s="89" t="s">
        <v>145</v>
      </c>
      <c r="C243" s="89" t="s">
        <v>146</v>
      </c>
      <c r="D243" s="91" t="n">
        <f aca="false">D204-D165</f>
        <v>-1.3570337517427E-006</v>
      </c>
      <c r="E243" s="91" t="n">
        <f aca="false">E204-E165</f>
        <v>-0.000195597759644827</v>
      </c>
      <c r="F243" s="91" t="n">
        <f aca="false">F204-F165</f>
        <v>-0.00354988495531006</v>
      </c>
      <c r="G243" s="91" t="n">
        <f aca="false">G204-G165</f>
        <v>-0.0058023878387345</v>
      </c>
      <c r="H243" s="91" t="n">
        <f aca="false">H204-H165</f>
        <v>-0.00578007775746652</v>
      </c>
      <c r="I243" s="91" t="n">
        <f aca="false">I204-I165</f>
        <v>0</v>
      </c>
      <c r="J243" s="91" t="n">
        <f aca="false">J204-J165</f>
        <v>-0.0120520298839559</v>
      </c>
      <c r="K243" s="91" t="n">
        <f aca="false">K204-K165</f>
        <v>-0.000985166208804301</v>
      </c>
      <c r="L243" s="91" t="n">
        <f aca="false">L204-L165</f>
        <v>-0.000984526334955991</v>
      </c>
      <c r="M243" s="91" t="n">
        <f aca="false">M204-M165</f>
        <v>-0.00989773898704454</v>
      </c>
      <c r="N243" s="91" t="n">
        <f aca="false">N204-N165</f>
        <v>-0.00981616032424696</v>
      </c>
      <c r="O243" s="91" t="n">
        <f aca="false">O204-O165</f>
        <v>-0.00166782463365038</v>
      </c>
      <c r="P243" s="91" t="n">
        <f aca="false">P204-P165</f>
        <v>-0.000681126348093851</v>
      </c>
      <c r="Q243" s="91" t="n">
        <f aca="false">Q204-Q165</f>
        <v>-0.000675294188755126</v>
      </c>
      <c r="R243" s="91" t="n">
        <f aca="false">R204-R165</f>
        <v>-0.000673911419013221</v>
      </c>
      <c r="S243" s="91" t="n">
        <f aca="false">S204-S165</f>
        <v>-0.000585423925534414</v>
      </c>
      <c r="T243" s="91" t="n">
        <f aca="false">T204-T165</f>
        <v>-0.00187296406832987</v>
      </c>
      <c r="U243" s="91" t="n">
        <f aca="false">U204-U165</f>
        <v>0.847887715617595</v>
      </c>
      <c r="V243" s="91" t="n">
        <f aca="false">V204-V165</f>
        <v>0</v>
      </c>
      <c r="W243" s="91" t="n">
        <f aca="false">W204-W165</f>
        <v>-0.0157438957436976</v>
      </c>
      <c r="X243" s="91" t="n">
        <f aca="false">X204-X165</f>
        <v>-0.0184359689432952</v>
      </c>
      <c r="Y243" s="91" t="n">
        <f aca="false">Y204-Y165</f>
        <v>-0.00896392358915316</v>
      </c>
      <c r="Z243" s="91" t="n">
        <f aca="false">Z204-Z165</f>
        <v>-0.00306548641957569</v>
      </c>
      <c r="AA243" s="91" t="n">
        <f aca="false">AA204-AA165</f>
        <v>-0.00316591629606628</v>
      </c>
      <c r="AB243" s="91" t="n">
        <f aca="false">AB204-AB165</f>
        <v>-0.00304665129652577</v>
      </c>
      <c r="AC243" s="91" t="n">
        <f aca="false">AC204-AC165</f>
        <v>-0.00304891548962831</v>
      </c>
      <c r="AD243" s="91" t="n">
        <f aca="false">AD204-AD165</f>
        <v>-0.000742564973179659</v>
      </c>
      <c r="AE243" s="91" t="n">
        <f aca="false">AE204-AE165</f>
        <v>-0.000133370260366478</v>
      </c>
      <c r="AF243" s="91" t="n">
        <f aca="false">AF204-AF165</f>
        <v>-0.0351007746616354</v>
      </c>
      <c r="AG243" s="91" t="n">
        <f aca="false">AG204-AG165</f>
        <v>-0.03593811829143</v>
      </c>
      <c r="AH243" s="91" t="n">
        <f aca="false">AH204-AH165</f>
        <v>0</v>
      </c>
      <c r="AI243" s="91" t="n">
        <f aca="false">AI204-AI165</f>
        <v>-0.0262101602908501</v>
      </c>
      <c r="AJ243" s="91" t="n">
        <f aca="false">AJ204-AJ165</f>
        <v>-0.00242289517507123</v>
      </c>
      <c r="AK243" s="91" t="n">
        <f aca="false">AK204-AK165</f>
        <v>-0.0222053937239863</v>
      </c>
    </row>
    <row r="244" customFormat="false" ht="12.75" hidden="false" customHeight="false" outlineLevel="0" collapsed="false">
      <c r="B244" s="89" t="s">
        <v>147</v>
      </c>
      <c r="C244" s="89" t="s">
        <v>148</v>
      </c>
      <c r="D244" s="91" t="n">
        <f aca="false">D205-D166</f>
        <v>-0.00253009501183372</v>
      </c>
      <c r="E244" s="91" t="n">
        <f aca="false">E205-E166</f>
        <v>-0.00675984332337907</v>
      </c>
      <c r="F244" s="91" t="n">
        <f aca="false">F205-F166</f>
        <v>-0.00033785500821949</v>
      </c>
      <c r="G244" s="91" t="n">
        <f aca="false">G205-G166</f>
        <v>-0.00185487697826519</v>
      </c>
      <c r="H244" s="91" t="n">
        <f aca="false">H205-H166</f>
        <v>-0.00184774500824227</v>
      </c>
      <c r="I244" s="91" t="n">
        <f aca="false">I205-I166</f>
        <v>-0.00335040235100168</v>
      </c>
      <c r="J244" s="91" t="n">
        <f aca="false">J205-J166</f>
        <v>-0.00521425850074766</v>
      </c>
      <c r="K244" s="91" t="n">
        <f aca="false">K205-K166</f>
        <v>-0.00359057049450148</v>
      </c>
      <c r="L244" s="91" t="n">
        <f aca="false">L205-L166</f>
        <v>-0.00358823838836607</v>
      </c>
      <c r="M244" s="91" t="n">
        <f aca="false">M205-M166</f>
        <v>-0.0026560359956631</v>
      </c>
      <c r="N244" s="91" t="n">
        <f aca="false">N205-N166</f>
        <v>-0.00263414454498412</v>
      </c>
      <c r="O244" s="91" t="n">
        <f aca="false">O205-O166</f>
        <v>-0.000161482887945797</v>
      </c>
      <c r="P244" s="91" t="n">
        <f aca="false">P205-P166</f>
        <v>-0.00265905391724498</v>
      </c>
      <c r="Q244" s="91" t="n">
        <f aca="false">Q205-Q166</f>
        <v>-0.00263628570958566</v>
      </c>
      <c r="R244" s="91" t="n">
        <f aca="false">R205-R166</f>
        <v>-0.0026308875051128</v>
      </c>
      <c r="S244" s="91" t="n">
        <f aca="false">S205-S166</f>
        <v>-0.000737238890333455</v>
      </c>
      <c r="T244" s="91" t="n">
        <f aca="false">T205-T166</f>
        <v>-0.00210762273123398</v>
      </c>
      <c r="U244" s="91" t="n">
        <f aca="false">U205-U166</f>
        <v>-9.67841388073898E-005</v>
      </c>
      <c r="V244" s="91" t="n">
        <f aca="false">V205-V166</f>
        <v>0.997020395908833</v>
      </c>
      <c r="W244" s="91" t="n">
        <f aca="false">W205-W166</f>
        <v>-0.00239097521690791</v>
      </c>
      <c r="X244" s="91" t="n">
        <f aca="false">X205-X166</f>
        <v>-0.000295354182518091</v>
      </c>
      <c r="Y244" s="91" t="n">
        <f aca="false">Y205-Y166</f>
        <v>-0.000705942114680459</v>
      </c>
      <c r="Z244" s="91" t="n">
        <f aca="false">Z205-Z166</f>
        <v>-0.00190641097447134</v>
      </c>
      <c r="AA244" s="91" t="n">
        <f aca="false">AA205-AA166</f>
        <v>-0.00196886782226026</v>
      </c>
      <c r="AB244" s="91" t="n">
        <f aca="false">AB205-AB166</f>
        <v>-0.00189469750379388</v>
      </c>
      <c r="AC244" s="91" t="n">
        <f aca="false">AC205-AC166</f>
        <v>-0.00189610559438317</v>
      </c>
      <c r="AD244" s="91" t="n">
        <f aca="false">AD205-AD166</f>
        <v>-0.00336831614524474</v>
      </c>
      <c r="AE244" s="91" t="n">
        <f aca="false">AE205-AE166</f>
        <v>-4.318880954499E-005</v>
      </c>
      <c r="AF244" s="91" t="n">
        <f aca="false">AF205-AF166</f>
        <v>-0.00106595745703243</v>
      </c>
      <c r="AG244" s="91" t="n">
        <f aca="false">AG205-AG166</f>
        <v>-0.00109138631707563</v>
      </c>
      <c r="AH244" s="91" t="n">
        <f aca="false">AH205-AH166</f>
        <v>-0.00255945740955501</v>
      </c>
      <c r="AI244" s="91" t="n">
        <f aca="false">AI205-AI166</f>
        <v>-0.000301778906951472</v>
      </c>
      <c r="AJ244" s="91" t="n">
        <f aca="false">AJ205-AJ166</f>
        <v>-0.00135945092426072</v>
      </c>
      <c r="AK244" s="91" t="n">
        <f aca="false">AK205-AK166</f>
        <v>-0.00291435527190124</v>
      </c>
    </row>
    <row r="245" customFormat="false" ht="12.75" hidden="false" customHeight="false" outlineLevel="0" collapsed="false">
      <c r="B245" s="89" t="s">
        <v>149</v>
      </c>
      <c r="C245" s="89" t="s">
        <v>150</v>
      </c>
      <c r="D245" s="91" t="n">
        <f aca="false">D206-D167</f>
        <v>-0.0277535760585183</v>
      </c>
      <c r="E245" s="91" t="n">
        <f aca="false">E206-E167</f>
        <v>-0.00463514583040048</v>
      </c>
      <c r="F245" s="91" t="n">
        <f aca="false">F206-F167</f>
        <v>-0.030464169144327</v>
      </c>
      <c r="G245" s="91" t="n">
        <f aca="false">G206-G167</f>
        <v>-0.0147530709768037</v>
      </c>
      <c r="H245" s="91" t="n">
        <f aca="false">H206-H167</f>
        <v>-0.0146963456730853</v>
      </c>
      <c r="I245" s="91" t="n">
        <f aca="false">I206-I167</f>
        <v>-0.00254654110489096</v>
      </c>
      <c r="J245" s="91" t="n">
        <f aca="false">J206-J167</f>
        <v>-0.00456392625594048</v>
      </c>
      <c r="K245" s="91" t="n">
        <f aca="false">K206-K167</f>
        <v>-0.0107433051723097</v>
      </c>
      <c r="L245" s="91" t="n">
        <f aca="false">L206-L167</f>
        <v>-0.0107363273040447</v>
      </c>
      <c r="M245" s="91" t="n">
        <f aca="false">M206-M167</f>
        <v>-0.0055221184506951</v>
      </c>
      <c r="N245" s="91" t="n">
        <f aca="false">N206-N167</f>
        <v>-0.00547660431462758</v>
      </c>
      <c r="O245" s="91" t="n">
        <f aca="false">O206-O167</f>
        <v>-0.00854804593374969</v>
      </c>
      <c r="P245" s="91" t="n">
        <f aca="false">P206-P167</f>
        <v>-0.00924800621666448</v>
      </c>
      <c r="Q245" s="91" t="n">
        <f aca="false">Q206-Q167</f>
        <v>-0.00916881995999991</v>
      </c>
      <c r="R245" s="91" t="n">
        <f aca="false">R206-R167</f>
        <v>-0.00915004537698005</v>
      </c>
      <c r="S245" s="91" t="n">
        <f aca="false">S206-S167</f>
        <v>-0.00526277219041263</v>
      </c>
      <c r="T245" s="91" t="n">
        <f aca="false">T206-T167</f>
        <v>-0.00475502102460962</v>
      </c>
      <c r="U245" s="91" t="n">
        <f aca="false">U206-U167</f>
        <v>-0.00619895692133572</v>
      </c>
      <c r="V245" s="91" t="n">
        <f aca="false">V206-V167</f>
        <v>-0.00109013576090102</v>
      </c>
      <c r="W245" s="91" t="n">
        <f aca="false">W206-W167</f>
        <v>0.996490838091691</v>
      </c>
      <c r="X245" s="91" t="n">
        <f aca="false">X206-X167</f>
        <v>-0.00817444537515395</v>
      </c>
      <c r="Y245" s="91" t="n">
        <f aca="false">Y206-Y167</f>
        <v>-0.0198746263080345</v>
      </c>
      <c r="Z245" s="91" t="n">
        <f aca="false">Z206-Z167</f>
        <v>-0.00332797348434513</v>
      </c>
      <c r="AA245" s="91" t="n">
        <f aca="false">AA206-AA167</f>
        <v>-0.00343700282594078</v>
      </c>
      <c r="AB245" s="91" t="n">
        <f aca="false">AB206-AB167</f>
        <v>-0.00330752557445252</v>
      </c>
      <c r="AC245" s="91" t="n">
        <f aca="false">AC206-AC167</f>
        <v>-0.00330998364262746</v>
      </c>
      <c r="AD245" s="91" t="n">
        <f aca="false">AD206-AD167</f>
        <v>-0.00350794003555691</v>
      </c>
      <c r="AE245" s="91" t="n">
        <f aca="false">AE206-AE167</f>
        <v>-7.30926010099396E-005</v>
      </c>
      <c r="AF245" s="91" t="n">
        <f aca="false">AF206-AF167</f>
        <v>-0.00455289232173641</v>
      </c>
      <c r="AG245" s="91" t="n">
        <f aca="false">AG206-AG167</f>
        <v>-0.00466150346834207</v>
      </c>
      <c r="AH245" s="91" t="n">
        <f aca="false">AH206-AH167</f>
        <v>-0.0100459334209805</v>
      </c>
      <c r="AI245" s="91" t="n">
        <f aca="false">AI206-AI167</f>
        <v>-0.00532964017716724</v>
      </c>
      <c r="AJ245" s="91" t="n">
        <f aca="false">AJ206-AJ167</f>
        <v>-0.00707896767311754</v>
      </c>
      <c r="AK245" s="91" t="n">
        <f aca="false">AK206-AK167</f>
        <v>-0.00392145317574745</v>
      </c>
    </row>
    <row r="246" customFormat="false" ht="12.75" hidden="false" customHeight="false" outlineLevel="0" collapsed="false">
      <c r="B246" s="89" t="s">
        <v>151</v>
      </c>
      <c r="C246" s="89" t="s">
        <v>152</v>
      </c>
      <c r="D246" s="91" t="n">
        <f aca="false">D207-D168</f>
        <v>-0.105970215114606</v>
      </c>
      <c r="E246" s="91" t="n">
        <f aca="false">E207-E168</f>
        <v>-0.0332704994626067</v>
      </c>
      <c r="F246" s="91" t="n">
        <f aca="false">F207-F168</f>
        <v>-0.120389890880014</v>
      </c>
      <c r="G246" s="91" t="n">
        <f aca="false">G207-G168</f>
        <v>-0.0817973885894022</v>
      </c>
      <c r="H246" s="91" t="n">
        <f aca="false">H207-H168</f>
        <v>-0.0814828790396004</v>
      </c>
      <c r="I246" s="91" t="n">
        <f aca="false">I207-I168</f>
        <v>-0.0208713034570802</v>
      </c>
      <c r="J246" s="91" t="n">
        <f aca="false">J207-J168</f>
        <v>-0.0298161880998504</v>
      </c>
      <c r="K246" s="91" t="n">
        <f aca="false">K207-K168</f>
        <v>-0.0634257635841702</v>
      </c>
      <c r="L246" s="91" t="n">
        <f aca="false">L207-L168</f>
        <v>-0.0633845680102012</v>
      </c>
      <c r="M246" s="91" t="n">
        <f aca="false">M207-M168</f>
        <v>-0.0283520991637556</v>
      </c>
      <c r="N246" s="91" t="n">
        <f aca="false">N207-N168</f>
        <v>-0.028118416871233</v>
      </c>
      <c r="O246" s="91" t="n">
        <f aca="false">O207-O168</f>
        <v>-0.0166181830893615</v>
      </c>
      <c r="P246" s="91" t="n">
        <f aca="false">P207-P168</f>
        <v>-0.0356854159424134</v>
      </c>
      <c r="Q246" s="91" t="n">
        <f aca="false">Q207-Q168</f>
        <v>-0.0353798587834114</v>
      </c>
      <c r="R246" s="91" t="n">
        <f aca="false">R207-R168</f>
        <v>-0.035307413027157</v>
      </c>
      <c r="S246" s="91" t="n">
        <f aca="false">S207-S168</f>
        <v>-0.0296775661171453</v>
      </c>
      <c r="T246" s="91" t="n">
        <f aca="false">T207-T168</f>
        <v>-0.0289138050708111</v>
      </c>
      <c r="U246" s="91" t="n">
        <f aca="false">U207-U168</f>
        <v>-0.041546822986625</v>
      </c>
      <c r="V246" s="91" t="n">
        <f aca="false">V207-V168</f>
        <v>-0.0190749069912262</v>
      </c>
      <c r="W246" s="91" t="n">
        <f aca="false">W207-W168</f>
        <v>-0.0238593404421232</v>
      </c>
      <c r="X246" s="91" t="n">
        <f aca="false">X207-X168</f>
        <v>0.956733067974933</v>
      </c>
      <c r="Y246" s="91" t="n">
        <f aca="false">Y207-Y168</f>
        <v>-0.0776292487803054</v>
      </c>
      <c r="Z246" s="91" t="n">
        <f aca="false">Z207-Z168</f>
        <v>-0.0393111737612501</v>
      </c>
      <c r="AA246" s="91" t="n">
        <f aca="false">AA207-AA168</f>
        <v>-0.0480898679735491</v>
      </c>
      <c r="AB246" s="91" t="n">
        <f aca="false">AB207-AB168</f>
        <v>-0.0462782477203875</v>
      </c>
      <c r="AC246" s="91" t="n">
        <f aca="false">AC207-AC168</f>
        <v>-0.0463126405271406</v>
      </c>
      <c r="AD246" s="91" t="n">
        <f aca="false">AD207-AD168</f>
        <v>-0.0260619899243351</v>
      </c>
      <c r="AE246" s="91" t="n">
        <f aca="false">AE207-AE168</f>
        <v>-0.000340019892197704</v>
      </c>
      <c r="AF246" s="91" t="n">
        <f aca="false">AF207-AF168</f>
        <v>-0.0235211289885168</v>
      </c>
      <c r="AG246" s="91" t="n">
        <f aca="false">AG207-AG168</f>
        <v>-0.0240822353377064</v>
      </c>
      <c r="AH246" s="91" t="n">
        <f aca="false">AH207-AH168</f>
        <v>-0.0429012600757238</v>
      </c>
      <c r="AI246" s="91" t="n">
        <f aca="false">AI207-AI168</f>
        <v>-0.021827213686411</v>
      </c>
      <c r="AJ246" s="91" t="n">
        <f aca="false">AJ207-AJ168</f>
        <v>-0.0320160568338676</v>
      </c>
      <c r="AK246" s="91" t="n">
        <f aca="false">AK207-AK168</f>
        <v>-0.0177550125507661</v>
      </c>
    </row>
    <row r="247" customFormat="false" ht="12.75" hidden="false" customHeight="false" outlineLevel="0" collapsed="false">
      <c r="B247" s="89" t="s">
        <v>153</v>
      </c>
      <c r="C247" s="89" t="s">
        <v>154</v>
      </c>
      <c r="D247" s="91" t="n">
        <f aca="false">D208-D169</f>
        <v>-0.00727528243611611</v>
      </c>
      <c r="E247" s="91" t="n">
        <f aca="false">E208-E169</f>
        <v>-0.00335479476410426</v>
      </c>
      <c r="F247" s="91" t="n">
        <f aca="false">F208-F169</f>
        <v>-0.0235083321221312</v>
      </c>
      <c r="G247" s="91" t="n">
        <f aca="false">G208-G169</f>
        <v>-0.00645107372621976</v>
      </c>
      <c r="H247" s="91" t="n">
        <f aca="false">H208-H169</f>
        <v>-0.00642626945889093</v>
      </c>
      <c r="I247" s="91" t="n">
        <f aca="false">I208-I169</f>
        <v>-0.000514193848431843</v>
      </c>
      <c r="J247" s="91" t="n">
        <f aca="false">J208-J169</f>
        <v>-0.00285037116749374</v>
      </c>
      <c r="K247" s="91" t="n">
        <f aca="false">K208-K169</f>
        <v>-0.0053770857471815</v>
      </c>
      <c r="L247" s="91" t="n">
        <f aca="false">L208-L169</f>
        <v>-0.0053735932841646</v>
      </c>
      <c r="M247" s="91" t="n">
        <f aca="false">M208-M169</f>
        <v>-0.00317131804301442</v>
      </c>
      <c r="N247" s="91" t="n">
        <f aca="false">N208-N169</f>
        <v>-0.00314517955971098</v>
      </c>
      <c r="O247" s="91" t="n">
        <f aca="false">O208-O169</f>
        <v>-0.000310932303804543</v>
      </c>
      <c r="P247" s="91" t="n">
        <f aca="false">P208-P169</f>
        <v>-0.000243818341426696</v>
      </c>
      <c r="Q247" s="91" t="n">
        <f aca="false">Q208-Q169</f>
        <v>-0.000241730641514801</v>
      </c>
      <c r="R247" s="91" t="n">
        <f aca="false">R208-R169</f>
        <v>-0.000241235660479359</v>
      </c>
      <c r="S247" s="91" t="n">
        <f aca="false">S208-S169</f>
        <v>-0.000499077820009408</v>
      </c>
      <c r="T247" s="91" t="n">
        <f aca="false">T208-T169</f>
        <v>-0.00136443050031249</v>
      </c>
      <c r="U247" s="91" t="n">
        <f aca="false">U208-U169</f>
        <v>-0.00398384554314485</v>
      </c>
      <c r="V247" s="91" t="n">
        <f aca="false">V208-V169</f>
        <v>-0.00186553867348005</v>
      </c>
      <c r="W247" s="91" t="n">
        <f aca="false">W208-W169</f>
        <v>-0.00325401079976975</v>
      </c>
      <c r="X247" s="91" t="n">
        <f aca="false">X208-X169</f>
        <v>-0.00878385498388248</v>
      </c>
      <c r="Y247" s="91" t="n">
        <f aca="false">Y208-Y169</f>
        <v>0.977846676137704</v>
      </c>
      <c r="Z247" s="91" t="n">
        <f aca="false">Z208-Z169</f>
        <v>-0.00149887327139515</v>
      </c>
      <c r="AA247" s="91" t="n">
        <f aca="false">AA208-AA169</f>
        <v>-0.00154797858028185</v>
      </c>
      <c r="AB247" s="91" t="n">
        <f aca="false">AB208-AB169</f>
        <v>-0.00148966381532884</v>
      </c>
      <c r="AC247" s="91" t="n">
        <f aca="false">AC208-AC169</f>
        <v>-0.00149077089526924</v>
      </c>
      <c r="AD247" s="91" t="n">
        <f aca="false">AD208-AD169</f>
        <v>-0.00264361638740525</v>
      </c>
      <c r="AE247" s="91" t="n">
        <f aca="false">AE208-AE169</f>
        <v>-0.000633028739208259</v>
      </c>
      <c r="AF247" s="91" t="n">
        <f aca="false">AF208-AF169</f>
        <v>-0.00519821161617348</v>
      </c>
      <c r="AG247" s="91" t="n">
        <f aca="false">AG208-AG169</f>
        <v>-0.0053222171238891</v>
      </c>
      <c r="AH247" s="91" t="n">
        <f aca="false">AH208-AH169</f>
        <v>-0.0145550856074001</v>
      </c>
      <c r="AI247" s="91" t="n">
        <f aca="false">AI208-AI169</f>
        <v>-0.00520805898699571</v>
      </c>
      <c r="AJ247" s="91" t="n">
        <f aca="false">AJ208-AJ169</f>
        <v>-0.00710071148616423</v>
      </c>
      <c r="AK247" s="91" t="n">
        <f aca="false">AK208-AK169</f>
        <v>-0.00414008246477792</v>
      </c>
    </row>
    <row r="248" customFormat="false" ht="12.75" hidden="false" customHeight="false" outlineLevel="0" collapsed="false">
      <c r="B248" s="89" t="s">
        <v>155</v>
      </c>
      <c r="C248" s="89" t="s">
        <v>156</v>
      </c>
      <c r="D248" s="91" t="n">
        <f aca="false">D209-D170</f>
        <v>-0.00771688093591196</v>
      </c>
      <c r="E248" s="91" t="n">
        <f aca="false">E209-E170</f>
        <v>-0.0213092845848175</v>
      </c>
      <c r="F248" s="91" t="n">
        <f aca="false">F209-F170</f>
        <v>-0.0137444387903537</v>
      </c>
      <c r="G248" s="91" t="n">
        <f aca="false">G209-G170</f>
        <v>-0.0279911944932794</v>
      </c>
      <c r="H248" s="91" t="n">
        <f aca="false">H209-H170</f>
        <v>-0.0278835688327258</v>
      </c>
      <c r="I248" s="91" t="n">
        <f aca="false">I209-I170</f>
        <v>-0.0102625520223528</v>
      </c>
      <c r="J248" s="91" t="n">
        <f aca="false">J209-J170</f>
        <v>-0.0146502452969989</v>
      </c>
      <c r="K248" s="91" t="n">
        <f aca="false">K209-K170</f>
        <v>-0.0169564153381452</v>
      </c>
      <c r="L248" s="91" t="n">
        <f aca="false">L209-L170</f>
        <v>-0.0169454020018787</v>
      </c>
      <c r="M248" s="91" t="n">
        <f aca="false">M209-M170</f>
        <v>-0.0227973253301912</v>
      </c>
      <c r="N248" s="91" t="n">
        <f aca="false">N209-N170</f>
        <v>-0.0226094263243443</v>
      </c>
      <c r="O248" s="91" t="n">
        <f aca="false">O209-O170</f>
        <v>-0.00932502771008694</v>
      </c>
      <c r="P248" s="91" t="n">
        <f aca="false">P209-P170</f>
        <v>-0.00323320985852892</v>
      </c>
      <c r="Q248" s="91" t="n">
        <f aca="false">Q209-Q170</f>
        <v>-0.00320552542799223</v>
      </c>
      <c r="R248" s="91" t="n">
        <f aca="false">R209-R170</f>
        <v>-0.00319896161677851</v>
      </c>
      <c r="S248" s="91" t="n">
        <f aca="false">S209-S170</f>
        <v>-0.0194577711481345</v>
      </c>
      <c r="T248" s="91" t="n">
        <f aca="false">T209-T170</f>
        <v>-0.0187612757657407</v>
      </c>
      <c r="U248" s="91" t="n">
        <f aca="false">U209-U170</f>
        <v>-0.0149620732422999</v>
      </c>
      <c r="V248" s="91" t="n">
        <f aca="false">V209-V170</f>
        <v>-0.00752560338052004</v>
      </c>
      <c r="W248" s="91" t="n">
        <f aca="false">W209-W170</f>
        <v>-0.0112843544993375</v>
      </c>
      <c r="X248" s="91" t="n">
        <f aca="false">X209-X170</f>
        <v>-0.00730039136771118</v>
      </c>
      <c r="Y248" s="91" t="n">
        <f aca="false">Y209-Y170</f>
        <v>-0.00815791636722725</v>
      </c>
      <c r="Z248" s="91" t="n">
        <f aca="false">Z209-Z170</f>
        <v>0.98109392334645</v>
      </c>
      <c r="AA248" s="91" t="n">
        <f aca="false">AA209-AA170</f>
        <v>-0.0195254677332537</v>
      </c>
      <c r="AB248" s="91" t="n">
        <f aca="false">AB209-AB170</f>
        <v>-0.0187899129420142</v>
      </c>
      <c r="AC248" s="91" t="n">
        <f aca="false">AC209-AC170</f>
        <v>-0.0188038771233858</v>
      </c>
      <c r="AD248" s="91" t="n">
        <f aca="false">AD209-AD170</f>
        <v>-0.0103976010958699</v>
      </c>
      <c r="AE248" s="91" t="n">
        <f aca="false">AE209-AE170</f>
        <v>-0.000135776047416429</v>
      </c>
      <c r="AF248" s="91" t="n">
        <f aca="false">AF209-AF170</f>
        <v>-0.00481409603075332</v>
      </c>
      <c r="AG248" s="91" t="n">
        <f aca="false">AG209-AG170</f>
        <v>-0.00492893830085791</v>
      </c>
      <c r="AH248" s="91" t="n">
        <f aca="false">AH209-AH170</f>
        <v>-0.00647014558959142</v>
      </c>
      <c r="AI248" s="91" t="n">
        <f aca="false">AI209-AI170</f>
        <v>-0.00341268740784287</v>
      </c>
      <c r="AJ248" s="91" t="n">
        <f aca="false">AJ209-AJ170</f>
        <v>-0.00845205454014648</v>
      </c>
      <c r="AK248" s="91" t="n">
        <f aca="false">AK209-AK170</f>
        <v>-0.00999425244781279</v>
      </c>
    </row>
    <row r="249" customFormat="false" ht="12.75" hidden="false" customHeight="false" outlineLevel="0" collapsed="false">
      <c r="B249" s="89" t="s">
        <v>157</v>
      </c>
      <c r="C249" s="89" t="s">
        <v>158</v>
      </c>
      <c r="D249" s="91" t="n">
        <f aca="false">D210-D171</f>
        <v>-6.70912728091606E-005</v>
      </c>
      <c r="E249" s="91" t="n">
        <f aca="false">E210-E171</f>
        <v>-0.000185264880632641</v>
      </c>
      <c r="F249" s="91" t="n">
        <f aca="false">F210-F171</f>
        <v>-0.000119495415330449</v>
      </c>
      <c r="G249" s="91" t="n">
        <f aca="false">G210-G171</f>
        <v>-0.00024335802011191</v>
      </c>
      <c r="H249" s="91" t="n">
        <f aca="false">H210-H171</f>
        <v>-0.000242422312717505</v>
      </c>
      <c r="I249" s="91" t="n">
        <f aca="false">I210-I171</f>
        <v>-8.92235714361847E-005</v>
      </c>
      <c r="J249" s="91" t="n">
        <f aca="false">J210-J171</f>
        <v>-0.000127370580433339</v>
      </c>
      <c r="K249" s="91" t="n">
        <f aca="false">K210-K171</f>
        <v>-0.000147420634938496</v>
      </c>
      <c r="L249" s="91" t="n">
        <f aca="false">L210-L171</f>
        <v>-0.000147324883979771</v>
      </c>
      <c r="M249" s="91" t="n">
        <f aca="false">M210-M171</f>
        <v>-0.000198202043772532</v>
      </c>
      <c r="N249" s="91" t="n">
        <f aca="false">N210-N171</f>
        <v>-0.000196568432529008</v>
      </c>
      <c r="O249" s="91" t="n">
        <f aca="false">O210-O171</f>
        <v>-8.10726488131942E-005</v>
      </c>
      <c r="P249" s="91" t="n">
        <f aca="false">P210-P171</f>
        <v>-2.81098239650622E-005</v>
      </c>
      <c r="Q249" s="91" t="n">
        <f aca="false">Q210-Q171</f>
        <v>-2.78691329790114E-005</v>
      </c>
      <c r="R249" s="91" t="n">
        <f aca="false">R210-R171</f>
        <v>-2.78120666004491E-005</v>
      </c>
      <c r="S249" s="91" t="n">
        <f aca="false">S210-S171</f>
        <v>-0.000169167652475051</v>
      </c>
      <c r="T249" s="91" t="n">
        <f aca="false">T210-T171</f>
        <v>-0.000163112257543008</v>
      </c>
      <c r="U249" s="91" t="n">
        <f aca="false">U210-U171</f>
        <v>-0.000130081641277928</v>
      </c>
      <c r="V249" s="91" t="n">
        <f aca="false">V210-V171</f>
        <v>-6.54282881450653E-005</v>
      </c>
      <c r="W249" s="91" t="n">
        <f aca="false">W210-W171</f>
        <v>-0.000119277325745279</v>
      </c>
      <c r="X249" s="91" t="n">
        <f aca="false">X210-X171</f>
        <v>-6.34702741862211E-005</v>
      </c>
      <c r="Y249" s="91" t="n">
        <f aca="false">Y210-Y171</f>
        <v>-7.09256754242346E-005</v>
      </c>
      <c r="Z249" s="91" t="n">
        <f aca="false">Z210-Z171</f>
        <v>-0.000164371169783291</v>
      </c>
      <c r="AA249" s="91" t="n">
        <f aca="false">AA210-AA171</f>
        <v>0.999830243787186</v>
      </c>
      <c r="AB249" s="91" t="n">
        <f aca="false">AB210-AB171</f>
        <v>-0.000163361231788147</v>
      </c>
      <c r="AC249" s="91" t="n">
        <f aca="false">AC210-AC171</f>
        <v>-0.000163482637665695</v>
      </c>
      <c r="AD249" s="91" t="n">
        <f aca="false">AD210-AD171</f>
        <v>-9.03977005058448E-005</v>
      </c>
      <c r="AE249" s="91" t="n">
        <f aca="false">AE210-AE171</f>
        <v>-1.1804494476224E-006</v>
      </c>
      <c r="AF249" s="91" t="n">
        <f aca="false">AF210-AF171</f>
        <v>-4.1854193787765E-005</v>
      </c>
      <c r="AG249" s="91" t="n">
        <f aca="false">AG210-AG171</f>
        <v>-4.28526430495325E-005</v>
      </c>
      <c r="AH249" s="91" t="n">
        <f aca="false">AH210-AH171</f>
        <v>-5.62520410087114E-005</v>
      </c>
      <c r="AI249" s="91" t="n">
        <f aca="false">AI210-AI171</f>
        <v>-2.96702182907158E-005</v>
      </c>
      <c r="AJ249" s="91" t="n">
        <f aca="false">AJ210-AJ171</f>
        <v>-7.348293976028E-005</v>
      </c>
      <c r="AK249" s="91" t="n">
        <f aca="false">AK210-AK171</f>
        <v>-8.68909502515977E-005</v>
      </c>
    </row>
    <row r="250" customFormat="false" ht="12.75" hidden="false" customHeight="false" outlineLevel="0" collapsed="false">
      <c r="B250" s="89" t="s">
        <v>159</v>
      </c>
      <c r="C250" s="89" t="s">
        <v>160</v>
      </c>
      <c r="D250" s="91" t="n">
        <f aca="false">D211-D172</f>
        <v>-0.000399573303228692</v>
      </c>
      <c r="E250" s="91" t="n">
        <f aca="false">E211-E172</f>
        <v>-0.00110337600148415</v>
      </c>
      <c r="F250" s="91" t="n">
        <f aca="false">F211-F172</f>
        <v>-0.000711674944073397</v>
      </c>
      <c r="G250" s="91" t="n">
        <f aca="false">G211-G172</f>
        <v>-0.00144935941579028</v>
      </c>
      <c r="H250" s="91" t="n">
        <f aca="false">H211-H172</f>
        <v>-0.00144378665380823</v>
      </c>
      <c r="I250" s="91" t="n">
        <f aca="false">I211-I172</f>
        <v>-0.000531385911637526</v>
      </c>
      <c r="J250" s="91" t="n">
        <f aca="false">J211-J172</f>
        <v>-0.000758576807786488</v>
      </c>
      <c r="K250" s="91" t="n">
        <f aca="false">K211-K172</f>
        <v>-0.000877988262855016</v>
      </c>
      <c r="L250" s="91" t="n">
        <f aca="false">L211-L172</f>
        <v>-0.000877418001995987</v>
      </c>
      <c r="M250" s="91" t="n">
        <f aca="false">M211-M172</f>
        <v>-0.00118042544165379</v>
      </c>
      <c r="N250" s="91" t="n">
        <f aca="false">N211-N172</f>
        <v>-0.00117069619650111</v>
      </c>
      <c r="O250" s="91" t="n">
        <f aca="false">O211-O172</f>
        <v>-0.000482841727864265</v>
      </c>
      <c r="P250" s="91" t="n">
        <f aca="false">P211-P172</f>
        <v>-0.000167412760924151</v>
      </c>
      <c r="Q250" s="91" t="n">
        <f aca="false">Q211-Q172</f>
        <v>-0.000165979285476053</v>
      </c>
      <c r="R250" s="91" t="n">
        <f aca="false">R211-R172</f>
        <v>-0.00016563941710822</v>
      </c>
      <c r="S250" s="91" t="n">
        <f aca="false">S211-S172</f>
        <v>-0.0010075062652511</v>
      </c>
      <c r="T250" s="91" t="n">
        <f aca="false">T211-T172</f>
        <v>-0.000971442347336866</v>
      </c>
      <c r="U250" s="91" t="n">
        <f aca="false">U211-U172</f>
        <v>-0.000774722984354155</v>
      </c>
      <c r="V250" s="91" t="n">
        <f aca="false">V211-V172</f>
        <v>-0.000389669119754022</v>
      </c>
      <c r="W250" s="91" t="n">
        <f aca="false">W211-W172</f>
        <v>-0.000710376075050688</v>
      </c>
      <c r="X250" s="91" t="n">
        <f aca="false">X211-X172</f>
        <v>-0.000378007839940047</v>
      </c>
      <c r="Y250" s="91" t="n">
        <f aca="false">Y211-Y172</f>
        <v>-0.000422409729706574</v>
      </c>
      <c r="Z250" s="91" t="n">
        <f aca="false">Z211-Z172</f>
        <v>-0.000978940009868266</v>
      </c>
      <c r="AA250" s="91" t="n">
        <f aca="false">AA211-AA172</f>
        <v>-0.00101101153484875</v>
      </c>
      <c r="AB250" s="91" t="n">
        <f aca="false">AB211-AB172</f>
        <v>0.999027074844879</v>
      </c>
      <c r="AC250" s="91" t="n">
        <f aca="false">AC211-AC172</f>
        <v>-0.000973648208142248</v>
      </c>
      <c r="AD250" s="91" t="n">
        <f aca="false">AD211-AD172</f>
        <v>-0.000538378633807446</v>
      </c>
      <c r="AE250" s="91" t="n">
        <f aca="false">AE211-AE172</f>
        <v>-7.03036423861925E-006</v>
      </c>
      <c r="AF250" s="91" t="n">
        <f aca="false">AF211-AF172</f>
        <v>-0.0002492696555828</v>
      </c>
      <c r="AG250" s="91" t="n">
        <f aca="false">AG211-AG172</f>
        <v>-0.000255216087256045</v>
      </c>
      <c r="AH250" s="91" t="n">
        <f aca="false">AH211-AH172</f>
        <v>-0.000335018444248951</v>
      </c>
      <c r="AI250" s="91" t="n">
        <f aca="false">AI211-AI172</f>
        <v>-0.0001767059504693</v>
      </c>
      <c r="AJ250" s="91" t="n">
        <f aca="false">AJ211-AJ172</f>
        <v>-0.000437639945429106</v>
      </c>
      <c r="AK250" s="91" t="n">
        <f aca="false">AK211-AK172</f>
        <v>-0.000517493595798503</v>
      </c>
    </row>
    <row r="251" customFormat="false" ht="12.75" hidden="false" customHeight="false" outlineLevel="0" collapsed="false">
      <c r="B251" s="89" t="s">
        <v>161</v>
      </c>
      <c r="C251" s="89" t="s">
        <v>162</v>
      </c>
      <c r="D251" s="91" t="n">
        <f aca="false">D212-D173</f>
        <v>-0.00234910174418877</v>
      </c>
      <c r="E251" s="91" t="n">
        <f aca="false">E212-E173</f>
        <v>-0.00648677593983039</v>
      </c>
      <c r="F251" s="91" t="n">
        <f aca="false">F212-F173</f>
        <v>-0.00418395533162389</v>
      </c>
      <c r="G251" s="91" t="n">
        <f aca="false">G212-G173</f>
        <v>-0.00852082134636679</v>
      </c>
      <c r="H251" s="91" t="n">
        <f aca="false">H212-H173</f>
        <v>-0.00848805893509906</v>
      </c>
      <c r="I251" s="91" t="n">
        <f aca="false">I212-I173</f>
        <v>-0.00312403146501155</v>
      </c>
      <c r="J251" s="91" t="n">
        <f aca="false">J212-J173</f>
        <v>-0.0044596925967611</v>
      </c>
      <c r="K251" s="91" t="n">
        <f aca="false">K212-K173</f>
        <v>-0.00516171561759604</v>
      </c>
      <c r="L251" s="91" t="n">
        <f aca="false">L212-L173</f>
        <v>-0.0051583630393137</v>
      </c>
      <c r="M251" s="91" t="n">
        <f aca="false">M212-M173</f>
        <v>-0.00693975158367037</v>
      </c>
      <c r="N251" s="91" t="n">
        <f aca="false">N212-N173</f>
        <v>-0.00688255310075584</v>
      </c>
      <c r="O251" s="91" t="n">
        <f aca="false">O212-O173</f>
        <v>-0.00283863895792827</v>
      </c>
      <c r="P251" s="91" t="n">
        <f aca="false">P212-P173</f>
        <v>-0.000984223934653849</v>
      </c>
      <c r="Q251" s="91" t="n">
        <f aca="false">Q212-Q173</f>
        <v>-0.000975796495562769</v>
      </c>
      <c r="R251" s="91" t="n">
        <f aca="false">R212-R173</f>
        <v>-0.000973798400671993</v>
      </c>
      <c r="S251" s="91" t="n">
        <f aca="false">S212-S173</f>
        <v>-0.00592315529055221</v>
      </c>
      <c r="T251" s="91" t="n">
        <f aca="false">T212-T173</f>
        <v>-0.00571113458799263</v>
      </c>
      <c r="U251" s="91" t="n">
        <f aca="false">U212-U173</f>
        <v>-0.0045546163847885</v>
      </c>
      <c r="V251" s="91" t="n">
        <f aca="false">V212-V173</f>
        <v>-0.00229087479437224</v>
      </c>
      <c r="W251" s="91" t="n">
        <f aca="false">W212-W173</f>
        <v>-0.00417631924717558</v>
      </c>
      <c r="X251" s="91" t="n">
        <f aca="false">X212-X173</f>
        <v>-0.00222231782990756</v>
      </c>
      <c r="Y251" s="91" t="n">
        <f aca="false">Y212-Y173</f>
        <v>-0.00248335768380425</v>
      </c>
      <c r="Z251" s="91" t="n">
        <f aca="false">Z212-Z173</f>
        <v>-0.00575521353918264</v>
      </c>
      <c r="AA251" s="91" t="n">
        <f aca="false">AA212-AA173</f>
        <v>-0.00594376286082569</v>
      </c>
      <c r="AB251" s="91" t="n">
        <f aca="false">AB212-AB173</f>
        <v>-0.00571985205315655</v>
      </c>
      <c r="AC251" s="91" t="n">
        <f aca="false">AC212-AC173</f>
        <v>0.994275897099501</v>
      </c>
      <c r="AD251" s="91" t="n">
        <f aca="false">AD212-AD173</f>
        <v>-0.00316514185880728</v>
      </c>
      <c r="AE251" s="91" t="n">
        <f aca="false">AE212-AE173</f>
        <v>-4.13316924873995E-005</v>
      </c>
      <c r="AF251" s="91" t="n">
        <f aca="false">AF212-AF173</f>
        <v>-0.00146546272729273</v>
      </c>
      <c r="AG251" s="91" t="n">
        <f aca="false">AG212-AG173</f>
        <v>-0.00150042195230212</v>
      </c>
      <c r="AH251" s="91" t="n">
        <f aca="false">AH212-AH173</f>
        <v>-0.0019695820650715</v>
      </c>
      <c r="AI251" s="91" t="n">
        <f aca="false">AI212-AI173</f>
        <v>-0.0010388588354172</v>
      </c>
      <c r="AJ251" s="91" t="n">
        <f aca="false">AJ212-AJ173</f>
        <v>-0.00257289651442449</v>
      </c>
      <c r="AK251" s="91" t="n">
        <f aca="false">AK212-AK173</f>
        <v>-0.00304235818227579</v>
      </c>
    </row>
    <row r="252" customFormat="false" ht="12.75" hidden="false" customHeight="false" outlineLevel="0" collapsed="false">
      <c r="B252" s="89" t="s">
        <v>163</v>
      </c>
      <c r="C252" s="89" t="s">
        <v>164</v>
      </c>
      <c r="D252" s="91" t="n">
        <f aca="false">D213-D174</f>
        <v>-0.00368476269821823</v>
      </c>
      <c r="E252" s="91" t="n">
        <f aca="false">E213-E174</f>
        <v>-0.0119751213582275</v>
      </c>
      <c r="F252" s="91" t="n">
        <f aca="false">F213-F174</f>
        <v>-0.0156047943822082</v>
      </c>
      <c r="G252" s="91" t="n">
        <f aca="false">G213-G174</f>
        <v>-0.0257668673884068</v>
      </c>
      <c r="H252" s="91" t="n">
        <f aca="false">H213-H174</f>
        <v>-0.0256677942272474</v>
      </c>
      <c r="I252" s="91" t="n">
        <f aca="false">I213-I174</f>
        <v>-0.00496004362118923</v>
      </c>
      <c r="J252" s="91" t="n">
        <f aca="false">J213-J174</f>
        <v>-0.00967701049135332</v>
      </c>
      <c r="K252" s="91" t="n">
        <f aca="false">K213-K174</f>
        <v>-0.0208768229226458</v>
      </c>
      <c r="L252" s="91" t="n">
        <f aca="false">L213-L174</f>
        <v>-0.0208632632482432</v>
      </c>
      <c r="M252" s="91" t="n">
        <f aca="false">M213-M174</f>
        <v>-0.0505902246756452</v>
      </c>
      <c r="N252" s="91" t="n">
        <f aca="false">N213-N174</f>
        <v>-0.0406602539873788</v>
      </c>
      <c r="O252" s="91" t="n">
        <f aca="false">O213-O174</f>
        <v>-0.00427468486950248</v>
      </c>
      <c r="P252" s="91" t="n">
        <f aca="false">P213-P174</f>
        <v>-0.0038208736270245</v>
      </c>
      <c r="Q252" s="91" t="n">
        <f aca="false">Q213-Q174</f>
        <v>-0.00378815731254288</v>
      </c>
      <c r="R252" s="91" t="n">
        <f aca="false">R213-R174</f>
        <v>-0.0037804004720479</v>
      </c>
      <c r="S252" s="91" t="n">
        <f aca="false">S213-S174</f>
        <v>-0.0107208483786238</v>
      </c>
      <c r="T252" s="91" t="n">
        <f aca="false">T213-T174</f>
        <v>-0.00987841781171166</v>
      </c>
      <c r="U252" s="91" t="n">
        <f aca="false">U213-U174</f>
        <v>-0.0169521284238472</v>
      </c>
      <c r="V252" s="91" t="n">
        <f aca="false">V213-V174</f>
        <v>-0.00398272696699967</v>
      </c>
      <c r="W252" s="91" t="n">
        <f aca="false">W213-W174</f>
        <v>-0.0135506541824344</v>
      </c>
      <c r="X252" s="91" t="n">
        <f aca="false">X213-X174</f>
        <v>-0.00691335028760149</v>
      </c>
      <c r="Y252" s="91" t="n">
        <f aca="false">Y213-Y174</f>
        <v>-0.00918245562828437</v>
      </c>
      <c r="Z252" s="91" t="n">
        <f aca="false">Z213-Z174</f>
        <v>-0.0130947693422101</v>
      </c>
      <c r="AA252" s="91" t="n">
        <f aca="false">AA213-AA174</f>
        <v>-0.0135237733851943</v>
      </c>
      <c r="AB252" s="91" t="n">
        <f aca="false">AB213-AB174</f>
        <v>-0.0130143117710085</v>
      </c>
      <c r="AC252" s="91" t="n">
        <f aca="false">AC213-AC174</f>
        <v>-0.0130239836737234</v>
      </c>
      <c r="AD252" s="91" t="n">
        <f aca="false">AD213-AD174</f>
        <v>0.9627549499906</v>
      </c>
      <c r="AE252" s="91" t="n">
        <f aca="false">AE213-AE174</f>
        <v>-0.00032879706762553</v>
      </c>
      <c r="AF252" s="91" t="n">
        <f aca="false">AF213-AF174</f>
        <v>-0.0294140639261365</v>
      </c>
      <c r="AG252" s="91" t="n">
        <f aca="false">AG213-AG174</f>
        <v>-0.030115748697836</v>
      </c>
      <c r="AH252" s="91" t="n">
        <f aca="false">AH213-AH174</f>
        <v>-0.0283065860336924</v>
      </c>
      <c r="AI252" s="91" t="n">
        <f aca="false">AI213-AI174</f>
        <v>-0.00260190819811542</v>
      </c>
      <c r="AJ252" s="91" t="n">
        <f aca="false">AJ213-AJ174</f>
        <v>-0.00615863464357202</v>
      </c>
      <c r="AK252" s="91" t="n">
        <f aca="false">AK213-AK174</f>
        <v>-0.035824155347934</v>
      </c>
    </row>
    <row r="253" customFormat="false" ht="12.75" hidden="false" customHeight="false" outlineLevel="0" collapsed="false">
      <c r="B253" s="89" t="s">
        <v>165</v>
      </c>
      <c r="C253" s="89" t="s">
        <v>166</v>
      </c>
      <c r="D253" s="91" t="n">
        <f aca="false">D214-D175</f>
        <v>-8.71414768362684E-005</v>
      </c>
      <c r="E253" s="91" t="n">
        <f aca="false">E214-E175</f>
        <v>-0.00269823889627839</v>
      </c>
      <c r="F253" s="91" t="n">
        <f aca="false">F214-F175</f>
        <v>-0.0179767121348101</v>
      </c>
      <c r="G253" s="91" t="n">
        <f aca="false">G214-G175</f>
        <v>-0.00149278217173349</v>
      </c>
      <c r="H253" s="91" t="n">
        <f aca="false">H214-H175</f>
        <v>-0.00148704245000299</v>
      </c>
      <c r="I253" s="91" t="n">
        <f aca="false">I214-I175</f>
        <v>-0.00233390073572211</v>
      </c>
      <c r="J253" s="91" t="n">
        <f aca="false">J214-J175</f>
        <v>-0.0121133635876446</v>
      </c>
      <c r="K253" s="91" t="n">
        <f aca="false">K214-K175</f>
        <v>-0.00321737521225626</v>
      </c>
      <c r="L253" s="91" t="n">
        <f aca="false">L214-L175</f>
        <v>-0.00321528549963709</v>
      </c>
      <c r="M253" s="91" t="n">
        <f aca="false">M214-M175</f>
        <v>-0.00337636055149348</v>
      </c>
      <c r="N253" s="91" t="n">
        <f aca="false">N214-N175</f>
        <v>-0.00334853207680106</v>
      </c>
      <c r="O253" s="91" t="n">
        <f aca="false">O214-O175</f>
        <v>-0.000100909683996176</v>
      </c>
      <c r="P253" s="91" t="n">
        <f aca="false">P214-P175</f>
        <v>-0.00592289544439905</v>
      </c>
      <c r="Q253" s="91" t="n">
        <f aca="false">Q214-Q175</f>
        <v>-0.00587218052186665</v>
      </c>
      <c r="R253" s="91" t="n">
        <f aca="false">R214-R175</f>
        <v>-0.00586015632014856</v>
      </c>
      <c r="S253" s="91" t="n">
        <f aca="false">S214-S175</f>
        <v>-0.00959399715426018</v>
      </c>
      <c r="T253" s="91" t="n">
        <f aca="false">T214-T175</f>
        <v>-0.00916239712598287</v>
      </c>
      <c r="U253" s="91" t="n">
        <f aca="false">U214-U175</f>
        <v>-4.7211292251616E-005</v>
      </c>
      <c r="V253" s="91" t="n">
        <f aca="false">V214-V175</f>
        <v>-0.0146193585204888</v>
      </c>
      <c r="W253" s="91" t="n">
        <f aca="false">W214-W175</f>
        <v>-0.0107636472348238</v>
      </c>
      <c r="X253" s="91" t="n">
        <f aca="false">X214-X175</f>
        <v>-0.00247003013201211</v>
      </c>
      <c r="Y253" s="91" t="n">
        <f aca="false">Y214-Y175</f>
        <v>-0.0153658268239044</v>
      </c>
      <c r="Z253" s="91" t="n">
        <f aca="false">Z214-Z175</f>
        <v>-0.0166757051285235</v>
      </c>
      <c r="AA253" s="91" t="n">
        <f aca="false">AA214-AA175</f>
        <v>-0.0172220259328684</v>
      </c>
      <c r="AB253" s="91" t="n">
        <f aca="false">AB214-AB175</f>
        <v>-0.0165732453831356</v>
      </c>
      <c r="AC253" s="91" t="n">
        <f aca="false">AC214-AC175</f>
        <v>-0.0165855621940309</v>
      </c>
      <c r="AD253" s="91" t="n">
        <f aca="false">AD214-AD175</f>
        <v>-0.0112110488422035</v>
      </c>
      <c r="AE253" s="91" t="n">
        <f aca="false">AE214-AE175</f>
        <v>0.179554777564226</v>
      </c>
      <c r="AF253" s="91" t="n">
        <f aca="false">AF214-AF175</f>
        <v>-0.00966921050717221</v>
      </c>
      <c r="AG253" s="91" t="n">
        <f aca="false">AG214-AG175</f>
        <v>-0.00989987355952286</v>
      </c>
      <c r="AH253" s="91" t="n">
        <f aca="false">AH214-AH175</f>
        <v>-0.00645333925170777</v>
      </c>
      <c r="AI253" s="91" t="n">
        <f aca="false">AI214-AI175</f>
        <v>-0.00503777522373534</v>
      </c>
      <c r="AJ253" s="91" t="n">
        <f aca="false">AJ214-AJ175</f>
        <v>0</v>
      </c>
      <c r="AK253" s="91" t="n">
        <f aca="false">AK214-AK175</f>
        <v>-0.0306568184252556</v>
      </c>
    </row>
    <row r="254" customFormat="false" ht="12.75" hidden="false" customHeight="false" outlineLevel="0" collapsed="false">
      <c r="B254" s="89" t="s">
        <v>167</v>
      </c>
      <c r="C254" s="89" t="s">
        <v>168</v>
      </c>
      <c r="D254" s="91" t="n">
        <f aca="false">D215-D176</f>
        <v>-0.000353274808696395</v>
      </c>
      <c r="E254" s="91" t="n">
        <f aca="false">E215-E176</f>
        <v>-0.0669374885647419</v>
      </c>
      <c r="F254" s="91" t="n">
        <f aca="false">F215-F176</f>
        <v>-0.0105769980507003</v>
      </c>
      <c r="G254" s="91" t="n">
        <f aca="false">G215-G176</f>
        <v>-0.0186265928416872</v>
      </c>
      <c r="H254" s="91" t="n">
        <f aca="false">H215-H176</f>
        <v>-0.018554973913137</v>
      </c>
      <c r="I254" s="91" t="n">
        <f aca="false">I215-I176</f>
        <v>-0.00292117592989199</v>
      </c>
      <c r="J254" s="91" t="n">
        <f aca="false">J215-J176</f>
        <v>-0.0467067302352397</v>
      </c>
      <c r="K254" s="91" t="n">
        <f aca="false">K215-K176</f>
        <v>-0.00700358976162463</v>
      </c>
      <c r="L254" s="91" t="n">
        <f aca="false">L215-L176</f>
        <v>-0.00699904087038913</v>
      </c>
      <c r="M254" s="91" t="n">
        <f aca="false">M215-M176</f>
        <v>-0.0251790890974916</v>
      </c>
      <c r="N254" s="91" t="n">
        <f aca="false">N215-N176</f>
        <v>-0.0249715592341842</v>
      </c>
      <c r="O254" s="91" t="n">
        <f aca="false">O215-O176</f>
        <v>-0.00178209893276267</v>
      </c>
      <c r="P254" s="91" t="n">
        <f aca="false">P215-P176</f>
        <v>-0.00626649437425369</v>
      </c>
      <c r="Q254" s="91" t="n">
        <f aca="false">Q215-Q176</f>
        <v>-0.00621283737832608</v>
      </c>
      <c r="R254" s="91" t="n">
        <f aca="false">R215-R176</f>
        <v>-0.00620011562878168</v>
      </c>
      <c r="S254" s="91" t="n">
        <f aca="false">S215-S176</f>
        <v>-0.00508439678540642</v>
      </c>
      <c r="T254" s="91" t="n">
        <f aca="false">T215-T176</f>
        <v>-0.00184080094734961</v>
      </c>
      <c r="U254" s="91" t="n">
        <f aca="false">U215-U176</f>
        <v>-0.00252756452279474</v>
      </c>
      <c r="V254" s="91" t="n">
        <f aca="false">V215-V176</f>
        <v>-0.00265642923464353</v>
      </c>
      <c r="W254" s="91" t="n">
        <f aca="false">W215-W176</f>
        <v>-0.0170574169371281</v>
      </c>
      <c r="X254" s="91" t="n">
        <f aca="false">X215-X176</f>
        <v>-0.00519697824239434</v>
      </c>
      <c r="Y254" s="91" t="n">
        <f aca="false">Y215-Y176</f>
        <v>-0.0228193789763197</v>
      </c>
      <c r="Z254" s="91" t="n">
        <f aca="false">Z215-Z176</f>
        <v>-0.0202281878531331</v>
      </c>
      <c r="AA254" s="91" t="n">
        <f aca="false">AA215-AA176</f>
        <v>-0.0208908932543853</v>
      </c>
      <c r="AB254" s="91" t="n">
        <f aca="false">AB215-AB176</f>
        <v>-0.0201039007563585</v>
      </c>
      <c r="AC254" s="91" t="n">
        <f aca="false">AC215-AC176</f>
        <v>-0.0201188414597723</v>
      </c>
      <c r="AD254" s="91" t="n">
        <f aca="false">AD215-AD176</f>
        <v>-0.00834946076910664</v>
      </c>
      <c r="AE254" s="91" t="n">
        <f aca="false">AE215-AE176</f>
        <v>0</v>
      </c>
      <c r="AF254" s="91" t="n">
        <f aca="false">AF215-AF176</f>
        <v>0.967755857320068</v>
      </c>
      <c r="AG254" s="91" t="n">
        <f aca="false">AG215-AG176</f>
        <v>-0.0330133401615119</v>
      </c>
      <c r="AH254" s="91" t="n">
        <f aca="false">AH215-AH176</f>
        <v>-0.000991713819882205</v>
      </c>
      <c r="AI254" s="91" t="n">
        <f aca="false">AI215-AI176</f>
        <v>-0.00714417379716145</v>
      </c>
      <c r="AJ254" s="91" t="n">
        <f aca="false">AJ215-AJ176</f>
        <v>-0.0167664422687309</v>
      </c>
      <c r="AK254" s="91" t="n">
        <f aca="false">AK215-AK176</f>
        <v>-0.0339803450335717</v>
      </c>
    </row>
    <row r="255" customFormat="false" ht="12.75" hidden="false" customHeight="false" outlineLevel="0" collapsed="false">
      <c r="B255" s="89" t="s">
        <v>169</v>
      </c>
      <c r="C255" s="89" t="s">
        <v>170</v>
      </c>
      <c r="D255" s="91" t="n">
        <f aca="false">D216-D177</f>
        <v>-0.000265230012175443</v>
      </c>
      <c r="E255" s="91" t="n">
        <f aca="false">E216-E177</f>
        <v>-0.055755295491403</v>
      </c>
      <c r="F255" s="91" t="n">
        <f aca="false">F216-F177</f>
        <v>-0.00794094923472959</v>
      </c>
      <c r="G255" s="91" t="n">
        <f aca="false">G216-G177</f>
        <v>-0.0139843864452658</v>
      </c>
      <c r="H255" s="91" t="n">
        <f aca="false">H216-H177</f>
        <v>-0.0139306167203271</v>
      </c>
      <c r="I255" s="91" t="n">
        <f aca="false">I216-I177</f>
        <v>-0.00219314683181307</v>
      </c>
      <c r="J255" s="91" t="n">
        <f aca="false">J216-J177</f>
        <v>-0.0350662609504494</v>
      </c>
      <c r="K255" s="91" t="n">
        <f aca="false">K216-K177</f>
        <v>-0.00525812243619078</v>
      </c>
      <c r="L255" s="91" t="n">
        <f aca="false">L216-L177</f>
        <v>-0.00525470724085818</v>
      </c>
      <c r="M255" s="91" t="n">
        <f aca="false">M216-M177</f>
        <v>-0.0189038390043644</v>
      </c>
      <c r="N255" s="91" t="n">
        <f aca="false">N216-N177</f>
        <v>-0.0187480307021113</v>
      </c>
      <c r="O255" s="91" t="n">
        <f aca="false">O216-O177</f>
        <v>-0.00133795591986493</v>
      </c>
      <c r="P255" s="91" t="n">
        <f aca="false">P216-P177</f>
        <v>-0.00470472940120971</v>
      </c>
      <c r="Q255" s="91" t="n">
        <f aca="false">Q216-Q177</f>
        <v>-0.0046644450522189</v>
      </c>
      <c r="R255" s="91" t="n">
        <f aca="false">R216-R177</f>
        <v>-0.00465489387646709</v>
      </c>
      <c r="S255" s="91" t="n">
        <f aca="false">S216-S177</f>
        <v>-0.00381723969018426</v>
      </c>
      <c r="T255" s="91" t="n">
        <f aca="false">T216-T177</f>
        <v>-0.00138202794442018</v>
      </c>
      <c r="U255" s="91" t="n">
        <f aca="false">U216-U177</f>
        <v>-0.00189763309653704</v>
      </c>
      <c r="V255" s="91" t="n">
        <f aca="false">V216-V177</f>
        <v>-0.00199438154350035</v>
      </c>
      <c r="W255" s="91" t="n">
        <f aca="false">W216-W177</f>
        <v>-0.0128062878828254</v>
      </c>
      <c r="X255" s="91" t="n">
        <f aca="false">X216-X177</f>
        <v>-0.00390176307105545</v>
      </c>
      <c r="Y255" s="91" t="n">
        <f aca="false">Y216-Y177</f>
        <v>-0.0171322268521184</v>
      </c>
      <c r="Z255" s="91" t="n">
        <f aca="false">Z216-Z177</f>
        <v>-0.0151868244734779</v>
      </c>
      <c r="AA255" s="91" t="n">
        <f aca="false">AA216-AA177</f>
        <v>-0.0156843673418514</v>
      </c>
      <c r="AB255" s="91" t="n">
        <f aca="false">AB216-AB177</f>
        <v>-0.0150935127869969</v>
      </c>
      <c r="AC255" s="91" t="n">
        <f aca="false">AC216-AC177</f>
        <v>-0.0151047298985791</v>
      </c>
      <c r="AD255" s="91" t="n">
        <f aca="false">AD216-AD177</f>
        <v>-0.0062685691901449</v>
      </c>
      <c r="AE255" s="91" t="n">
        <f aca="false">AE216-AE177</f>
        <v>0</v>
      </c>
      <c r="AF255" s="91" t="n">
        <f aca="false">AF216-AF177</f>
        <v>-0.0277854802422736</v>
      </c>
      <c r="AG255" s="91" t="n">
        <f aca="false">AG216-AG177</f>
        <v>0.971551685529538</v>
      </c>
      <c r="AH255" s="91" t="n">
        <f aca="false">AH216-AH177</f>
        <v>-0.000744554273463538</v>
      </c>
      <c r="AI255" s="91" t="n">
        <f aca="false">AI216-AI177</f>
        <v>-0.00536366946229969</v>
      </c>
      <c r="AJ255" s="91" t="n">
        <f aca="false">AJ216-AJ177</f>
        <v>-0.0125878312792355</v>
      </c>
      <c r="AK255" s="91" t="n">
        <f aca="false">AK216-AK177</f>
        <v>-0.0255116048614876</v>
      </c>
    </row>
    <row r="256" customFormat="false" ht="12.75" hidden="false" customHeight="false" outlineLevel="0" collapsed="false">
      <c r="B256" s="89" t="s">
        <v>171</v>
      </c>
      <c r="C256" s="89" t="s">
        <v>172</v>
      </c>
      <c r="D256" s="91" t="n">
        <f aca="false">D217-D178</f>
        <v>0</v>
      </c>
      <c r="E256" s="91" t="n">
        <f aca="false">E217-E178</f>
        <v>0</v>
      </c>
      <c r="F256" s="91" t="n">
        <f aca="false">F217-F178</f>
        <v>0</v>
      </c>
      <c r="G256" s="91" t="n">
        <f aca="false">G217-G178</f>
        <v>0</v>
      </c>
      <c r="H256" s="91" t="n">
        <f aca="false">H217-H178</f>
        <v>0</v>
      </c>
      <c r="I256" s="91" t="n">
        <f aca="false">I217-I178</f>
        <v>0</v>
      </c>
      <c r="J256" s="91" t="n">
        <f aca="false">J217-J178</f>
        <v>0</v>
      </c>
      <c r="K256" s="91" t="n">
        <f aca="false">K217-K178</f>
        <v>0</v>
      </c>
      <c r="L256" s="91" t="n">
        <f aca="false">L217-L178</f>
        <v>0</v>
      </c>
      <c r="M256" s="91" t="n">
        <f aca="false">M217-M178</f>
        <v>-0.00565578114552866</v>
      </c>
      <c r="N256" s="91" t="n">
        <f aca="false">N217-N178</f>
        <v>-0.00560916534129988</v>
      </c>
      <c r="O256" s="91" t="n">
        <f aca="false">O217-O178</f>
        <v>0</v>
      </c>
      <c r="P256" s="91" t="n">
        <f aca="false">P217-P178</f>
        <v>0</v>
      </c>
      <c r="Q256" s="91" t="n">
        <f aca="false">Q217-Q178</f>
        <v>0</v>
      </c>
      <c r="R256" s="91" t="n">
        <f aca="false">R217-R178</f>
        <v>0</v>
      </c>
      <c r="S256" s="91" t="n">
        <f aca="false">S217-S178</f>
        <v>0</v>
      </c>
      <c r="T256" s="91" t="n">
        <f aca="false">T217-T178</f>
        <v>0</v>
      </c>
      <c r="U256" s="91" t="n">
        <f aca="false">U217-U178</f>
        <v>0</v>
      </c>
      <c r="V256" s="91" t="n">
        <f aca="false">V217-V178</f>
        <v>0</v>
      </c>
      <c r="W256" s="91" t="n">
        <f aca="false">W217-W178</f>
        <v>0</v>
      </c>
      <c r="X256" s="91" t="n">
        <f aca="false">X217-X178</f>
        <v>0</v>
      </c>
      <c r="Y256" s="91" t="n">
        <f aca="false">Y217-Y178</f>
        <v>-0.00042820852920065</v>
      </c>
      <c r="Z256" s="91" t="n">
        <f aca="false">Z217-Z178</f>
        <v>-3.41426651011746E-006</v>
      </c>
      <c r="AA256" s="91" t="n">
        <f aca="false">AA217-AA178</f>
        <v>-3.52612293907678E-006</v>
      </c>
      <c r="AB256" s="91" t="n">
        <f aca="false">AB217-AB178</f>
        <v>-3.39328839407278E-006</v>
      </c>
      <c r="AC256" s="91" t="n">
        <f aca="false">AC217-AC178</f>
        <v>-3.39581019897561E-006</v>
      </c>
      <c r="AD256" s="91" t="n">
        <f aca="false">AD217-AD178</f>
        <v>-6.39026269067508E-005</v>
      </c>
      <c r="AE256" s="91" t="n">
        <f aca="false">AE217-AE178</f>
        <v>0</v>
      </c>
      <c r="AF256" s="91" t="n">
        <f aca="false">AF217-AF178</f>
        <v>-0.00320481279562585</v>
      </c>
      <c r="AG256" s="91" t="n">
        <f aca="false">AG217-AG178</f>
        <v>-0.00328126494247931</v>
      </c>
      <c r="AH256" s="91" t="n">
        <f aca="false">AH217-AH178</f>
        <v>0.998210386673901</v>
      </c>
      <c r="AI256" s="91" t="n">
        <f aca="false">AI217-AI178</f>
        <v>0</v>
      </c>
      <c r="AJ256" s="91" t="n">
        <f aca="false">AJ217-AJ178</f>
        <v>0</v>
      </c>
      <c r="AK256" s="91" t="n">
        <f aca="false">AK217-AK178</f>
        <v>-0.000483453852685781</v>
      </c>
    </row>
    <row r="257" customFormat="false" ht="12.75" hidden="false" customHeight="false" outlineLevel="0" collapsed="false">
      <c r="B257" s="89" t="s">
        <v>173</v>
      </c>
      <c r="C257" s="89" t="s">
        <v>174</v>
      </c>
      <c r="D257" s="91" t="n">
        <f aca="false">D218-D179</f>
        <v>0</v>
      </c>
      <c r="E257" s="91" t="n">
        <f aca="false">E218-E179</f>
        <v>0</v>
      </c>
      <c r="F257" s="91" t="n">
        <f aca="false">F218-F179</f>
        <v>-0.00196606284793848</v>
      </c>
      <c r="G257" s="91" t="n">
        <f aca="false">G218-G179</f>
        <v>0</v>
      </c>
      <c r="H257" s="91" t="n">
        <f aca="false">H218-H179</f>
        <v>0</v>
      </c>
      <c r="I257" s="91" t="n">
        <f aca="false">I218-I179</f>
        <v>0</v>
      </c>
      <c r="J257" s="91" t="n">
        <f aca="false">J218-J179</f>
        <v>0</v>
      </c>
      <c r="K257" s="91" t="n">
        <f aca="false">K218-K179</f>
        <v>-0.0009905943017286</v>
      </c>
      <c r="L257" s="91" t="n">
        <f aca="false">L218-L179</f>
        <v>-0.000989950902287672</v>
      </c>
      <c r="M257" s="91" t="n">
        <f aca="false">M218-M179</f>
        <v>0</v>
      </c>
      <c r="N257" s="91" t="n">
        <f aca="false">N218-N179</f>
        <v>0</v>
      </c>
      <c r="O257" s="91" t="n">
        <f aca="false">O218-O179</f>
        <v>0</v>
      </c>
      <c r="P257" s="91" t="n">
        <f aca="false">P218-P179</f>
        <v>-0.00798760316797251</v>
      </c>
      <c r="Q257" s="91" t="n">
        <f aca="false">Q218-Q179</f>
        <v>-0.00791920914013824</v>
      </c>
      <c r="R257" s="91" t="n">
        <f aca="false">R218-R179</f>
        <v>-0.00790299332936846</v>
      </c>
      <c r="S257" s="91" t="n">
        <f aca="false">S218-S179</f>
        <v>-0.000349082848140105</v>
      </c>
      <c r="T257" s="91" t="n">
        <f aca="false">T218-T179</f>
        <v>-0.00242677064990537</v>
      </c>
      <c r="U257" s="91" t="n">
        <f aca="false">U218-U179</f>
        <v>-0.000124700191531492</v>
      </c>
      <c r="V257" s="91" t="n">
        <f aca="false">V218-V179</f>
        <v>0</v>
      </c>
      <c r="W257" s="91" t="n">
        <f aca="false">W218-W179</f>
        <v>-0.000250154439990353</v>
      </c>
      <c r="X257" s="91" t="n">
        <f aca="false">X218-X179</f>
        <v>-0.000528512274822167</v>
      </c>
      <c r="Y257" s="91" t="n">
        <f aca="false">Y218-Y179</f>
        <v>-0.000662294272051761</v>
      </c>
      <c r="Z257" s="91" t="n">
        <f aca="false">Z218-Z179</f>
        <v>-0.00038073987977092</v>
      </c>
      <c r="AA257" s="91" t="n">
        <f aca="false">AA218-AA179</f>
        <v>-0.000393213482281847</v>
      </c>
      <c r="AB257" s="91" t="n">
        <f aca="false">AB218-AB179</f>
        <v>-0.000378400517756558</v>
      </c>
      <c r="AC257" s="91" t="n">
        <f aca="false">AC218-AC179</f>
        <v>-0.000378681735316074</v>
      </c>
      <c r="AD257" s="91" t="n">
        <f aca="false">AD218-AD179</f>
        <v>-0.00102016409809339</v>
      </c>
      <c r="AE257" s="91" t="n">
        <f aca="false">AE218-AE179</f>
        <v>-0.000113610638901959</v>
      </c>
      <c r="AF257" s="91" t="n">
        <f aca="false">AF218-AF179</f>
        <v>-0.00313185006564154</v>
      </c>
      <c r="AG257" s="91" t="n">
        <f aca="false">AG218-AG179</f>
        <v>-0.00320656165611829</v>
      </c>
      <c r="AH257" s="91" t="n">
        <f aca="false">AH218-AH179</f>
        <v>-0.00404965416529826</v>
      </c>
      <c r="AI257" s="91" t="n">
        <f aca="false">AI218-AI179</f>
        <v>0.98726530297496</v>
      </c>
      <c r="AJ257" s="91" t="n">
        <f aca="false">AJ218-AJ179</f>
        <v>-0.00215520444729698</v>
      </c>
      <c r="AK257" s="91" t="n">
        <f aca="false">AK218-AK179</f>
        <v>-0.00389308230371574</v>
      </c>
    </row>
    <row r="258" customFormat="false" ht="12.75" hidden="false" customHeight="false" outlineLevel="0" collapsed="false">
      <c r="B258" s="89" t="s">
        <v>175</v>
      </c>
      <c r="C258" s="89" t="s">
        <v>176</v>
      </c>
      <c r="D258" s="91" t="n">
        <f aca="false">D219-D180</f>
        <v>-7.57865542676557E-007</v>
      </c>
      <c r="E258" s="91" t="n">
        <f aca="false">E219-E180</f>
        <v>-0.000409568198669045</v>
      </c>
      <c r="F258" s="91" t="n">
        <f aca="false">F219-F180</f>
        <v>-0.000312685329471436</v>
      </c>
      <c r="G258" s="91" t="n">
        <f aca="false">G219-G180</f>
        <v>-0.000498534146210172</v>
      </c>
      <c r="H258" s="91" t="n">
        <f aca="false">H219-H180</f>
        <v>-0.000496617291007463</v>
      </c>
      <c r="I258" s="91" t="n">
        <f aca="false">I219-I180</f>
        <v>0</v>
      </c>
      <c r="J258" s="91" t="n">
        <f aca="false">J219-J180</f>
        <v>-0.000418057323870738</v>
      </c>
      <c r="K258" s="91" t="n">
        <f aca="false">K219-K180</f>
        <v>-0.000992495784197149</v>
      </c>
      <c r="L258" s="91" t="n">
        <f aca="false">L219-L180</f>
        <v>-0.00099185114972716</v>
      </c>
      <c r="M258" s="91" t="n">
        <f aca="false">M219-M180</f>
        <v>-0.000370566131937472</v>
      </c>
      <c r="N258" s="91" t="n">
        <f aca="false">N219-N180</f>
        <v>-0.000367511869791231</v>
      </c>
      <c r="O258" s="91" t="n">
        <f aca="false">O219-O180</f>
        <v>0</v>
      </c>
      <c r="P258" s="91" t="n">
        <f aca="false">P219-P180</f>
        <v>-0.000633983481455456</v>
      </c>
      <c r="Q258" s="91" t="n">
        <f aca="false">Q219-Q180</f>
        <v>-0.000628554983949354</v>
      </c>
      <c r="R258" s="91" t="n">
        <f aca="false">R219-R180</f>
        <v>-0.000627267919989076</v>
      </c>
      <c r="S258" s="91" t="n">
        <f aca="false">S219-S180</f>
        <v>0</v>
      </c>
      <c r="T258" s="91" t="n">
        <f aca="false">T219-T180</f>
        <v>-0.000454614293162725</v>
      </c>
      <c r="U258" s="91" t="n">
        <f aca="false">U219-U180</f>
        <v>-0.000252561242724384</v>
      </c>
      <c r="V258" s="91" t="n">
        <f aca="false">V219-V180</f>
        <v>-0.000671879744015598</v>
      </c>
      <c r="W258" s="91" t="n">
        <f aca="false">W219-W180</f>
        <v>-0.000234288884574262</v>
      </c>
      <c r="X258" s="91" t="n">
        <f aca="false">X219-X180</f>
        <v>-3.71576078538343E-005</v>
      </c>
      <c r="Y258" s="91" t="n">
        <f aca="false">Y219-Y180</f>
        <v>-0.000233520773641115</v>
      </c>
      <c r="Z258" s="91" t="n">
        <f aca="false">Z219-Z180</f>
        <v>-0.000180027129387793</v>
      </c>
      <c r="AA258" s="91" t="n">
        <f aca="false">AA219-AA180</f>
        <v>-0.000185925084848928</v>
      </c>
      <c r="AB258" s="91" t="n">
        <f aca="false">AB219-AB180</f>
        <v>-0.000178920997221397</v>
      </c>
      <c r="AC258" s="91" t="n">
        <f aca="false">AC219-AC180</f>
        <v>-0.000179053966717536</v>
      </c>
      <c r="AD258" s="91" t="n">
        <f aca="false">AD219-AD180</f>
        <v>-4.36086878910267E-005</v>
      </c>
      <c r="AE258" s="91" t="n">
        <f aca="false">AE219-AE180</f>
        <v>-5.32025533209343E-006</v>
      </c>
      <c r="AF258" s="91" t="n">
        <f aca="false">AF219-AF180</f>
        <v>-0.000274989244604758</v>
      </c>
      <c r="AG258" s="91" t="n">
        <f aca="false">AG219-AG180</f>
        <v>-0.000281549227808874</v>
      </c>
      <c r="AH258" s="91" t="n">
        <f aca="false">AH219-AH180</f>
        <v>-0.00285862244109319</v>
      </c>
      <c r="AI258" s="91" t="n">
        <f aca="false">AI219-AI180</f>
        <v>-0.00847588333894762</v>
      </c>
      <c r="AJ258" s="91" t="n">
        <f aca="false">AJ219-AJ180</f>
        <v>0.993444292555273</v>
      </c>
      <c r="AK258" s="91" t="n">
        <f aca="false">AK219-AK180</f>
        <v>-0.00335882096321262</v>
      </c>
    </row>
    <row r="259" customFormat="false" ht="12.75" hidden="false" customHeight="false" outlineLevel="0" collapsed="false">
      <c r="B259" s="89" t="s">
        <v>177</v>
      </c>
      <c r="C259" s="89" t="s">
        <v>178</v>
      </c>
      <c r="D259" s="91" t="n">
        <f aca="false">D220-D181</f>
        <v>-6.30870581360873E-007</v>
      </c>
      <c r="E259" s="91" t="n">
        <f aca="false">E220-E181</f>
        <v>-0.00365562532852464</v>
      </c>
      <c r="F259" s="91" t="n">
        <f aca="false">F220-F181</f>
        <v>-0.00145051075261187</v>
      </c>
      <c r="G259" s="91" t="n">
        <f aca="false">G220-G181</f>
        <v>-0.000558594701171263</v>
      </c>
      <c r="H259" s="91" t="n">
        <f aca="false">H220-H181</f>
        <v>-0.00055644691416954</v>
      </c>
      <c r="I259" s="91" t="n">
        <f aca="false">I220-I181</f>
        <v>-0.0037848246128766</v>
      </c>
      <c r="J259" s="91" t="n">
        <f aca="false">J220-J181</f>
        <v>-0.00370534612446645</v>
      </c>
      <c r="K259" s="91" t="n">
        <f aca="false">K220-K181</f>
        <v>-0.00791507291275945</v>
      </c>
      <c r="L259" s="91" t="n">
        <f aca="false">L220-L181</f>
        <v>-0.00790993200544951</v>
      </c>
      <c r="M259" s="91" t="n">
        <f aca="false">M220-M181</f>
        <v>-0.00232854621062848</v>
      </c>
      <c r="N259" s="91" t="n">
        <f aca="false">N220-N181</f>
        <v>-0.00230935398032478</v>
      </c>
      <c r="O259" s="91" t="n">
        <f aca="false">O220-O181</f>
        <v>0</v>
      </c>
      <c r="P259" s="91" t="n">
        <f aca="false">P220-P181</f>
        <v>-0.00301433699006613</v>
      </c>
      <c r="Q259" s="91" t="n">
        <f aca="false">Q220-Q181</f>
        <v>-0.00298852666328035</v>
      </c>
      <c r="R259" s="91" t="n">
        <f aca="false">R220-R181</f>
        <v>-0.00298240719074281</v>
      </c>
      <c r="S259" s="91" t="n">
        <f aca="false">S220-S181</f>
        <v>-0.000907191221957888</v>
      </c>
      <c r="T259" s="91" t="n">
        <f aca="false">T220-T181</f>
        <v>-0.00136887390643266</v>
      </c>
      <c r="U259" s="91" t="n">
        <f aca="false">U220-U181</f>
        <v>-0.00445368758388596</v>
      </c>
      <c r="V259" s="91" t="n">
        <f aca="false">V220-V181</f>
        <v>-0.00994299304133014</v>
      </c>
      <c r="W259" s="91" t="n">
        <f aca="false">W220-W181</f>
        <v>-0.0052794868965374</v>
      </c>
      <c r="X259" s="91" t="n">
        <f aca="false">X220-X181</f>
        <v>-0.0017811763656381</v>
      </c>
      <c r="Y259" s="91" t="n">
        <f aca="false">Y220-Y181</f>
        <v>-0.0149773393305005</v>
      </c>
      <c r="Z259" s="91" t="n">
        <f aca="false">Z220-Z181</f>
        <v>-0.00267825498594745</v>
      </c>
      <c r="AA259" s="91" t="n">
        <f aca="false">AA220-AA181</f>
        <v>-0.00276599858700579</v>
      </c>
      <c r="AB259" s="91" t="n">
        <f aca="false">AB220-AB181</f>
        <v>-0.00266179911065888</v>
      </c>
      <c r="AC259" s="91" t="n">
        <f aca="false">AC220-AC181</f>
        <v>-0.00266377729148764</v>
      </c>
      <c r="AD259" s="91" t="n">
        <f aca="false">AD220-AD181</f>
        <v>-0.0044968703996875</v>
      </c>
      <c r="AE259" s="91" t="n">
        <f aca="false">AE220-AE181</f>
        <v>-0.000122049649338246</v>
      </c>
      <c r="AF259" s="91" t="n">
        <f aca="false">AF220-AF181</f>
        <v>-0.0252096002127022</v>
      </c>
      <c r="AG259" s="91" t="n">
        <f aca="false">AG220-AG181</f>
        <v>-0.0258109857476731</v>
      </c>
      <c r="AH259" s="91" t="n">
        <f aca="false">AH220-AH181</f>
        <v>-0.00152395216388478</v>
      </c>
      <c r="AI259" s="91" t="n">
        <f aca="false">AI220-AI181</f>
        <v>-0.00482325362461547</v>
      </c>
      <c r="AJ259" s="91" t="n">
        <f aca="false">AJ220-AJ181</f>
        <v>-0.00688929481785259</v>
      </c>
      <c r="AK259" s="91" t="n">
        <f aca="false">AK220-AK181</f>
        <v>0.944711722402796</v>
      </c>
    </row>
    <row r="261" customFormat="false" ht="12.75" hidden="false" customHeight="false" outlineLevel="0" collapsed="false">
      <c r="B261" s="30" t="s">
        <v>348</v>
      </c>
    </row>
    <row r="263" customFormat="false" ht="91.7" hidden="false" customHeight="false" outlineLevel="0" collapsed="false">
      <c r="B263" s="89"/>
      <c r="C263" s="89"/>
      <c r="D263" s="90" t="s">
        <v>208</v>
      </c>
      <c r="E263" s="90" t="s">
        <v>209</v>
      </c>
      <c r="F263" s="90" t="s">
        <v>210</v>
      </c>
      <c r="G263" s="90" t="s">
        <v>211</v>
      </c>
      <c r="H263" s="90" t="s">
        <v>212</v>
      </c>
      <c r="I263" s="90" t="s">
        <v>213</v>
      </c>
      <c r="J263" s="90" t="s">
        <v>214</v>
      </c>
      <c r="K263" s="90" t="s">
        <v>215</v>
      </c>
      <c r="L263" s="90" t="s">
        <v>216</v>
      </c>
      <c r="M263" s="90" t="s">
        <v>217</v>
      </c>
      <c r="N263" s="90" t="s">
        <v>218</v>
      </c>
      <c r="O263" s="90" t="s">
        <v>219</v>
      </c>
      <c r="P263" s="90" t="s">
        <v>135</v>
      </c>
      <c r="Q263" s="90" t="s">
        <v>220</v>
      </c>
      <c r="R263" s="90" t="s">
        <v>221</v>
      </c>
      <c r="S263" s="90" t="s">
        <v>222</v>
      </c>
      <c r="T263" s="90" t="s">
        <v>223</v>
      </c>
      <c r="U263" s="90" t="s">
        <v>145</v>
      </c>
      <c r="V263" s="90" t="s">
        <v>224</v>
      </c>
      <c r="W263" s="90" t="s">
        <v>225</v>
      </c>
      <c r="X263" s="90" t="s">
        <v>226</v>
      </c>
      <c r="Y263" s="90" t="s">
        <v>227</v>
      </c>
      <c r="Z263" s="90" t="s">
        <v>228</v>
      </c>
      <c r="AA263" s="90" t="s">
        <v>229</v>
      </c>
      <c r="AB263" s="90" t="s">
        <v>230</v>
      </c>
      <c r="AC263" s="90" t="s">
        <v>231</v>
      </c>
      <c r="AD263" s="90" t="s">
        <v>232</v>
      </c>
      <c r="AE263" s="90" t="s">
        <v>233</v>
      </c>
      <c r="AF263" s="90" t="s">
        <v>234</v>
      </c>
      <c r="AG263" s="90" t="s">
        <v>235</v>
      </c>
      <c r="AH263" s="90" t="s">
        <v>236</v>
      </c>
      <c r="AI263" s="90" t="s">
        <v>173</v>
      </c>
      <c r="AJ263" s="90" t="s">
        <v>237</v>
      </c>
      <c r="AK263" s="90" t="s">
        <v>238</v>
      </c>
    </row>
    <row r="264" customFormat="false" ht="12.75" hidden="false" customHeight="false" outlineLevel="0" collapsed="false">
      <c r="B264" s="89"/>
      <c r="C264" s="89"/>
      <c r="D264" s="89" t="s">
        <v>112</v>
      </c>
      <c r="E264" s="89" t="s">
        <v>114</v>
      </c>
      <c r="F264" s="89" t="s">
        <v>116</v>
      </c>
      <c r="G264" s="89" t="s">
        <v>118</v>
      </c>
      <c r="H264" s="89" t="s">
        <v>120</v>
      </c>
      <c r="I264" s="89" t="s">
        <v>122</v>
      </c>
      <c r="J264" s="89" t="s">
        <v>124</v>
      </c>
      <c r="K264" s="89" t="s">
        <v>126</v>
      </c>
      <c r="L264" s="89" t="s">
        <v>128</v>
      </c>
      <c r="M264" s="89" t="s">
        <v>130</v>
      </c>
      <c r="N264" s="89" t="s">
        <v>132</v>
      </c>
      <c r="O264" s="89" t="s">
        <v>134</v>
      </c>
      <c r="P264" s="89" t="s">
        <v>136</v>
      </c>
      <c r="Q264" s="89" t="s">
        <v>138</v>
      </c>
      <c r="R264" s="89" t="s">
        <v>140</v>
      </c>
      <c r="S264" s="89" t="s">
        <v>142</v>
      </c>
      <c r="T264" s="89" t="s">
        <v>144</v>
      </c>
      <c r="U264" s="89" t="s">
        <v>146</v>
      </c>
      <c r="V264" s="89" t="s">
        <v>148</v>
      </c>
      <c r="W264" s="89" t="s">
        <v>150</v>
      </c>
      <c r="X264" s="89" t="s">
        <v>152</v>
      </c>
      <c r="Y264" s="89" t="s">
        <v>154</v>
      </c>
      <c r="Z264" s="89" t="s">
        <v>156</v>
      </c>
      <c r="AA264" s="89" t="s">
        <v>158</v>
      </c>
      <c r="AB264" s="89" t="s">
        <v>160</v>
      </c>
      <c r="AC264" s="89" t="s">
        <v>162</v>
      </c>
      <c r="AD264" s="89" t="s">
        <v>164</v>
      </c>
      <c r="AE264" s="89" t="s">
        <v>166</v>
      </c>
      <c r="AF264" s="89" t="s">
        <v>168</v>
      </c>
      <c r="AG264" s="89" t="s">
        <v>170</v>
      </c>
      <c r="AH264" s="89" t="s">
        <v>172</v>
      </c>
      <c r="AI264" s="89" t="s">
        <v>174</v>
      </c>
      <c r="AJ264" s="89" t="s">
        <v>176</v>
      </c>
      <c r="AK264" s="89" t="s">
        <v>178</v>
      </c>
    </row>
    <row r="265" customFormat="false" ht="12.75" hidden="false" customHeight="false" outlineLevel="0" collapsed="false">
      <c r="B265" s="89" t="s">
        <v>111</v>
      </c>
      <c r="C265" s="89" t="s">
        <v>112</v>
      </c>
      <c r="D265" s="91" t="n">
        <f aca="false" t="array" ref="D265:AK298">MINVERSE(D226:AK259)</f>
        <v>1.82900670842223</v>
      </c>
      <c r="E265" s="91" t="n">
        <v>0.00771273586350865</v>
      </c>
      <c r="F265" s="91" t="n">
        <v>0.36764334310793</v>
      </c>
      <c r="G265" s="91" t="n">
        <v>0.256706306193624</v>
      </c>
      <c r="H265" s="91" t="n">
        <v>0.235768013704765</v>
      </c>
      <c r="I265" s="91" t="n">
        <v>0.00580196429707699</v>
      </c>
      <c r="J265" s="91" t="n">
        <v>0.00704919259280475</v>
      </c>
      <c r="K265" s="91" t="n">
        <v>0.0208133054354235</v>
      </c>
      <c r="L265" s="91" t="n">
        <v>0.0210973187904358</v>
      </c>
      <c r="M265" s="91" t="n">
        <v>0.00738564226712883</v>
      </c>
      <c r="N265" s="91" t="n">
        <v>0.00734721127975044</v>
      </c>
      <c r="O265" s="91" t="n">
        <v>0.00162482580383837</v>
      </c>
      <c r="P265" s="91" t="n">
        <v>0.00286174695638134</v>
      </c>
      <c r="Q265" s="91" t="n">
        <v>0.00283724318511563</v>
      </c>
      <c r="R265" s="91" t="n">
        <v>0.00283143348899781</v>
      </c>
      <c r="S265" s="91" t="n">
        <v>0.00411637838786223</v>
      </c>
      <c r="T265" s="91" t="n">
        <v>0.00333729590795124</v>
      </c>
      <c r="U265" s="91" t="n">
        <v>0.0100951585335599</v>
      </c>
      <c r="V265" s="91" t="n">
        <v>0.00107723148101484</v>
      </c>
      <c r="W265" s="91" t="n">
        <v>0.0109993483082667</v>
      </c>
      <c r="X265" s="91" t="n">
        <v>0.0148744126471825</v>
      </c>
      <c r="Y265" s="91" t="n">
        <v>0.107599269633834</v>
      </c>
      <c r="Z265" s="91" t="n">
        <v>0.00414111653446987</v>
      </c>
      <c r="AA265" s="91" t="n">
        <v>0.0043649948022255</v>
      </c>
      <c r="AB265" s="91" t="n">
        <v>0.00420055864712925</v>
      </c>
      <c r="AC265" s="91" t="n">
        <v>0.00421799493526114</v>
      </c>
      <c r="AD265" s="91" t="n">
        <v>0.00435725785657133</v>
      </c>
      <c r="AE265" s="91" t="n">
        <v>0.000876714784666103</v>
      </c>
      <c r="AF265" s="91" t="n">
        <v>0.0119621769041706</v>
      </c>
      <c r="AG265" s="91" t="n">
        <v>0.0122475396269522</v>
      </c>
      <c r="AH265" s="91" t="n">
        <v>0.0790368817704478</v>
      </c>
      <c r="AI265" s="91" t="n">
        <v>0.041974984167226</v>
      </c>
      <c r="AJ265" s="91" t="n">
        <v>0.0757645598184114</v>
      </c>
      <c r="AK265" s="91" t="n">
        <v>0.00775344805726218</v>
      </c>
    </row>
    <row r="266" customFormat="false" ht="12.75" hidden="false" customHeight="false" outlineLevel="0" collapsed="false">
      <c r="B266" s="89" t="s">
        <v>113</v>
      </c>
      <c r="C266" s="89" t="s">
        <v>114</v>
      </c>
      <c r="D266" s="91" t="n">
        <v>0.00120069613147561</v>
      </c>
      <c r="E266" s="91" t="n">
        <v>1.03551364977376</v>
      </c>
      <c r="F266" s="91" t="n">
        <v>0.00731617054897506</v>
      </c>
      <c r="G266" s="91" t="n">
        <v>0.00557480261965558</v>
      </c>
      <c r="H266" s="91" t="n">
        <v>0.00562124567105296</v>
      </c>
      <c r="I266" s="91" t="n">
        <v>0.00350870254842609</v>
      </c>
      <c r="J266" s="91" t="n">
        <v>0.0059494708101398</v>
      </c>
      <c r="K266" s="91" t="n">
        <v>0.106139580178711</v>
      </c>
      <c r="L266" s="91" t="n">
        <v>0.106089978139666</v>
      </c>
      <c r="M266" s="91" t="n">
        <v>0.0316394512590237</v>
      </c>
      <c r="N266" s="91" t="n">
        <v>0.0316259535162665</v>
      </c>
      <c r="O266" s="91" t="n">
        <v>0.0149504649423408</v>
      </c>
      <c r="P266" s="91" t="n">
        <v>0.0367246253868409</v>
      </c>
      <c r="Q266" s="91" t="n">
        <v>0.0364101699741108</v>
      </c>
      <c r="R266" s="91" t="n">
        <v>0.0363356144956599</v>
      </c>
      <c r="S266" s="91" t="n">
        <v>0.0385486509006116</v>
      </c>
      <c r="T266" s="91" t="n">
        <v>0.0676227031555908</v>
      </c>
      <c r="U266" s="91" t="n">
        <v>0.0134538793831146</v>
      </c>
      <c r="V266" s="91" t="n">
        <v>0.0101397419545803</v>
      </c>
      <c r="W266" s="91" t="n">
        <v>0.00235011085804008</v>
      </c>
      <c r="X266" s="91" t="n">
        <v>0.00235907899931153</v>
      </c>
      <c r="Y266" s="91" t="n">
        <v>0.00380098600322417</v>
      </c>
      <c r="Z266" s="91" t="n">
        <v>0.0041671919328648</v>
      </c>
      <c r="AA266" s="91" t="n">
        <v>0.00420899453880991</v>
      </c>
      <c r="AB266" s="91" t="n">
        <v>0.00405043515669331</v>
      </c>
      <c r="AC266" s="91" t="n">
        <v>0.00411876458049312</v>
      </c>
      <c r="AD266" s="91" t="n">
        <v>0.00291682728402332</v>
      </c>
      <c r="AE266" s="91" t="n">
        <v>0.00029857563969235</v>
      </c>
      <c r="AF266" s="91" t="n">
        <v>0.00234614361783581</v>
      </c>
      <c r="AG266" s="91" t="n">
        <v>0.00240211185306469</v>
      </c>
      <c r="AH266" s="91" t="n">
        <v>0.00464061634194813</v>
      </c>
      <c r="AI266" s="91" t="n">
        <v>0.0118326455377205</v>
      </c>
      <c r="AJ266" s="91" t="n">
        <v>0.00231762021461377</v>
      </c>
      <c r="AK266" s="91" t="n">
        <v>0.00315697291437929</v>
      </c>
    </row>
    <row r="267" customFormat="false" ht="12.75" hidden="false" customHeight="false" outlineLevel="0" collapsed="false">
      <c r="B267" s="89" t="s">
        <v>115</v>
      </c>
      <c r="C267" s="89" t="s">
        <v>116</v>
      </c>
      <c r="D267" s="91" t="n">
        <v>0.0155876962787519</v>
      </c>
      <c r="E267" s="91" t="n">
        <v>0.00781702612455651</v>
      </c>
      <c r="F267" s="91" t="n">
        <v>1.11622636104659</v>
      </c>
      <c r="G267" s="91" t="n">
        <v>0.0172361487936873</v>
      </c>
      <c r="H267" s="91" t="n">
        <v>0.0170335957102115</v>
      </c>
      <c r="I267" s="91" t="n">
        <v>0.00227561469721699</v>
      </c>
      <c r="J267" s="91" t="n">
        <v>0.00620329369307363</v>
      </c>
      <c r="K267" s="91" t="n">
        <v>0.035507368737694</v>
      </c>
      <c r="L267" s="91" t="n">
        <v>0.0354869853928323</v>
      </c>
      <c r="M267" s="91" t="n">
        <v>0.0134338412713422</v>
      </c>
      <c r="N267" s="91" t="n">
        <v>0.0133282347478435</v>
      </c>
      <c r="O267" s="91" t="n">
        <v>0.00364888305235718</v>
      </c>
      <c r="P267" s="91" t="n">
        <v>0.00378555862268791</v>
      </c>
      <c r="Q267" s="91" t="n">
        <v>0.00375314469370777</v>
      </c>
      <c r="R267" s="91" t="n">
        <v>0.00374545954698821</v>
      </c>
      <c r="S267" s="91" t="n">
        <v>0.00324090673595883</v>
      </c>
      <c r="T267" s="91" t="n">
        <v>0.00749660666744079</v>
      </c>
      <c r="U267" s="91" t="n">
        <v>0.0273279729937003</v>
      </c>
      <c r="V267" s="91" t="n">
        <v>0.0020147721733766</v>
      </c>
      <c r="W267" s="91" t="n">
        <v>0.0170512320422612</v>
      </c>
      <c r="X267" s="91" t="n">
        <v>0.0417310989701139</v>
      </c>
      <c r="Y267" s="91" t="n">
        <v>0.0962830101020588</v>
      </c>
      <c r="Z267" s="91" t="n">
        <v>0.0108319978236023</v>
      </c>
      <c r="AA267" s="91" t="n">
        <v>0.0114592414077209</v>
      </c>
      <c r="AB267" s="91" t="n">
        <v>0.0110275539297783</v>
      </c>
      <c r="AC267" s="91" t="n">
        <v>0.0110609767060688</v>
      </c>
      <c r="AD267" s="91" t="n">
        <v>0.0116460045615258</v>
      </c>
      <c r="AE267" s="91" t="n">
        <v>0.00172806616276679</v>
      </c>
      <c r="AF267" s="91" t="n">
        <v>0.0271382358503268</v>
      </c>
      <c r="AG267" s="91" t="n">
        <v>0.0277856297934006</v>
      </c>
      <c r="AH267" s="91" t="n">
        <v>0.0438187284477666</v>
      </c>
      <c r="AI267" s="91" t="n">
        <v>0.0225616273275671</v>
      </c>
      <c r="AJ267" s="91" t="n">
        <v>0.0251311565166544</v>
      </c>
      <c r="AK267" s="91" t="n">
        <v>0.0167918879440505</v>
      </c>
    </row>
    <row r="268" customFormat="false" ht="12.75" hidden="false" customHeight="false" outlineLevel="0" collapsed="false">
      <c r="B268" s="89" t="s">
        <v>117</v>
      </c>
      <c r="C268" s="89" t="s">
        <v>118</v>
      </c>
      <c r="D268" s="91" t="n">
        <v>0.000163185102677717</v>
      </c>
      <c r="E268" s="91" t="n">
        <v>0.000473707568214688</v>
      </c>
      <c r="F268" s="91" t="n">
        <v>0.000730329521310399</v>
      </c>
      <c r="G268" s="91" t="n">
        <v>1.02725307054381</v>
      </c>
      <c r="H268" s="91" t="n">
        <v>0.0290651113255993</v>
      </c>
      <c r="I268" s="91" t="n">
        <v>0.00194141764882349</v>
      </c>
      <c r="J268" s="91" t="n">
        <v>0.00247124114620578</v>
      </c>
      <c r="K268" s="91" t="n">
        <v>0.00969757334264165</v>
      </c>
      <c r="L268" s="91" t="n">
        <v>0.00969130997576373</v>
      </c>
      <c r="M268" s="91" t="n">
        <v>0.00118972822104563</v>
      </c>
      <c r="N268" s="91" t="n">
        <v>0.00118726324672816</v>
      </c>
      <c r="O268" s="91" t="n">
        <v>0.000292757970497423</v>
      </c>
      <c r="P268" s="91" t="n">
        <v>0.00321792799883353</v>
      </c>
      <c r="Q268" s="91" t="n">
        <v>0.00319037441955668</v>
      </c>
      <c r="R268" s="91" t="n">
        <v>0.00318384163238604</v>
      </c>
      <c r="S268" s="91" t="n">
        <v>0.00945307106177104</v>
      </c>
      <c r="T268" s="91" t="n">
        <v>0.000557159142918743</v>
      </c>
      <c r="U268" s="91" t="n">
        <v>0.000302857072051428</v>
      </c>
      <c r="V268" s="91" t="n">
        <v>0.000255828706563744</v>
      </c>
      <c r="W268" s="91" t="n">
        <v>0.000214740617995428</v>
      </c>
      <c r="X268" s="91" t="n">
        <v>0.000309321504432245</v>
      </c>
      <c r="Y268" s="91" t="n">
        <v>0.00355371826631346</v>
      </c>
      <c r="Z268" s="91" t="n">
        <v>0.000382928329998091</v>
      </c>
      <c r="AA268" s="91" t="n">
        <v>0.00038747837276002</v>
      </c>
      <c r="AB268" s="91" t="n">
        <v>0.000372881458746028</v>
      </c>
      <c r="AC268" s="91" t="n">
        <v>0.000379182370882688</v>
      </c>
      <c r="AD268" s="91" t="n">
        <v>0.000313654151801332</v>
      </c>
      <c r="AE268" s="91" t="n">
        <v>2.72064751046898E-005</v>
      </c>
      <c r="AF268" s="91" t="n">
        <v>0.000363665896553033</v>
      </c>
      <c r="AG268" s="91" t="n">
        <v>0.000372341298300935</v>
      </c>
      <c r="AH268" s="91" t="n">
        <v>0.00149206638900804</v>
      </c>
      <c r="AI268" s="91" t="n">
        <v>0.000885708143768872</v>
      </c>
      <c r="AJ268" s="91" t="n">
        <v>0.00188016246591069</v>
      </c>
      <c r="AK268" s="91" t="n">
        <v>0.00206731196537206</v>
      </c>
    </row>
    <row r="269" customFormat="false" ht="12.75" hidden="false" customHeight="false" outlineLevel="0" collapsed="false">
      <c r="B269" s="89" t="s">
        <v>119</v>
      </c>
      <c r="C269" s="89" t="s">
        <v>120</v>
      </c>
      <c r="D269" s="91" t="n">
        <v>1.72914110540275E-005</v>
      </c>
      <c r="E269" s="91" t="n">
        <v>5.01949758096542E-005</v>
      </c>
      <c r="F269" s="91" t="n">
        <v>7.73871373712942E-005</v>
      </c>
      <c r="G269" s="91" t="n">
        <v>0.00308429533473752</v>
      </c>
      <c r="H269" s="91" t="n">
        <v>1.00307979575963</v>
      </c>
      <c r="I269" s="91" t="n">
        <v>0.000205716392259467</v>
      </c>
      <c r="J269" s="91" t="n">
        <v>0.00026185752113085</v>
      </c>
      <c r="K269" s="91" t="n">
        <v>0.00102757374382002</v>
      </c>
      <c r="L269" s="91" t="n">
        <v>0.00102691006527651</v>
      </c>
      <c r="M269" s="91" t="n">
        <v>0.000126065917630397</v>
      </c>
      <c r="N269" s="91" t="n">
        <v>0.000125804724154633</v>
      </c>
      <c r="O269" s="91" t="n">
        <v>3.10212042897777E-005</v>
      </c>
      <c r="P269" s="91" t="n">
        <v>0.000340977913161509</v>
      </c>
      <c r="Q269" s="91" t="n">
        <v>0.000338058282279355</v>
      </c>
      <c r="R269" s="91" t="n">
        <v>0.000337366055437305</v>
      </c>
      <c r="S269" s="91" t="n">
        <v>0.00100166580631343</v>
      </c>
      <c r="T269" s="91" t="n">
        <v>5.90376670702869E-005</v>
      </c>
      <c r="U269" s="91" t="n">
        <v>3.20913247442871E-005</v>
      </c>
      <c r="V269" s="91" t="n">
        <v>2.71081076153769E-005</v>
      </c>
      <c r="W269" s="91" t="n">
        <v>2.27543337892073E-005</v>
      </c>
      <c r="X269" s="91" t="n">
        <v>3.27763085797813E-005</v>
      </c>
      <c r="Y269" s="91" t="n">
        <v>0.000376558903384645</v>
      </c>
      <c r="Z269" s="91" t="n">
        <v>4.05758310628771E-005</v>
      </c>
      <c r="AA269" s="91" t="n">
        <v>4.10579624487627E-005</v>
      </c>
      <c r="AB269" s="91" t="n">
        <v>3.95112450328064E-005</v>
      </c>
      <c r="AC269" s="91" t="n">
        <v>4.01789019450031E-005</v>
      </c>
      <c r="AD269" s="91" t="n">
        <v>3.32354043267685E-005</v>
      </c>
      <c r="AE269" s="91" t="n">
        <v>2.8828510485755E-006</v>
      </c>
      <c r="AF269" s="91" t="n">
        <v>3.85347461284443E-005</v>
      </c>
      <c r="AG269" s="91" t="n">
        <v>3.9454008580839E-005</v>
      </c>
      <c r="AH269" s="91" t="n">
        <v>0.000158102258287573</v>
      </c>
      <c r="AI269" s="91" t="n">
        <v>9.38513585891104E-005</v>
      </c>
      <c r="AJ269" s="91" t="n">
        <v>0.000199225673869402</v>
      </c>
      <c r="AK269" s="91" t="n">
        <v>0.000219056399043706</v>
      </c>
    </row>
    <row r="270" customFormat="false" ht="12.75" hidden="false" customHeight="false" outlineLevel="0" collapsed="false">
      <c r="B270" s="89" t="s">
        <v>121</v>
      </c>
      <c r="C270" s="89" t="s">
        <v>122</v>
      </c>
      <c r="D270" s="91" t="n">
        <v>2.56593709661634E-005</v>
      </c>
      <c r="E270" s="91" t="n">
        <v>4.23054766711153E-005</v>
      </c>
      <c r="F270" s="91" t="n">
        <v>7.71102917769717E-005</v>
      </c>
      <c r="G270" s="91" t="n">
        <v>0.000117144856740635</v>
      </c>
      <c r="H270" s="91" t="n">
        <v>0.00012362018295687</v>
      </c>
      <c r="I270" s="91" t="n">
        <v>1.00444566324305</v>
      </c>
      <c r="J270" s="91" t="n">
        <v>0.00403705250321023</v>
      </c>
      <c r="K270" s="91" t="n">
        <v>0.000191628599492682</v>
      </c>
      <c r="L270" s="91" t="n">
        <v>0.000191509089205317</v>
      </c>
      <c r="M270" s="91" t="n">
        <v>0.000231139596559617</v>
      </c>
      <c r="N270" s="91" t="n">
        <v>0.000230897737089605</v>
      </c>
      <c r="O270" s="91" t="n">
        <v>8.17304378013435E-005</v>
      </c>
      <c r="P270" s="91" t="n">
        <v>0.000228599820855927</v>
      </c>
      <c r="Q270" s="91" t="n">
        <v>0.000226642429861191</v>
      </c>
      <c r="R270" s="91" t="n">
        <v>0.000226178344282694</v>
      </c>
      <c r="S270" s="91" t="n">
        <v>0.0037995461306412</v>
      </c>
      <c r="T270" s="91" t="n">
        <v>6.49417161008517E-005</v>
      </c>
      <c r="U270" s="91" t="n">
        <v>0.000256450816672604</v>
      </c>
      <c r="V270" s="91" t="n">
        <v>5.18640833780642E-005</v>
      </c>
      <c r="W270" s="91" t="n">
        <v>0.000148388905193917</v>
      </c>
      <c r="X270" s="91" t="n">
        <v>6.05358553372858E-005</v>
      </c>
      <c r="Y270" s="91" t="n">
        <v>0.00024511322240899</v>
      </c>
      <c r="Z270" s="91" t="n">
        <v>3.34565686319529E-005</v>
      </c>
      <c r="AA270" s="91" t="n">
        <v>3.48533386729704E-005</v>
      </c>
      <c r="AB270" s="91" t="n">
        <v>3.35403591017855E-005</v>
      </c>
      <c r="AC270" s="91" t="n">
        <v>3.36188346906359E-005</v>
      </c>
      <c r="AD270" s="91" t="n">
        <v>3.62363373246041E-005</v>
      </c>
      <c r="AE270" s="91" t="n">
        <v>3.40808891972485E-006</v>
      </c>
      <c r="AF270" s="91" t="n">
        <v>5.60241741511646E-005</v>
      </c>
      <c r="AG270" s="91" t="n">
        <v>5.73606542087191E-005</v>
      </c>
      <c r="AH270" s="91" t="n">
        <v>5.84216333013724E-005</v>
      </c>
      <c r="AI270" s="91" t="n">
        <v>6.86392415210781E-005</v>
      </c>
      <c r="AJ270" s="91" t="n">
        <v>2.44385877845574E-005</v>
      </c>
      <c r="AK270" s="91" t="n">
        <v>0.000259892058670276</v>
      </c>
    </row>
    <row r="271" customFormat="false" ht="12.75" hidden="false" customHeight="false" outlineLevel="0" collapsed="false">
      <c r="B271" s="89" t="s">
        <v>123</v>
      </c>
      <c r="C271" s="89" t="s">
        <v>124</v>
      </c>
      <c r="D271" s="91" t="n">
        <v>0.000365392866088395</v>
      </c>
      <c r="E271" s="91" t="n">
        <v>0.000867694116075114</v>
      </c>
      <c r="F271" s="91" t="n">
        <v>0.00105976782070065</v>
      </c>
      <c r="G271" s="91" t="n">
        <v>0.00129520426870769</v>
      </c>
      <c r="H271" s="91" t="n">
        <v>0.00135014874018315</v>
      </c>
      <c r="I271" s="91" t="n">
        <v>0.0543135914668216</v>
      </c>
      <c r="J271" s="91" t="n">
        <v>1.03599923904883</v>
      </c>
      <c r="K271" s="91" t="n">
        <v>0.00258594874653229</v>
      </c>
      <c r="L271" s="91" t="n">
        <v>0.00258434460138706</v>
      </c>
      <c r="M271" s="91" t="n">
        <v>0.00230864215512505</v>
      </c>
      <c r="N271" s="91" t="n">
        <v>0.0023054634210295</v>
      </c>
      <c r="O271" s="91" t="n">
        <v>0.00104584390165545</v>
      </c>
      <c r="P271" s="91" t="n">
        <v>0.00335221812167753</v>
      </c>
      <c r="Q271" s="91" t="n">
        <v>0.00332351468026978</v>
      </c>
      <c r="R271" s="91" t="n">
        <v>0.00331670926773525</v>
      </c>
      <c r="S271" s="91" t="n">
        <v>0.0334622102768031</v>
      </c>
      <c r="T271" s="91" t="n">
        <v>0.00105510264010419</v>
      </c>
      <c r="U271" s="91" t="n">
        <v>0.00235162122610701</v>
      </c>
      <c r="V271" s="91" t="n">
        <v>0.000731709115779374</v>
      </c>
      <c r="W271" s="91" t="n">
        <v>0.00157991545699126</v>
      </c>
      <c r="X271" s="91" t="n">
        <v>0.00103890509490178</v>
      </c>
      <c r="Y271" s="91" t="n">
        <v>0.0029555060184999</v>
      </c>
      <c r="Z271" s="91" t="n">
        <v>0.000378887735885112</v>
      </c>
      <c r="AA271" s="91" t="n">
        <v>0.000397103833619442</v>
      </c>
      <c r="AB271" s="91" t="n">
        <v>0.00038214431349789</v>
      </c>
      <c r="AC271" s="91" t="n">
        <v>0.000383044838142601</v>
      </c>
      <c r="AD271" s="91" t="n">
        <v>0.000441442387288105</v>
      </c>
      <c r="AE271" s="91" t="n">
        <v>0.000316530702729147</v>
      </c>
      <c r="AF271" s="91" t="n">
        <v>0.000599259489018631</v>
      </c>
      <c r="AG271" s="91" t="n">
        <v>0.000613555074246047</v>
      </c>
      <c r="AH271" s="91" t="n">
        <v>0.000969721690149837</v>
      </c>
      <c r="AI271" s="91" t="n">
        <v>0.00160705373010031</v>
      </c>
      <c r="AJ271" s="91" t="n">
        <v>0.000596515682157777</v>
      </c>
      <c r="AK271" s="91" t="n">
        <v>0.00310602184336812</v>
      </c>
    </row>
    <row r="272" customFormat="false" ht="12.75" hidden="false" customHeight="false" outlineLevel="0" collapsed="false">
      <c r="B272" s="89" t="s">
        <v>125</v>
      </c>
      <c r="C272" s="89" t="s">
        <v>126</v>
      </c>
      <c r="D272" s="91" t="n">
        <v>0.00270950620184293</v>
      </c>
      <c r="E272" s="91" t="n">
        <v>0.0078531423893852</v>
      </c>
      <c r="F272" s="91" t="n">
        <v>0.0021596655242483</v>
      </c>
      <c r="G272" s="91" t="n">
        <v>0.00283245545483653</v>
      </c>
      <c r="H272" s="91" t="n">
        <v>0.00280002824120788</v>
      </c>
      <c r="I272" s="91" t="n">
        <v>0.00359444606050459</v>
      </c>
      <c r="J272" s="91" t="n">
        <v>0.00559134775884711</v>
      </c>
      <c r="K272" s="91" t="n">
        <v>1.00719070064752</v>
      </c>
      <c r="L272" s="91" t="n">
        <v>0.00718661594509253</v>
      </c>
      <c r="M272" s="91" t="n">
        <v>0.00216209055743444</v>
      </c>
      <c r="N272" s="91" t="n">
        <v>0.00211542413050332</v>
      </c>
      <c r="O272" s="91" t="n">
        <v>0.00214188047142632</v>
      </c>
      <c r="P272" s="91" t="n">
        <v>0.00473877289663975</v>
      </c>
      <c r="Q272" s="91" t="n">
        <v>0.00469819704947044</v>
      </c>
      <c r="R272" s="91" t="n">
        <v>0.00468857676126172</v>
      </c>
      <c r="S272" s="91" t="n">
        <v>0.00189674972868053</v>
      </c>
      <c r="T272" s="91" t="n">
        <v>0.00588165381965376</v>
      </c>
      <c r="U272" s="91" t="n">
        <v>0.00628016328499784</v>
      </c>
      <c r="V272" s="91" t="n">
        <v>0.00451324234615486</v>
      </c>
      <c r="W272" s="91" t="n">
        <v>0.00326523957048426</v>
      </c>
      <c r="X272" s="91" t="n">
        <v>0.00461124281755762</v>
      </c>
      <c r="Y272" s="91" t="n">
        <v>0.00132599549022106</v>
      </c>
      <c r="Z272" s="91" t="n">
        <v>0.0111669068375534</v>
      </c>
      <c r="AA272" s="91" t="n">
        <v>0.00982145285328123</v>
      </c>
      <c r="AB272" s="91" t="n">
        <v>0.00945146342194688</v>
      </c>
      <c r="AC272" s="91" t="n">
        <v>0.010950604042615</v>
      </c>
      <c r="AD272" s="91" t="n">
        <v>0.00496608986726947</v>
      </c>
      <c r="AE272" s="91" t="n">
        <v>0.00023150478422483</v>
      </c>
      <c r="AF272" s="91" t="n">
        <v>0.0022912885105148</v>
      </c>
      <c r="AG272" s="91" t="n">
        <v>0.0023459481542633</v>
      </c>
      <c r="AH272" s="91" t="n">
        <v>0.00198250764918312</v>
      </c>
      <c r="AI272" s="91" t="n">
        <v>0.000726854937838453</v>
      </c>
      <c r="AJ272" s="91" t="n">
        <v>0.00196059682979636</v>
      </c>
      <c r="AK272" s="91" t="n">
        <v>0.001870297827537</v>
      </c>
    </row>
    <row r="273" customFormat="false" ht="12.75" hidden="false" customHeight="false" outlineLevel="0" collapsed="false">
      <c r="B273" s="89" t="s">
        <v>127</v>
      </c>
      <c r="C273" s="89" t="s">
        <v>128</v>
      </c>
      <c r="D273" s="91" t="n">
        <v>0.00129198023841495</v>
      </c>
      <c r="E273" s="91" t="n">
        <v>0.00394862259732827</v>
      </c>
      <c r="F273" s="91" t="n">
        <v>0.00103744627866249</v>
      </c>
      <c r="G273" s="91" t="n">
        <v>0.00132282249002386</v>
      </c>
      <c r="H273" s="91" t="n">
        <v>0.0013073833962215</v>
      </c>
      <c r="I273" s="91" t="n">
        <v>0.00165691338751108</v>
      </c>
      <c r="J273" s="91" t="n">
        <v>0.00258102895753224</v>
      </c>
      <c r="K273" s="91" t="n">
        <v>0.00334789015614019</v>
      </c>
      <c r="L273" s="91" t="n">
        <v>1.00334599873341</v>
      </c>
      <c r="M273" s="91" t="n">
        <v>0.00100855237025862</v>
      </c>
      <c r="N273" s="91" t="n">
        <v>0.000987138754764864</v>
      </c>
      <c r="O273" s="91" t="n">
        <v>0.000991146458607853</v>
      </c>
      <c r="P273" s="91" t="n">
        <v>0.00220986518687181</v>
      </c>
      <c r="Q273" s="91" t="n">
        <v>0.00219094316759738</v>
      </c>
      <c r="R273" s="91" t="n">
        <v>0.00218645687115233</v>
      </c>
      <c r="S273" s="91" t="n">
        <v>0.000886967180567361</v>
      </c>
      <c r="T273" s="91" t="n">
        <v>0.00297781681333173</v>
      </c>
      <c r="U273" s="91" t="n">
        <v>0.0028886947410793</v>
      </c>
      <c r="V273" s="91" t="n">
        <v>0.0024862496398508</v>
      </c>
      <c r="W273" s="91" t="n">
        <v>0.00166353400753985</v>
      </c>
      <c r="X273" s="91" t="n">
        <v>0.00234670847746999</v>
      </c>
      <c r="Y273" s="91" t="n">
        <v>0.000640554810035449</v>
      </c>
      <c r="Z273" s="91" t="n">
        <v>0.00481702071461433</v>
      </c>
      <c r="AA273" s="91" t="n">
        <v>0.00556254352724177</v>
      </c>
      <c r="AB273" s="91" t="n">
        <v>0.00535299384582888</v>
      </c>
      <c r="AC273" s="91" t="n">
        <v>0.00462239843446951</v>
      </c>
      <c r="AD273" s="91" t="n">
        <v>0.00227955246261657</v>
      </c>
      <c r="AE273" s="91" t="n">
        <v>0.000107361241957452</v>
      </c>
      <c r="AF273" s="91" t="n">
        <v>0.00105900282018744</v>
      </c>
      <c r="AG273" s="91" t="n">
        <v>0.00108426577446598</v>
      </c>
      <c r="AH273" s="91" t="n">
        <v>0.000926628708973312</v>
      </c>
      <c r="AI273" s="91" t="n">
        <v>0.000347679555786876</v>
      </c>
      <c r="AJ273" s="91" t="n">
        <v>0.000913153926392172</v>
      </c>
      <c r="AK273" s="91" t="n">
        <v>0.000865127807974581</v>
      </c>
    </row>
    <row r="274" customFormat="false" ht="12.75" hidden="false" customHeight="false" outlineLevel="0" collapsed="false">
      <c r="B274" s="89" t="s">
        <v>129</v>
      </c>
      <c r="C274" s="89" t="s">
        <v>130</v>
      </c>
      <c r="D274" s="91" t="n">
        <v>0.00117205846446395</v>
      </c>
      <c r="E274" s="91" t="n">
        <v>0.000981762090876441</v>
      </c>
      <c r="F274" s="91" t="n">
        <v>0.00283664496288578</v>
      </c>
      <c r="G274" s="91" t="n">
        <v>0.00142619577080198</v>
      </c>
      <c r="H274" s="91" t="n">
        <v>0.00141187113266644</v>
      </c>
      <c r="I274" s="91" t="n">
        <v>0.000372316646890715</v>
      </c>
      <c r="J274" s="91" t="n">
        <v>0.00112858166851056</v>
      </c>
      <c r="K274" s="91" t="n">
        <v>0.00101164530518291</v>
      </c>
      <c r="L274" s="91" t="n">
        <v>0.00101119695267967</v>
      </c>
      <c r="M274" s="91" t="n">
        <v>1.03210101400213</v>
      </c>
      <c r="N274" s="91" t="n">
        <v>0.0320970508737492</v>
      </c>
      <c r="O274" s="91" t="n">
        <v>0.000421025510724133</v>
      </c>
      <c r="P274" s="91" t="n">
        <v>0.00283268115670899</v>
      </c>
      <c r="Q274" s="91" t="n">
        <v>0.00280842626199236</v>
      </c>
      <c r="R274" s="91" t="n">
        <v>0.00280267557300064</v>
      </c>
      <c r="S274" s="91" t="n">
        <v>0.000876547201667452</v>
      </c>
      <c r="T274" s="91" t="n">
        <v>0.00299119590228255</v>
      </c>
      <c r="U274" s="91" t="n">
        <v>0.0197732361514891</v>
      </c>
      <c r="V274" s="91" t="n">
        <v>0.000196956680775544</v>
      </c>
      <c r="W274" s="91" t="n">
        <v>0.00430920507715141</v>
      </c>
      <c r="X274" s="91" t="n">
        <v>0.0038434153006974</v>
      </c>
      <c r="Y274" s="91" t="n">
        <v>0.00281796751390226</v>
      </c>
      <c r="Z274" s="91" t="n">
        <v>0.00316910097129286</v>
      </c>
      <c r="AA274" s="91" t="n">
        <v>0.00330141168439388</v>
      </c>
      <c r="AB274" s="91" t="n">
        <v>0.00317704236246597</v>
      </c>
      <c r="AC274" s="91" t="n">
        <v>0.00317904084321491</v>
      </c>
      <c r="AD274" s="91" t="n">
        <v>0.00194530349012085</v>
      </c>
      <c r="AE274" s="91" t="n">
        <v>6.03409426797469E-005</v>
      </c>
      <c r="AF274" s="91" t="n">
        <v>0.00404988999669575</v>
      </c>
      <c r="AG274" s="91" t="n">
        <v>0.00414650181289618</v>
      </c>
      <c r="AH274" s="91" t="n">
        <v>0.000613398990813764</v>
      </c>
      <c r="AI274" s="91" t="n">
        <v>0.000965870035248783</v>
      </c>
      <c r="AJ274" s="91" t="n">
        <v>0.000598391729802598</v>
      </c>
      <c r="AK274" s="91" t="n">
        <v>0.00158164154904556</v>
      </c>
    </row>
    <row r="275" customFormat="false" ht="12.75" hidden="false" customHeight="false" outlineLevel="0" collapsed="false">
      <c r="B275" s="89" t="s">
        <v>131</v>
      </c>
      <c r="C275" s="89" t="s">
        <v>132</v>
      </c>
      <c r="D275" s="91" t="n">
        <v>0.00437085676494321</v>
      </c>
      <c r="E275" s="91" t="n">
        <v>0.00364763648021666</v>
      </c>
      <c r="F275" s="91" t="n">
        <v>0.0105978439140209</v>
      </c>
      <c r="G275" s="91" t="n">
        <v>0.00529128130146376</v>
      </c>
      <c r="H275" s="91" t="n">
        <v>0.00523792831958603</v>
      </c>
      <c r="I275" s="91" t="n">
        <v>0.00138674687609925</v>
      </c>
      <c r="J275" s="91" t="n">
        <v>0.00413074646187285</v>
      </c>
      <c r="K275" s="91" t="n">
        <v>0.0037718603542141</v>
      </c>
      <c r="L275" s="91" t="n">
        <v>0.00377018860861265</v>
      </c>
      <c r="M275" s="91" t="n">
        <v>0.10318390674835</v>
      </c>
      <c r="N275" s="91" t="n">
        <v>1.11193369895874</v>
      </c>
      <c r="O275" s="91" t="n">
        <v>0.00155605054223002</v>
      </c>
      <c r="P275" s="91" t="n">
        <v>0.0106265893547139</v>
      </c>
      <c r="Q275" s="91" t="n">
        <v>0.0105355989496043</v>
      </c>
      <c r="R275" s="91" t="n">
        <v>0.0105140256743075</v>
      </c>
      <c r="S275" s="91" t="n">
        <v>0.00327545918981316</v>
      </c>
      <c r="T275" s="91" t="n">
        <v>0.0112189987681857</v>
      </c>
      <c r="U275" s="91" t="n">
        <v>0.0678556517888504</v>
      </c>
      <c r="V275" s="91" t="n">
        <v>0.000733125684459803</v>
      </c>
      <c r="W275" s="91" t="n">
        <v>0.0160798187625299</v>
      </c>
      <c r="X275" s="91" t="n">
        <v>0.0143132158798035</v>
      </c>
      <c r="Y275" s="91" t="n">
        <v>0.0104976605596714</v>
      </c>
      <c r="Z275" s="91" t="n">
        <v>0.0118736651232484</v>
      </c>
      <c r="AA275" s="91" t="n">
        <v>0.0123687681498073</v>
      </c>
      <c r="AB275" s="91" t="n">
        <v>0.0119028173823988</v>
      </c>
      <c r="AC275" s="91" t="n">
        <v>0.011910285425288</v>
      </c>
      <c r="AD275" s="91" t="n">
        <v>0.00729560511314983</v>
      </c>
      <c r="AE275" s="91" t="n">
        <v>0.000220875962202899</v>
      </c>
      <c r="AF275" s="91" t="n">
        <v>0.0149678852338451</v>
      </c>
      <c r="AG275" s="91" t="n">
        <v>0.0153249503833433</v>
      </c>
      <c r="AH275" s="91" t="n">
        <v>0.00229079295264425</v>
      </c>
      <c r="AI275" s="91" t="n">
        <v>0.00344730709918014</v>
      </c>
      <c r="AJ275" s="91" t="n">
        <v>0.00221462707437425</v>
      </c>
      <c r="AK275" s="91" t="n">
        <v>0.00576921626865883</v>
      </c>
    </row>
    <row r="276" customFormat="false" ht="12.75" hidden="false" customHeight="false" outlineLevel="0" collapsed="false">
      <c r="B276" s="89" t="s">
        <v>133</v>
      </c>
      <c r="C276" s="89" t="s">
        <v>134</v>
      </c>
      <c r="D276" s="91" t="n">
        <v>0.00649081688618798</v>
      </c>
      <c r="E276" s="91" t="n">
        <v>0.0114684971522902</v>
      </c>
      <c r="F276" s="91" t="n">
        <v>0.00574519049223651</v>
      </c>
      <c r="G276" s="91" t="n">
        <v>0.0128320045768153</v>
      </c>
      <c r="H276" s="91" t="n">
        <v>0.0127967319198591</v>
      </c>
      <c r="I276" s="91" t="n">
        <v>0.00567587056903535</v>
      </c>
      <c r="J276" s="91" t="n">
        <v>0.011759835736698</v>
      </c>
      <c r="K276" s="91" t="n">
        <v>0.00872878660855297</v>
      </c>
      <c r="L276" s="91" t="n">
        <v>0.00872438456146226</v>
      </c>
      <c r="M276" s="91" t="n">
        <v>0.0304945610812374</v>
      </c>
      <c r="N276" s="91" t="n">
        <v>0.0304744172276041</v>
      </c>
      <c r="O276" s="91" t="n">
        <v>1.65044934755664</v>
      </c>
      <c r="P276" s="91" t="n">
        <v>0.0705364749669622</v>
      </c>
      <c r="Q276" s="91" t="n">
        <v>0.0699325048484215</v>
      </c>
      <c r="R276" s="91" t="n">
        <v>0.0697893071824408</v>
      </c>
      <c r="S276" s="91" t="n">
        <v>0.034126731114712</v>
      </c>
      <c r="T276" s="91" t="n">
        <v>0.018599450470311</v>
      </c>
      <c r="U276" s="91" t="n">
        <v>0.0426832370089111</v>
      </c>
      <c r="V276" s="91" t="n">
        <v>0.00307047933723345</v>
      </c>
      <c r="W276" s="91" t="n">
        <v>0.0039345085241507</v>
      </c>
      <c r="X276" s="91" t="n">
        <v>0.00296382735940545</v>
      </c>
      <c r="Y276" s="91" t="n">
        <v>0.00359735359282902</v>
      </c>
      <c r="Z276" s="91" t="n">
        <v>0.00243894705666182</v>
      </c>
      <c r="AA276" s="91" t="n">
        <v>0.00255267397641684</v>
      </c>
      <c r="AB276" s="91" t="n">
        <v>0.00245651077052201</v>
      </c>
      <c r="AC276" s="91" t="n">
        <v>0.00243691635144027</v>
      </c>
      <c r="AD276" s="91" t="n">
        <v>0.00355473576359706</v>
      </c>
      <c r="AE276" s="91" t="n">
        <v>0.000205446365271718</v>
      </c>
      <c r="AF276" s="91" t="n">
        <v>0.00406289423065341</v>
      </c>
      <c r="AG276" s="91" t="n">
        <v>0.00415981626828256</v>
      </c>
      <c r="AH276" s="91" t="n">
        <v>0.00124531615826569</v>
      </c>
      <c r="AI276" s="91" t="n">
        <v>0.00243055700763537</v>
      </c>
      <c r="AJ276" s="91" t="n">
        <v>0.00156309770843915</v>
      </c>
      <c r="AK276" s="91" t="n">
        <v>0.00696798623668245</v>
      </c>
    </row>
    <row r="277" customFormat="false" ht="12.75" hidden="false" customHeight="false" outlineLevel="0" collapsed="false">
      <c r="B277" s="89" t="s">
        <v>135</v>
      </c>
      <c r="C277" s="89" t="s">
        <v>136</v>
      </c>
      <c r="D277" s="91" t="n">
        <v>0.00213063788756813</v>
      </c>
      <c r="E277" s="91" t="n">
        <v>0.00129928293569342</v>
      </c>
      <c r="F277" s="91" t="n">
        <v>0.00115448427321942</v>
      </c>
      <c r="G277" s="91" t="n">
        <v>0.000956378196859281</v>
      </c>
      <c r="H277" s="91" t="n">
        <v>0.000932677121346364</v>
      </c>
      <c r="I277" s="91" t="n">
        <v>0.000586608721719425</v>
      </c>
      <c r="J277" s="91" t="n">
        <v>0.00126251196509882</v>
      </c>
      <c r="K277" s="91" t="n">
        <v>0.000989781237208054</v>
      </c>
      <c r="L277" s="91" t="n">
        <v>0.000989508816118389</v>
      </c>
      <c r="M277" s="91" t="n">
        <v>0.00176688650773441</v>
      </c>
      <c r="N277" s="91" t="n">
        <v>0.00172256112031438</v>
      </c>
      <c r="O277" s="91" t="n">
        <v>0.000786416694270818</v>
      </c>
      <c r="P277" s="91" t="n">
        <v>1.00552671022003</v>
      </c>
      <c r="Q277" s="91" t="n">
        <v>0.00547938764219394</v>
      </c>
      <c r="R277" s="91" t="n">
        <v>0.00546816774490778</v>
      </c>
      <c r="S277" s="91" t="n">
        <v>0.0010916635405244</v>
      </c>
      <c r="T277" s="91" t="n">
        <v>0.00357679488187011</v>
      </c>
      <c r="U277" s="91" t="n">
        <v>0.00261402241102316</v>
      </c>
      <c r="V277" s="91" t="n">
        <v>0.000448823396695164</v>
      </c>
      <c r="W277" s="91" t="n">
        <v>0.00117706969630694</v>
      </c>
      <c r="X277" s="91" t="n">
        <v>0.00115197652212145</v>
      </c>
      <c r="Y277" s="91" t="n">
        <v>0.00170801330959913</v>
      </c>
      <c r="Z277" s="91" t="n">
        <v>0.00277248544441371</v>
      </c>
      <c r="AA277" s="91" t="n">
        <v>0.00318153808161233</v>
      </c>
      <c r="AB277" s="91" t="n">
        <v>0.00306168458507073</v>
      </c>
      <c r="AC277" s="91" t="n">
        <v>0.00266568825894048</v>
      </c>
      <c r="AD277" s="91" t="n">
        <v>0.00470327655694161</v>
      </c>
      <c r="AE277" s="91" t="n">
        <v>0.000136029239701767</v>
      </c>
      <c r="AF277" s="91" t="n">
        <v>0.00122685967593161</v>
      </c>
      <c r="AG277" s="91" t="n">
        <v>0.00125612692556345</v>
      </c>
      <c r="AH277" s="91" t="n">
        <v>0.000975031515359025</v>
      </c>
      <c r="AI277" s="91" t="n">
        <v>0.000618123424529127</v>
      </c>
      <c r="AJ277" s="91" t="n">
        <v>0.000690537613414818</v>
      </c>
      <c r="AK277" s="91" t="n">
        <v>0.00238312474503538</v>
      </c>
    </row>
    <row r="278" customFormat="false" ht="12.75" hidden="false" customHeight="false" outlineLevel="0" collapsed="false">
      <c r="B278" s="89" t="s">
        <v>137</v>
      </c>
      <c r="C278" s="89" t="s">
        <v>138</v>
      </c>
      <c r="D278" s="91" t="n">
        <v>0.000484050393901308</v>
      </c>
      <c r="E278" s="91" t="n">
        <v>0.000298287903811121</v>
      </c>
      <c r="F278" s="91" t="n">
        <v>0.000265717463209193</v>
      </c>
      <c r="G278" s="91" t="n">
        <v>0.00022273093235276</v>
      </c>
      <c r="H278" s="91" t="n">
        <v>0.000217341011009221</v>
      </c>
      <c r="I278" s="91" t="n">
        <v>0.000136313298437662</v>
      </c>
      <c r="J278" s="91" t="n">
        <v>0.000292155666919267</v>
      </c>
      <c r="K278" s="91" t="n">
        <v>0.000229860968515492</v>
      </c>
      <c r="L278" s="91" t="n">
        <v>0.000229795890324937</v>
      </c>
      <c r="M278" s="91" t="n">
        <v>0.000407964897196562</v>
      </c>
      <c r="N278" s="91" t="n">
        <v>0.000397292286100907</v>
      </c>
      <c r="O278" s="91" t="n">
        <v>0.000180608069758707</v>
      </c>
      <c r="P278" s="91" t="n">
        <v>0.00125521289656634</v>
      </c>
      <c r="Q278" s="91" t="n">
        <v>1.00124446510853</v>
      </c>
      <c r="R278" s="91" t="n">
        <v>0.00124191687292086</v>
      </c>
      <c r="S278" s="91" t="n">
        <v>0.000250998959997239</v>
      </c>
      <c r="T278" s="91" t="n">
        <v>0.000880370024127088</v>
      </c>
      <c r="U278" s="91" t="n">
        <v>0.000595572862068684</v>
      </c>
      <c r="V278" s="91" t="n">
        <v>0.000102961259558155</v>
      </c>
      <c r="W278" s="91" t="n">
        <v>0.00026917783181257</v>
      </c>
      <c r="X278" s="91" t="n">
        <v>0.000262370790831563</v>
      </c>
      <c r="Y278" s="91" t="n">
        <v>0.000390268973784971</v>
      </c>
      <c r="Z278" s="91" t="n">
        <v>0.00069766808072669</v>
      </c>
      <c r="AA278" s="91" t="n">
        <v>0.000722610041147228</v>
      </c>
      <c r="AB278" s="91" t="n">
        <v>0.00069538819503194</v>
      </c>
      <c r="AC278" s="91" t="n">
        <v>0.0006955798795216</v>
      </c>
      <c r="AD278" s="91" t="n">
        <v>0.00113161539445102</v>
      </c>
      <c r="AE278" s="91" t="n">
        <v>3.1197434190461E-005</v>
      </c>
      <c r="AF278" s="91" t="n">
        <v>0.000281209080623123</v>
      </c>
      <c r="AG278" s="91" t="n">
        <v>0.000287917440611472</v>
      </c>
      <c r="AH278" s="91" t="n">
        <v>0.000224323498589732</v>
      </c>
      <c r="AI278" s="91" t="n">
        <v>0.000141665476950503</v>
      </c>
      <c r="AJ278" s="91" t="n">
        <v>0.000159342876849012</v>
      </c>
      <c r="AK278" s="91" t="n">
        <v>0.000543797265805212</v>
      </c>
    </row>
    <row r="279" customFormat="false" ht="12.75" hidden="false" customHeight="false" outlineLevel="0" collapsed="false">
      <c r="B279" s="89" t="s">
        <v>139</v>
      </c>
      <c r="C279" s="89" t="s">
        <v>140</v>
      </c>
      <c r="D279" s="91" t="n">
        <v>0.00123843808793892</v>
      </c>
      <c r="E279" s="91" t="n">
        <v>0.000759574925217142</v>
      </c>
      <c r="F279" s="91" t="n">
        <v>0.00067459962948066</v>
      </c>
      <c r="G279" s="91" t="n">
        <v>0.000561849852906285</v>
      </c>
      <c r="H279" s="91" t="n">
        <v>0.000548070995352002</v>
      </c>
      <c r="I279" s="91" t="n">
        <v>0.000347492467549855</v>
      </c>
      <c r="J279" s="91" t="n">
        <v>0.000744764390456296</v>
      </c>
      <c r="K279" s="91" t="n">
        <v>0.000581779674121786</v>
      </c>
      <c r="L279" s="91" t="n">
        <v>0.000581617208979541</v>
      </c>
      <c r="M279" s="91" t="n">
        <v>0.00102852750208005</v>
      </c>
      <c r="N279" s="91" t="n">
        <v>0.00100394883227665</v>
      </c>
      <c r="O279" s="91" t="n">
        <v>0.000460679959108555</v>
      </c>
      <c r="P279" s="91" t="n">
        <v>0.00321708722384414</v>
      </c>
      <c r="Q279" s="91" t="n">
        <v>0.00318954084372165</v>
      </c>
      <c r="R279" s="91" t="n">
        <v>1.00318300976343</v>
      </c>
      <c r="S279" s="91" t="n">
        <v>0.000639592392436653</v>
      </c>
      <c r="T279" s="91" t="n">
        <v>0.00225401435258318</v>
      </c>
      <c r="U279" s="91" t="n">
        <v>0.00151970048046045</v>
      </c>
      <c r="V279" s="91" t="n">
        <v>0.000262475998999159</v>
      </c>
      <c r="W279" s="91" t="n">
        <v>0.000685326523134185</v>
      </c>
      <c r="X279" s="91" t="n">
        <v>0.000669876027690436</v>
      </c>
      <c r="Y279" s="91" t="n">
        <v>0.000996169859918849</v>
      </c>
      <c r="Z279" s="91" t="n">
        <v>0.0017844722981452</v>
      </c>
      <c r="AA279" s="91" t="n">
        <v>0.00184826816901235</v>
      </c>
      <c r="AB279" s="91" t="n">
        <v>0.00177864102738455</v>
      </c>
      <c r="AC279" s="91" t="n">
        <v>0.00177912408359361</v>
      </c>
      <c r="AD279" s="91" t="n">
        <v>0.00261032103239447</v>
      </c>
      <c r="AE279" s="91" t="n">
        <v>7.94111327113075E-005</v>
      </c>
      <c r="AF279" s="91" t="n">
        <v>0.000710867182297619</v>
      </c>
      <c r="AG279" s="91" t="n">
        <v>0.000727825215630645</v>
      </c>
      <c r="AH279" s="91" t="n">
        <v>0.000566259191615076</v>
      </c>
      <c r="AI279" s="91" t="n">
        <v>0.000361696599566211</v>
      </c>
      <c r="AJ279" s="91" t="n">
        <v>0.00040586380147331</v>
      </c>
      <c r="AK279" s="91" t="n">
        <v>0.00138234094437573</v>
      </c>
    </row>
    <row r="280" customFormat="false" ht="12.75" hidden="false" customHeight="false" outlineLevel="0" collapsed="false">
      <c r="B280" s="89" t="s">
        <v>141</v>
      </c>
      <c r="C280" s="89" t="s">
        <v>142</v>
      </c>
      <c r="D280" s="91" t="n">
        <v>0.00018287016074952</v>
      </c>
      <c r="E280" s="91" t="n">
        <v>0.000265315303058381</v>
      </c>
      <c r="F280" s="91" t="n">
        <v>0.000804309801258399</v>
      </c>
      <c r="G280" s="91" t="n">
        <v>0.0252574421069692</v>
      </c>
      <c r="H280" s="91" t="n">
        <v>0.0270943327064184</v>
      </c>
      <c r="I280" s="91" t="n">
        <v>0.00018698256678071</v>
      </c>
      <c r="J280" s="91" t="n">
        <v>0.00133326810165533</v>
      </c>
      <c r="K280" s="91" t="n">
        <v>0.000473359580917591</v>
      </c>
      <c r="L280" s="91" t="n">
        <v>0.000473086768103945</v>
      </c>
      <c r="M280" s="91" t="n">
        <v>0.00112112051703795</v>
      </c>
      <c r="N280" s="91" t="n">
        <v>0.00111449519605243</v>
      </c>
      <c r="O280" s="91" t="n">
        <v>0.000173522557593716</v>
      </c>
      <c r="P280" s="91" t="n">
        <v>0.000843299919672759</v>
      </c>
      <c r="Q280" s="91" t="n">
        <v>0.000836079145559949</v>
      </c>
      <c r="R280" s="91" t="n">
        <v>0.000834367143644978</v>
      </c>
      <c r="S280" s="91" t="n">
        <v>1.0261426619093</v>
      </c>
      <c r="T280" s="91" t="n">
        <v>0.000229564438531809</v>
      </c>
      <c r="U280" s="91" t="n">
        <v>0.0019706322712421</v>
      </c>
      <c r="V280" s="91" t="n">
        <v>0.000453924343686761</v>
      </c>
      <c r="W280" s="91" t="n">
        <v>0.000880808918258249</v>
      </c>
      <c r="X280" s="91" t="n">
        <v>0.000421922607186668</v>
      </c>
      <c r="Y280" s="91" t="n">
        <v>0.00185340270720591</v>
      </c>
      <c r="Z280" s="91" t="n">
        <v>0.000791301314749202</v>
      </c>
      <c r="AA280" s="91" t="n">
        <v>0.000820094779050714</v>
      </c>
      <c r="AB280" s="91" t="n">
        <v>0.000789200530972146</v>
      </c>
      <c r="AC280" s="91" t="n">
        <v>0.000789808744370309</v>
      </c>
      <c r="AD280" s="91" t="n">
        <v>0.000743908890203025</v>
      </c>
      <c r="AE280" s="91" t="n">
        <v>6.69033337046847E-005</v>
      </c>
      <c r="AF280" s="91" t="n">
        <v>0.0007571762997916</v>
      </c>
      <c r="AG280" s="91" t="n">
        <v>0.000775239056450787</v>
      </c>
      <c r="AH280" s="91" t="n">
        <v>0.000268241502453564</v>
      </c>
      <c r="AI280" s="91" t="n">
        <v>0.000603578906774791</v>
      </c>
      <c r="AJ280" s="91" t="n">
        <v>0.000275192527140198</v>
      </c>
      <c r="AK280" s="91" t="n">
        <v>0.00732806296705207</v>
      </c>
    </row>
    <row r="281" customFormat="false" ht="12.75" hidden="false" customHeight="false" outlineLevel="0" collapsed="false">
      <c r="B281" s="89" t="s">
        <v>143</v>
      </c>
      <c r="C281" s="89" t="s">
        <v>144</v>
      </c>
      <c r="D281" s="91" t="n">
        <v>0.00280244912509115</v>
      </c>
      <c r="E281" s="91" t="n">
        <v>0.0153344160500553</v>
      </c>
      <c r="F281" s="91" t="n">
        <v>0.0164136850559836</v>
      </c>
      <c r="G281" s="91" t="n">
        <v>0.0162832834191843</v>
      </c>
      <c r="H281" s="91" t="n">
        <v>0.0162494713256919</v>
      </c>
      <c r="I281" s="91" t="n">
        <v>0.0304811215990544</v>
      </c>
      <c r="J281" s="91" t="n">
        <v>0.0598043379586508</v>
      </c>
      <c r="K281" s="91" t="n">
        <v>0.0327485021652615</v>
      </c>
      <c r="L281" s="91" t="n">
        <v>0.0327279708551676</v>
      </c>
      <c r="M281" s="91" t="n">
        <v>0.0256006641702901</v>
      </c>
      <c r="N281" s="91" t="n">
        <v>0.0255508572696543</v>
      </c>
      <c r="O281" s="91" t="n">
        <v>0.0101602456306031</v>
      </c>
      <c r="P281" s="91" t="n">
        <v>0.0753285175657693</v>
      </c>
      <c r="Q281" s="91" t="n">
        <v>0.0746835154770621</v>
      </c>
      <c r="R281" s="91" t="n">
        <v>0.0745305893788662</v>
      </c>
      <c r="S281" s="91" t="n">
        <v>0.0162771906203116</v>
      </c>
      <c r="T281" s="91" t="n">
        <v>1.0322446334269</v>
      </c>
      <c r="U281" s="91" t="n">
        <v>0.0131386728805703</v>
      </c>
      <c r="V281" s="91" t="n">
        <v>0.00503339136453348</v>
      </c>
      <c r="W281" s="91" t="n">
        <v>0.00940880044178126</v>
      </c>
      <c r="X281" s="91" t="n">
        <v>0.00563563307441164</v>
      </c>
      <c r="Y281" s="91" t="n">
        <v>0.0276946726177168</v>
      </c>
      <c r="Z281" s="91" t="n">
        <v>0.00535463311651496</v>
      </c>
      <c r="AA281" s="91" t="n">
        <v>0.00555737122951098</v>
      </c>
      <c r="AB281" s="91" t="n">
        <v>0.00534801639661236</v>
      </c>
      <c r="AC281" s="91" t="n">
        <v>0.00534675279174502</v>
      </c>
      <c r="AD281" s="91" t="n">
        <v>0.00641217145387315</v>
      </c>
      <c r="AE281" s="91" t="n">
        <v>0.0033276504388563</v>
      </c>
      <c r="AF281" s="91" t="n">
        <v>0.0115173016748078</v>
      </c>
      <c r="AG281" s="91" t="n">
        <v>0.0117920517133125</v>
      </c>
      <c r="AH281" s="91" t="n">
        <v>0.0144739040242733</v>
      </c>
      <c r="AI281" s="91" t="n">
        <v>0.015189179096523</v>
      </c>
      <c r="AJ281" s="91" t="n">
        <v>0.0233185771076103</v>
      </c>
      <c r="AK281" s="91" t="n">
        <v>0.0163784750367643</v>
      </c>
    </row>
    <row r="282" customFormat="false" ht="12.75" hidden="false" customHeight="false" outlineLevel="0" collapsed="false">
      <c r="B282" s="89" t="s">
        <v>145</v>
      </c>
      <c r="C282" s="89" t="s">
        <v>146</v>
      </c>
      <c r="D282" s="91" t="n">
        <v>0.00637526187481561</v>
      </c>
      <c r="E282" s="91" t="n">
        <v>0.00782069748385688</v>
      </c>
      <c r="F282" s="91" t="n">
        <v>0.0118840776299035</v>
      </c>
      <c r="G282" s="91" t="n">
        <v>0.012751410368271</v>
      </c>
      <c r="H282" s="91" t="n">
        <v>0.0126613034851454</v>
      </c>
      <c r="I282" s="91" t="n">
        <v>0.00233633277656904</v>
      </c>
      <c r="J282" s="91" t="n">
        <v>0.0203982941980591</v>
      </c>
      <c r="K282" s="91" t="n">
        <v>0.00564561390284406</v>
      </c>
      <c r="L282" s="91" t="n">
        <v>0.0056431281849573</v>
      </c>
      <c r="M282" s="91" t="n">
        <v>0.0176684431455291</v>
      </c>
      <c r="N282" s="91" t="n">
        <v>0.0176472128511926</v>
      </c>
      <c r="O282" s="91" t="n">
        <v>0.00485828636574039</v>
      </c>
      <c r="P282" s="91" t="n">
        <v>0.00390265205427997</v>
      </c>
      <c r="Q282" s="91" t="n">
        <v>0.00386923551021605</v>
      </c>
      <c r="R282" s="91" t="n">
        <v>0.00386131264951783</v>
      </c>
      <c r="S282" s="91" t="n">
        <v>0.00355595648756621</v>
      </c>
      <c r="T282" s="91" t="n">
        <v>0.00453189298837369</v>
      </c>
      <c r="U282" s="91" t="n">
        <v>1.18337701704774</v>
      </c>
      <c r="V282" s="91" t="n">
        <v>0.00132147202760937</v>
      </c>
      <c r="W282" s="91" t="n">
        <v>0.0216342327273381</v>
      </c>
      <c r="X282" s="91" t="n">
        <v>0.0245086877852418</v>
      </c>
      <c r="Y282" s="91" t="n">
        <v>0.0173657322136312</v>
      </c>
      <c r="Z282" s="91" t="n">
        <v>0.00710513485652476</v>
      </c>
      <c r="AA282" s="91" t="n">
        <v>0.00751612361542841</v>
      </c>
      <c r="AB282" s="91" t="n">
        <v>0.0072329795283108</v>
      </c>
      <c r="AC282" s="91" t="n">
        <v>0.00724105563304494</v>
      </c>
      <c r="AD282" s="91" t="n">
        <v>0.00305570054435255</v>
      </c>
      <c r="AE282" s="91" t="n">
        <v>0.00108682279958759</v>
      </c>
      <c r="AF282" s="91" t="n">
        <v>0.0467202212944543</v>
      </c>
      <c r="AG282" s="91" t="n">
        <v>0.0478347516733597</v>
      </c>
      <c r="AH282" s="91" t="n">
        <v>0.00273360210113438</v>
      </c>
      <c r="AI282" s="91" t="n">
        <v>0.0335307972991685</v>
      </c>
      <c r="AJ282" s="91" t="n">
        <v>0.00634606510807184</v>
      </c>
      <c r="AK282" s="91" t="n">
        <v>0.032205038775466</v>
      </c>
    </row>
    <row r="283" customFormat="false" ht="12.75" hidden="false" customHeight="false" outlineLevel="0" collapsed="false">
      <c r="B283" s="89" t="s">
        <v>147</v>
      </c>
      <c r="C283" s="89" t="s">
        <v>148</v>
      </c>
      <c r="D283" s="91" t="n">
        <v>0.00500371656936159</v>
      </c>
      <c r="E283" s="91" t="n">
        <v>0.00748970685850176</v>
      </c>
      <c r="F283" s="91" t="n">
        <v>0.00184534872400737</v>
      </c>
      <c r="G283" s="91" t="n">
        <v>0.00308174459236606</v>
      </c>
      <c r="H283" s="91" t="n">
        <v>0.00302242310664731</v>
      </c>
      <c r="I283" s="91" t="n">
        <v>0.00390184796981766</v>
      </c>
      <c r="J283" s="91" t="n">
        <v>0.00594418322282215</v>
      </c>
      <c r="K283" s="91" t="n">
        <v>0.00483806718878424</v>
      </c>
      <c r="L283" s="91" t="n">
        <v>0.00483587685326097</v>
      </c>
      <c r="M283" s="91" t="n">
        <v>0.00379205175868322</v>
      </c>
      <c r="N283" s="91" t="n">
        <v>0.00375787252706668</v>
      </c>
      <c r="O283" s="91" t="n">
        <v>0.000557709248989658</v>
      </c>
      <c r="P283" s="91" t="n">
        <v>0.00333959600395206</v>
      </c>
      <c r="Q283" s="91" t="n">
        <v>0.00331100063970499</v>
      </c>
      <c r="R283" s="91" t="n">
        <v>0.00330422085161226</v>
      </c>
      <c r="S283" s="91" t="n">
        <v>0.00148078423229415</v>
      </c>
      <c r="T283" s="91" t="n">
        <v>0.00291616168279879</v>
      </c>
      <c r="U283" s="91" t="n">
        <v>0.000812360203063798</v>
      </c>
      <c r="V283" s="91" t="n">
        <v>1.0032077711085</v>
      </c>
      <c r="W283" s="91" t="n">
        <v>0.00274728451427828</v>
      </c>
      <c r="X283" s="91" t="n">
        <v>0.000605274836809907</v>
      </c>
      <c r="Y283" s="91" t="n">
        <v>0.00150944887286957</v>
      </c>
      <c r="Z283" s="91" t="n">
        <v>0.00228992533667098</v>
      </c>
      <c r="AA283" s="91" t="n">
        <v>0.00236487238165722</v>
      </c>
      <c r="AB283" s="91" t="n">
        <v>0.00227578395444198</v>
      </c>
      <c r="AC283" s="91" t="n">
        <v>0.00227979164343591</v>
      </c>
      <c r="AD283" s="91" t="n">
        <v>0.00374266471714294</v>
      </c>
      <c r="AE283" s="91" t="n">
        <v>0.000275961792864537</v>
      </c>
      <c r="AF283" s="91" t="n">
        <v>0.00158424638488953</v>
      </c>
      <c r="AG283" s="91" t="n">
        <v>0.00162203924362842</v>
      </c>
      <c r="AH283" s="91" t="n">
        <v>0.0031065068499434</v>
      </c>
      <c r="AI283" s="91" t="n">
        <v>0.000689570237964672</v>
      </c>
      <c r="AJ283" s="91" t="n">
        <v>0.00184560821830233</v>
      </c>
      <c r="AK283" s="91" t="n">
        <v>0.00356396276949605</v>
      </c>
    </row>
    <row r="284" customFormat="false" ht="12.75" hidden="false" customHeight="false" outlineLevel="0" collapsed="false">
      <c r="B284" s="89" t="s">
        <v>149</v>
      </c>
      <c r="C284" s="89" t="s">
        <v>150</v>
      </c>
      <c r="D284" s="91" t="n">
        <v>0.0538625592937577</v>
      </c>
      <c r="E284" s="91" t="n">
        <v>0.00704722233987228</v>
      </c>
      <c r="F284" s="91" t="n">
        <v>0.0473247460461194</v>
      </c>
      <c r="G284" s="91" t="n">
        <v>0.025225710322151</v>
      </c>
      <c r="H284" s="91" t="n">
        <v>0.0245869666097759</v>
      </c>
      <c r="I284" s="91" t="n">
        <v>0.00380883285918607</v>
      </c>
      <c r="J284" s="91" t="n">
        <v>0.00694411180345984</v>
      </c>
      <c r="K284" s="91" t="n">
        <v>0.014816972816835</v>
      </c>
      <c r="L284" s="91" t="n">
        <v>0.0148162371710304</v>
      </c>
      <c r="M284" s="91" t="n">
        <v>0.00888237309207003</v>
      </c>
      <c r="N284" s="91" t="n">
        <v>0.00883850435483046</v>
      </c>
      <c r="O284" s="91" t="n">
        <v>0.0149842864950531</v>
      </c>
      <c r="P284" s="91" t="n">
        <v>0.0115967443531662</v>
      </c>
      <c r="Q284" s="91" t="n">
        <v>0.0114974469745411</v>
      </c>
      <c r="R284" s="91" t="n">
        <v>0.0114739041660138</v>
      </c>
      <c r="S284" s="91" t="n">
        <v>0.00723555553795461</v>
      </c>
      <c r="T284" s="91" t="n">
        <v>0.00664349806983338</v>
      </c>
      <c r="U284" s="91" t="n">
        <v>0.0106048463645185</v>
      </c>
      <c r="V284" s="91" t="n">
        <v>0.00178487318390932</v>
      </c>
      <c r="W284" s="91" t="n">
        <v>1.00548568959829</v>
      </c>
      <c r="X284" s="91" t="n">
        <v>0.0111763957864118</v>
      </c>
      <c r="Y284" s="91" t="n">
        <v>0.0283290923341566</v>
      </c>
      <c r="Z284" s="91" t="n">
        <v>0.00505871190725419</v>
      </c>
      <c r="AA284" s="91" t="n">
        <v>0.00529447617859346</v>
      </c>
      <c r="AB284" s="91" t="n">
        <v>0.00509502501186749</v>
      </c>
      <c r="AC284" s="91" t="n">
        <v>0.00510535798690586</v>
      </c>
      <c r="AD284" s="91" t="n">
        <v>0.00499534523887289</v>
      </c>
      <c r="AE284" s="91" t="n">
        <v>0.000642135662174611</v>
      </c>
      <c r="AF284" s="91" t="n">
        <v>0.00742967289356166</v>
      </c>
      <c r="AG284" s="91" t="n">
        <v>0.00760691084140906</v>
      </c>
      <c r="AH284" s="91" t="n">
        <v>0.0149823026197671</v>
      </c>
      <c r="AI284" s="91" t="n">
        <v>0.00836239422877398</v>
      </c>
      <c r="AJ284" s="91" t="n">
        <v>0.0111984643444192</v>
      </c>
      <c r="AK284" s="91" t="n">
        <v>0.00645782341974166</v>
      </c>
    </row>
    <row r="285" customFormat="false" ht="12.75" hidden="false" customHeight="false" outlineLevel="0" collapsed="false">
      <c r="B285" s="89" t="s">
        <v>151</v>
      </c>
      <c r="C285" s="89" t="s">
        <v>152</v>
      </c>
      <c r="D285" s="91" t="n">
        <v>0.210006240617897</v>
      </c>
      <c r="E285" s="91" t="n">
        <v>0.04638954127621</v>
      </c>
      <c r="F285" s="91" t="n">
        <v>0.190141412770856</v>
      </c>
      <c r="G285" s="91" t="n">
        <v>0.127257967029378</v>
      </c>
      <c r="H285" s="91" t="n">
        <v>0.1247324012674</v>
      </c>
      <c r="I285" s="91" t="n">
        <v>0.0280754464135825</v>
      </c>
      <c r="J285" s="91" t="n">
        <v>0.042888473668233</v>
      </c>
      <c r="K285" s="91" t="n">
        <v>0.084436657944559</v>
      </c>
      <c r="L285" s="91" t="n">
        <v>0.0844168192967042</v>
      </c>
      <c r="M285" s="91" t="n">
        <v>0.0460932284068553</v>
      </c>
      <c r="N285" s="91" t="n">
        <v>0.0457897029282739</v>
      </c>
      <c r="O285" s="91" t="n">
        <v>0.0327341654758948</v>
      </c>
      <c r="P285" s="91" t="n">
        <v>0.0466913863030488</v>
      </c>
      <c r="Q285" s="91" t="n">
        <v>0.0462915902807285</v>
      </c>
      <c r="R285" s="91" t="n">
        <v>0.0461968010593628</v>
      </c>
      <c r="S285" s="91" t="n">
        <v>0.040426589817939</v>
      </c>
      <c r="T285" s="91" t="n">
        <v>0.0394566171007032</v>
      </c>
      <c r="U285" s="91" t="n">
        <v>0.0646126907798756</v>
      </c>
      <c r="V285" s="91" t="n">
        <v>0.0229598029036864</v>
      </c>
      <c r="W285" s="91" t="n">
        <v>0.0337988474959823</v>
      </c>
      <c r="X285" s="91" t="n">
        <v>1.05717264235891</v>
      </c>
      <c r="Y285" s="91" t="n">
        <v>0.114106603166685</v>
      </c>
      <c r="Z285" s="91" t="n">
        <v>0.0486869371557358</v>
      </c>
      <c r="AA285" s="91" t="n">
        <v>0.0581170654785378</v>
      </c>
      <c r="AB285" s="91" t="n">
        <v>0.0559277050724509</v>
      </c>
      <c r="AC285" s="91" t="n">
        <v>0.0560142828332699</v>
      </c>
      <c r="AD285" s="91" t="n">
        <v>0.0338291643507291</v>
      </c>
      <c r="AE285" s="91" t="n">
        <v>0.00299692439670005</v>
      </c>
      <c r="AF285" s="91" t="n">
        <v>0.0376990259474222</v>
      </c>
      <c r="AG285" s="91" t="n">
        <v>0.0385983519460887</v>
      </c>
      <c r="AH285" s="91" t="n">
        <v>0.0642120787661079</v>
      </c>
      <c r="AI285" s="91" t="n">
        <v>0.0355651068482751</v>
      </c>
      <c r="AJ285" s="91" t="n">
        <v>0.0499912684540835</v>
      </c>
      <c r="AK285" s="91" t="n">
        <v>0.030740252012633</v>
      </c>
    </row>
    <row r="286" customFormat="false" ht="12.75" hidden="false" customHeight="false" outlineLevel="0" collapsed="false">
      <c r="B286" s="89" t="s">
        <v>153</v>
      </c>
      <c r="C286" s="89" t="s">
        <v>154</v>
      </c>
      <c r="D286" s="91" t="n">
        <v>0.0162638340344446</v>
      </c>
      <c r="E286" s="91" t="n">
        <v>0.00532077537523138</v>
      </c>
      <c r="F286" s="91" t="n">
        <v>0.0320073244459156</v>
      </c>
      <c r="G286" s="91" t="n">
        <v>0.010948241645613</v>
      </c>
      <c r="H286" s="91" t="n">
        <v>0.0107477623538544</v>
      </c>
      <c r="I286" s="91" t="n">
        <v>0.00132546316684914</v>
      </c>
      <c r="J286" s="91" t="n">
        <v>0.00460561198041665</v>
      </c>
      <c r="K286" s="91" t="n">
        <v>0.00829927814663017</v>
      </c>
      <c r="L286" s="91" t="n">
        <v>0.00829663048301142</v>
      </c>
      <c r="M286" s="91" t="n">
        <v>0.00549110864007503</v>
      </c>
      <c r="N286" s="91" t="n">
        <v>0.00545739845620564</v>
      </c>
      <c r="O286" s="91" t="n">
        <v>0.00120594226004259</v>
      </c>
      <c r="P286" s="91" t="n">
        <v>0.00146081728232454</v>
      </c>
      <c r="Q286" s="91" t="n">
        <v>0.00144830900221009</v>
      </c>
      <c r="R286" s="91" t="n">
        <v>0.0014453433645687</v>
      </c>
      <c r="S286" s="91" t="n">
        <v>0.00165958256551539</v>
      </c>
      <c r="T286" s="91" t="n">
        <v>0.00263124890456283</v>
      </c>
      <c r="U286" s="91" t="n">
        <v>0.00685455695785553</v>
      </c>
      <c r="V286" s="91" t="n">
        <v>0.0024645407823425</v>
      </c>
      <c r="W286" s="91" t="n">
        <v>0.00471460898774158</v>
      </c>
      <c r="X286" s="91" t="n">
        <v>0.011032011110426</v>
      </c>
      <c r="Y286" s="91" t="n">
        <v>1.02763125081889</v>
      </c>
      <c r="Z286" s="91" t="n">
        <v>0.00288938189462912</v>
      </c>
      <c r="AA286" s="91" t="n">
        <v>0.00305745748162395</v>
      </c>
      <c r="AB286" s="91" t="n">
        <v>0.00294227829460815</v>
      </c>
      <c r="AC286" s="91" t="n">
        <v>0.0029501312861775</v>
      </c>
      <c r="AD286" s="91" t="n">
        <v>0.0037748910940868</v>
      </c>
      <c r="AE286" s="91" t="n">
        <v>0.00371617233883657</v>
      </c>
      <c r="AF286" s="91" t="n">
        <v>0.00746593666196039</v>
      </c>
      <c r="AG286" s="91" t="n">
        <v>0.00764403969713858</v>
      </c>
      <c r="AH286" s="91" t="n">
        <v>0.0175075324010732</v>
      </c>
      <c r="AI286" s="91" t="n">
        <v>0.00707178599331017</v>
      </c>
      <c r="AJ286" s="91" t="n">
        <v>0.00937721509766215</v>
      </c>
      <c r="AK286" s="91" t="n">
        <v>0.00621569534800567</v>
      </c>
    </row>
    <row r="287" customFormat="false" ht="12.75" hidden="false" customHeight="false" outlineLevel="0" collapsed="false">
      <c r="B287" s="89" t="s">
        <v>155</v>
      </c>
      <c r="C287" s="89" t="s">
        <v>156</v>
      </c>
      <c r="D287" s="91" t="n">
        <v>0.0177206894431195</v>
      </c>
      <c r="E287" s="91" t="n">
        <v>0.0252373511902776</v>
      </c>
      <c r="F287" s="91" t="n">
        <v>0.0225511459099228</v>
      </c>
      <c r="G287" s="91" t="n">
        <v>0.0353683599066846</v>
      </c>
      <c r="H287" s="91" t="n">
        <v>0.035143701191427</v>
      </c>
      <c r="I287" s="91" t="n">
        <v>0.0129260930544997</v>
      </c>
      <c r="J287" s="91" t="n">
        <v>0.0190781149572504</v>
      </c>
      <c r="K287" s="91" t="n">
        <v>0.0233528947992987</v>
      </c>
      <c r="L287" s="91" t="n">
        <v>0.0233410747167924</v>
      </c>
      <c r="M287" s="91" t="n">
        <v>0.0303298649838765</v>
      </c>
      <c r="N287" s="91" t="n">
        <v>0.0302235644728329</v>
      </c>
      <c r="O287" s="91" t="n">
        <v>0.0171817305963983</v>
      </c>
      <c r="P287" s="91" t="n">
        <v>0.00782203439129639</v>
      </c>
      <c r="Q287" s="91" t="n">
        <v>0.00775505804975455</v>
      </c>
      <c r="R287" s="91" t="n">
        <v>0.0077391783638392</v>
      </c>
      <c r="S287" s="91" t="n">
        <v>0.023816607324949</v>
      </c>
      <c r="T287" s="91" t="n">
        <v>0.0229820812033545</v>
      </c>
      <c r="U287" s="91" t="n">
        <v>0.0230253579829059</v>
      </c>
      <c r="V287" s="91" t="n">
        <v>0.00877789372497393</v>
      </c>
      <c r="W287" s="91" t="n">
        <v>0.0139861871472293</v>
      </c>
      <c r="X287" s="91" t="n">
        <v>0.010231494497875</v>
      </c>
      <c r="Y287" s="91" t="n">
        <v>0.0141389858620039</v>
      </c>
      <c r="Z287" s="91" t="n">
        <v>1.02152725258484</v>
      </c>
      <c r="AA287" s="91" t="n">
        <v>0.02228435048172</v>
      </c>
      <c r="AB287" s="91" t="n">
        <v>0.0214448642788582</v>
      </c>
      <c r="AC287" s="91" t="n">
        <v>0.0214752762351573</v>
      </c>
      <c r="AD287" s="91" t="n">
        <v>0.0125248444393845</v>
      </c>
      <c r="AE287" s="91" t="n">
        <v>0.00101720199768146</v>
      </c>
      <c r="AF287" s="91" t="n">
        <v>0.00853316562412549</v>
      </c>
      <c r="AG287" s="91" t="n">
        <v>0.00873672785163254</v>
      </c>
      <c r="AH287" s="91" t="n">
        <v>0.00980582098287431</v>
      </c>
      <c r="AI287" s="91" t="n">
        <v>0.00620661517195902</v>
      </c>
      <c r="AJ287" s="91" t="n">
        <v>0.0114779211204765</v>
      </c>
      <c r="AK287" s="91" t="n">
        <v>0.0139191992173262</v>
      </c>
    </row>
    <row r="288" customFormat="false" ht="12.75" hidden="false" customHeight="false" outlineLevel="0" collapsed="false">
      <c r="B288" s="89" t="s">
        <v>157</v>
      </c>
      <c r="C288" s="89" t="s">
        <v>158</v>
      </c>
      <c r="D288" s="91" t="n">
        <v>0.000155205580602179</v>
      </c>
      <c r="E288" s="91" t="n">
        <v>0.000219565043551369</v>
      </c>
      <c r="F288" s="91" t="n">
        <v>0.00019706360730333</v>
      </c>
      <c r="G288" s="91" t="n">
        <v>0.000308029805966062</v>
      </c>
      <c r="H288" s="91" t="n">
        <v>0.000306063080152653</v>
      </c>
      <c r="I288" s="91" t="n">
        <v>0.000112461275624158</v>
      </c>
      <c r="J288" s="91" t="n">
        <v>0.000166013894230905</v>
      </c>
      <c r="K288" s="91" t="n">
        <v>0.000203345892787297</v>
      </c>
      <c r="L288" s="91" t="n">
        <v>0.00020324311232884</v>
      </c>
      <c r="M288" s="91" t="n">
        <v>0.00026387867732622</v>
      </c>
      <c r="N288" s="91" t="n">
        <v>0.000262953562197595</v>
      </c>
      <c r="O288" s="91" t="n">
        <v>0.000149696765509639</v>
      </c>
      <c r="P288" s="91" t="n">
        <v>6.82509909729748E-005</v>
      </c>
      <c r="Q288" s="91" t="n">
        <v>6.76665903614076E-005</v>
      </c>
      <c r="R288" s="91" t="n">
        <v>6.75280325072936E-005</v>
      </c>
      <c r="S288" s="91" t="n">
        <v>0.000207216952712334</v>
      </c>
      <c r="T288" s="91" t="n">
        <v>0.000199948971913394</v>
      </c>
      <c r="U288" s="91" t="n">
        <v>0.00020040908639371</v>
      </c>
      <c r="V288" s="91" t="n">
        <v>7.6353601571214E-005</v>
      </c>
      <c r="W288" s="91" t="n">
        <v>0.000142883440004261</v>
      </c>
      <c r="X288" s="91" t="n">
        <v>8.91901599844647E-005</v>
      </c>
      <c r="Y288" s="91" t="n">
        <v>0.00012352537385836</v>
      </c>
      <c r="Z288" s="91" t="n">
        <v>0.000187267007963191</v>
      </c>
      <c r="AA288" s="91" t="n">
        <v>1.00019385427789</v>
      </c>
      <c r="AB288" s="91" t="n">
        <v>0.000186551485203705</v>
      </c>
      <c r="AC288" s="91" t="n">
        <v>0.00018681610829988</v>
      </c>
      <c r="AD288" s="91" t="n">
        <v>0.000108997901846593</v>
      </c>
      <c r="AE288" s="91" t="n">
        <v>8.85724183265958E-006</v>
      </c>
      <c r="AF288" s="91" t="n">
        <v>7.43454139758204E-005</v>
      </c>
      <c r="AG288" s="91" t="n">
        <v>7.61189548562485E-005</v>
      </c>
      <c r="AH288" s="91" t="n">
        <v>8.55698867477928E-005</v>
      </c>
      <c r="AI288" s="91" t="n">
        <v>5.41379161151188E-005</v>
      </c>
      <c r="AJ288" s="91" t="n">
        <v>0.000100027174906288</v>
      </c>
      <c r="AK288" s="91" t="n">
        <v>0.000121151511389861</v>
      </c>
    </row>
    <row r="289" customFormat="false" ht="12.75" hidden="false" customHeight="false" outlineLevel="0" collapsed="false">
      <c r="B289" s="89" t="s">
        <v>159</v>
      </c>
      <c r="C289" s="89" t="s">
        <v>160</v>
      </c>
      <c r="D289" s="91" t="n">
        <v>0.000924352809599286</v>
      </c>
      <c r="E289" s="91" t="n">
        <v>0.00130765636202677</v>
      </c>
      <c r="F289" s="91" t="n">
        <v>0.00117364529273921</v>
      </c>
      <c r="G289" s="91" t="n">
        <v>0.00183452305954685</v>
      </c>
      <c r="H289" s="91" t="n">
        <v>0.00182280989482504</v>
      </c>
      <c r="I289" s="91" t="n">
        <v>0.000669781947858978</v>
      </c>
      <c r="J289" s="91" t="n">
        <v>0.000988723530233051</v>
      </c>
      <c r="K289" s="91" t="n">
        <v>0.00121106049530655</v>
      </c>
      <c r="L289" s="91" t="n">
        <v>0.00121044836908544</v>
      </c>
      <c r="M289" s="91" t="n">
        <v>0.00157157362405054</v>
      </c>
      <c r="N289" s="91" t="n">
        <v>0.00156606394608002</v>
      </c>
      <c r="O289" s="91" t="n">
        <v>0.000891544139391716</v>
      </c>
      <c r="P289" s="91" t="n">
        <v>0.000406480198837123</v>
      </c>
      <c r="Q289" s="91" t="n">
        <v>0.000402999703192975</v>
      </c>
      <c r="R289" s="91" t="n">
        <v>0.000402174498704544</v>
      </c>
      <c r="S289" s="91" t="n">
        <v>0.00123411524052867</v>
      </c>
      <c r="T289" s="91" t="n">
        <v>0.00119082956455265</v>
      </c>
      <c r="U289" s="91" t="n">
        <v>0.00119356985334232</v>
      </c>
      <c r="V289" s="91" t="n">
        <v>0.000454736652261752</v>
      </c>
      <c r="W289" s="91" t="n">
        <v>0.000850966239105045</v>
      </c>
      <c r="X289" s="91" t="n">
        <v>0.000531186924145255</v>
      </c>
      <c r="Y289" s="91" t="n">
        <v>0.000735676036517299</v>
      </c>
      <c r="Z289" s="91" t="n">
        <v>0.00111530000586589</v>
      </c>
      <c r="AA289" s="91" t="n">
        <v>0.00115453159430569</v>
      </c>
      <c r="AB289" s="91" t="n">
        <v>1.00111103859033</v>
      </c>
      <c r="AC289" s="91" t="n">
        <v>0.00111261459746104</v>
      </c>
      <c r="AD289" s="91" t="n">
        <v>0.000649155245716156</v>
      </c>
      <c r="AE289" s="91" t="n">
        <v>5.27507860320088E-005</v>
      </c>
      <c r="AF289" s="91" t="n">
        <v>0.000442776554958533</v>
      </c>
      <c r="AG289" s="91" t="n">
        <v>0.000453339174481635</v>
      </c>
      <c r="AH289" s="91" t="n">
        <v>0.000509625781015926</v>
      </c>
      <c r="AI289" s="91" t="n">
        <v>0.000322427419637244</v>
      </c>
      <c r="AJ289" s="91" t="n">
        <v>0.000595728580133345</v>
      </c>
      <c r="AK289" s="91" t="n">
        <v>0.000721538101310038</v>
      </c>
    </row>
    <row r="290" customFormat="false" ht="12.75" hidden="false" customHeight="false" outlineLevel="0" collapsed="false">
      <c r="B290" s="89" t="s">
        <v>161</v>
      </c>
      <c r="C290" s="89" t="s">
        <v>162</v>
      </c>
      <c r="D290" s="91" t="n">
        <v>0.00543429398243027</v>
      </c>
      <c r="E290" s="91" t="n">
        <v>0.00768774544248887</v>
      </c>
      <c r="F290" s="91" t="n">
        <v>0.00689989091351948</v>
      </c>
      <c r="G290" s="91" t="n">
        <v>0.010785208331272</v>
      </c>
      <c r="H290" s="91" t="n">
        <v>0.0107163463340975</v>
      </c>
      <c r="I290" s="91" t="n">
        <v>0.00393766532755854</v>
      </c>
      <c r="J290" s="91" t="n">
        <v>0.00581273110746739</v>
      </c>
      <c r="K290" s="91" t="n">
        <v>0.00711985585336879</v>
      </c>
      <c r="L290" s="91" t="n">
        <v>0.00711625714754422</v>
      </c>
      <c r="M290" s="91" t="n">
        <v>0.0092393218254254</v>
      </c>
      <c r="N290" s="91" t="n">
        <v>0.00920693028668669</v>
      </c>
      <c r="O290" s="91" t="n">
        <v>0.00524141096500549</v>
      </c>
      <c r="P290" s="91" t="n">
        <v>0.00238970756141826</v>
      </c>
      <c r="Q290" s="91" t="n">
        <v>0.00236924563785568</v>
      </c>
      <c r="R290" s="91" t="n">
        <v>0.00236439423940784</v>
      </c>
      <c r="S290" s="91" t="n">
        <v>0.00725539529450634</v>
      </c>
      <c r="T290" s="91" t="n">
        <v>0.00700091769024198</v>
      </c>
      <c r="U290" s="91" t="n">
        <v>0.00701702791863656</v>
      </c>
      <c r="V290" s="91" t="n">
        <v>0.00267340849436892</v>
      </c>
      <c r="W290" s="91" t="n">
        <v>0.00500285244378119</v>
      </c>
      <c r="X290" s="91" t="n">
        <v>0.00312286161241783</v>
      </c>
      <c r="Y290" s="91" t="n">
        <v>0.00432505837245977</v>
      </c>
      <c r="Z290" s="91" t="n">
        <v>0.00655687746879769</v>
      </c>
      <c r="AA290" s="91" t="n">
        <v>0.0067875209879882</v>
      </c>
      <c r="AB290" s="91" t="n">
        <v>0.00653182449704835</v>
      </c>
      <c r="AC290" s="91" t="n">
        <v>1.0065410898836</v>
      </c>
      <c r="AD290" s="91" t="n">
        <v>0.00381640041423968</v>
      </c>
      <c r="AE290" s="91" t="n">
        <v>0.00031012323014032</v>
      </c>
      <c r="AF290" s="91" t="n">
        <v>0.00260309477418633</v>
      </c>
      <c r="AG290" s="91" t="n">
        <v>0.00266519268649534</v>
      </c>
      <c r="AH290" s="91" t="n">
        <v>0.00299610309646457</v>
      </c>
      <c r="AI290" s="91" t="n">
        <v>0.00189555910698726</v>
      </c>
      <c r="AJ290" s="91" t="n">
        <v>0.003502303670807</v>
      </c>
      <c r="AK290" s="91" t="n">
        <v>0.00424194108713003</v>
      </c>
    </row>
    <row r="291" customFormat="false" ht="12.75" hidden="false" customHeight="false" outlineLevel="0" collapsed="false">
      <c r="B291" s="89" t="s">
        <v>163</v>
      </c>
      <c r="C291" s="89" t="s">
        <v>164</v>
      </c>
      <c r="D291" s="91" t="n">
        <v>0.0108698602912225</v>
      </c>
      <c r="E291" s="91" t="n">
        <v>0.0195031360699897</v>
      </c>
      <c r="F291" s="91" t="n">
        <v>0.0246333034091866</v>
      </c>
      <c r="G291" s="91" t="n">
        <v>0.0335403780974851</v>
      </c>
      <c r="H291" s="91" t="n">
        <v>0.0333794044957612</v>
      </c>
      <c r="I291" s="91" t="n">
        <v>0.00756643593612693</v>
      </c>
      <c r="J291" s="91" t="n">
        <v>0.0162326557077399</v>
      </c>
      <c r="K291" s="91" t="n">
        <v>0.0276836749485711</v>
      </c>
      <c r="L291" s="91" t="n">
        <v>0.027667822073923</v>
      </c>
      <c r="M291" s="91" t="n">
        <v>0.0635170747658622</v>
      </c>
      <c r="N291" s="91" t="n">
        <v>0.0535550073642401</v>
      </c>
      <c r="O291" s="91" t="n">
        <v>0.0090610835185537</v>
      </c>
      <c r="P291" s="91" t="n">
        <v>0.00808850101119557</v>
      </c>
      <c r="Q291" s="91" t="n">
        <v>0.00801924304335923</v>
      </c>
      <c r="R291" s="91" t="n">
        <v>0.00800282239763477</v>
      </c>
      <c r="S291" s="91" t="n">
        <v>0.0148555817822003</v>
      </c>
      <c r="T291" s="91" t="n">
        <v>0.0140780903516066</v>
      </c>
      <c r="U291" s="91" t="n">
        <v>0.027872533204371</v>
      </c>
      <c r="V291" s="91" t="n">
        <v>0.00569664966539353</v>
      </c>
      <c r="W291" s="91" t="n">
        <v>0.0180315111271591</v>
      </c>
      <c r="X291" s="91" t="n">
        <v>0.0108723200831857</v>
      </c>
      <c r="Y291" s="91" t="n">
        <v>0.0170684749467143</v>
      </c>
      <c r="Z291" s="91" t="n">
        <v>0.0174654793221412</v>
      </c>
      <c r="AA291" s="91" t="n">
        <v>0.0180893400182726</v>
      </c>
      <c r="AB291" s="91" t="n">
        <v>0.0174078863956206</v>
      </c>
      <c r="AC291" s="91" t="n">
        <v>0.0174384537384229</v>
      </c>
      <c r="AD291" s="91" t="n">
        <v>1.04113102283908</v>
      </c>
      <c r="AE291" s="91" t="n">
        <v>0.00215224906817468</v>
      </c>
      <c r="AF291" s="91" t="n">
        <v>0.036987025738724</v>
      </c>
      <c r="AG291" s="91" t="n">
        <v>0.0378693666752398</v>
      </c>
      <c r="AH291" s="91" t="n">
        <v>0.0323826355349095</v>
      </c>
      <c r="AI291" s="91" t="n">
        <v>0.00586614903354734</v>
      </c>
      <c r="AJ291" s="91" t="n">
        <v>0.0100430153897045</v>
      </c>
      <c r="AK291" s="91" t="n">
        <v>0.0441510493109156</v>
      </c>
    </row>
    <row r="292" customFormat="false" ht="12.75" hidden="false" customHeight="false" outlineLevel="0" collapsed="false">
      <c r="B292" s="89" t="s">
        <v>165</v>
      </c>
      <c r="C292" s="89" t="s">
        <v>166</v>
      </c>
      <c r="D292" s="91" t="n">
        <v>0.014478995622967</v>
      </c>
      <c r="E292" s="91" t="n">
        <v>0.0331817283786074</v>
      </c>
      <c r="F292" s="91" t="n">
        <v>0.128578089454097</v>
      </c>
      <c r="G292" s="91" t="n">
        <v>0.0269086599279363</v>
      </c>
      <c r="H292" s="91" t="n">
        <v>0.0268145886716765</v>
      </c>
      <c r="I292" s="91" t="n">
        <v>0.0234446904574316</v>
      </c>
      <c r="J292" s="91" t="n">
        <v>0.0858780696184577</v>
      </c>
      <c r="K292" s="91" t="n">
        <v>0.0368643056399445</v>
      </c>
      <c r="L292" s="91" t="n">
        <v>0.0368433295449149</v>
      </c>
      <c r="M292" s="91" t="n">
        <v>0.0391989694437447</v>
      </c>
      <c r="N292" s="91" t="n">
        <v>0.0385233217125879</v>
      </c>
      <c r="O292" s="91" t="n">
        <v>0.00715303220958989</v>
      </c>
      <c r="P292" s="91" t="n">
        <v>0.0441494069626393</v>
      </c>
      <c r="Q292" s="91" t="n">
        <v>0.0437713766943388</v>
      </c>
      <c r="R292" s="91" t="n">
        <v>0.0436817480017448</v>
      </c>
      <c r="S292" s="91" t="n">
        <v>0.06590977398447</v>
      </c>
      <c r="T292" s="91" t="n">
        <v>0.0617936165921481</v>
      </c>
      <c r="U292" s="91" t="n">
        <v>0.0150963080266938</v>
      </c>
      <c r="V292" s="91" t="n">
        <v>0.0869861251311175</v>
      </c>
      <c r="W292" s="91" t="n">
        <v>0.070485778906333</v>
      </c>
      <c r="X292" s="91" t="n">
        <v>0.0246509700539492</v>
      </c>
      <c r="Y292" s="91" t="n">
        <v>0.11212799982251</v>
      </c>
      <c r="Z292" s="91" t="n">
        <v>0.103432662895003</v>
      </c>
      <c r="AA292" s="91" t="n">
        <v>0.106976589628397</v>
      </c>
      <c r="AB292" s="91" t="n">
        <v>0.102946614821822</v>
      </c>
      <c r="AC292" s="91" t="n">
        <v>0.103033353516305</v>
      </c>
      <c r="AD292" s="91" t="n">
        <v>0.0722771384179331</v>
      </c>
      <c r="AE292" s="91" t="n">
        <v>5.57059698578511</v>
      </c>
      <c r="AF292" s="91" t="n">
        <v>0.0719730449335674</v>
      </c>
      <c r="AG292" s="91" t="n">
        <v>0.0736899919603213</v>
      </c>
      <c r="AH292" s="91" t="n">
        <v>0.0492650983810427</v>
      </c>
      <c r="AI292" s="91" t="n">
        <v>0.0368275368217154</v>
      </c>
      <c r="AJ292" s="91" t="n">
        <v>0.0119037304207442</v>
      </c>
      <c r="AK292" s="91" t="n">
        <v>0.194933142417984</v>
      </c>
    </row>
    <row r="293" customFormat="false" ht="12.75" hidden="false" customHeight="false" outlineLevel="0" collapsed="false">
      <c r="B293" s="89" t="s">
        <v>167</v>
      </c>
      <c r="C293" s="89" t="s">
        <v>168</v>
      </c>
      <c r="D293" s="91" t="n">
        <v>0.00441716146581283</v>
      </c>
      <c r="E293" s="91" t="n">
        <v>0.0759310408504285</v>
      </c>
      <c r="F293" s="91" t="n">
        <v>0.0174627360361886</v>
      </c>
      <c r="G293" s="91" t="n">
        <v>0.0244359122701364</v>
      </c>
      <c r="H293" s="91" t="n">
        <v>0.0243594788639552</v>
      </c>
      <c r="I293" s="91" t="n">
        <v>0.0071858293855633</v>
      </c>
      <c r="J293" s="91" t="n">
        <v>0.0537768666558885</v>
      </c>
      <c r="K293" s="91" t="n">
        <v>0.0183374821882183</v>
      </c>
      <c r="L293" s="91" t="n">
        <v>0.0183276936225512</v>
      </c>
      <c r="M293" s="91" t="n">
        <v>0.0352775826434677</v>
      </c>
      <c r="N293" s="91" t="n">
        <v>0.035188701759251</v>
      </c>
      <c r="O293" s="91" t="n">
        <v>0.00549495551406038</v>
      </c>
      <c r="P293" s="91" t="n">
        <v>0.011365881871834</v>
      </c>
      <c r="Q293" s="91" t="n">
        <v>0.0112685612582839</v>
      </c>
      <c r="R293" s="91" t="n">
        <v>0.0112454871288123</v>
      </c>
      <c r="S293" s="91" t="n">
        <v>0.0117563050021853</v>
      </c>
      <c r="T293" s="91" t="n">
        <v>0.00885150036161218</v>
      </c>
      <c r="U293" s="91" t="n">
        <v>0.0090058850806391</v>
      </c>
      <c r="V293" s="91" t="n">
        <v>0.00465648659701424</v>
      </c>
      <c r="W293" s="91" t="n">
        <v>0.0204831987203537</v>
      </c>
      <c r="X293" s="91" t="n">
        <v>0.00814369039312747</v>
      </c>
      <c r="Y293" s="91" t="n">
        <v>0.0293948766091876</v>
      </c>
      <c r="Z293" s="91" t="n">
        <v>0.0238913721787788</v>
      </c>
      <c r="AA293" s="91" t="n">
        <v>0.0247172249708665</v>
      </c>
      <c r="AB293" s="91" t="n">
        <v>0.0237860885954494</v>
      </c>
      <c r="AC293" s="91" t="n">
        <v>0.0238130592812222</v>
      </c>
      <c r="AD293" s="91" t="n">
        <v>0.0109458057090264</v>
      </c>
      <c r="AE293" s="91" t="n">
        <v>0.000282886682112539</v>
      </c>
      <c r="AF293" s="91" t="n">
        <v>1.03775143278512</v>
      </c>
      <c r="AG293" s="91" t="n">
        <v>0.0386520089707774</v>
      </c>
      <c r="AH293" s="91" t="n">
        <v>0.00395180677682112</v>
      </c>
      <c r="AI293" s="91" t="n">
        <v>0.0102842864615077</v>
      </c>
      <c r="AJ293" s="91" t="n">
        <v>0.0200952797727577</v>
      </c>
      <c r="AK293" s="91" t="n">
        <v>0.0406308711834809</v>
      </c>
    </row>
    <row r="294" customFormat="false" ht="12.75" hidden="false" customHeight="false" outlineLevel="0" collapsed="false">
      <c r="B294" s="89" t="s">
        <v>169</v>
      </c>
      <c r="C294" s="89" t="s">
        <v>170</v>
      </c>
      <c r="D294" s="91" t="n">
        <v>0.00335097553313902</v>
      </c>
      <c r="E294" s="91" t="n">
        <v>0.0632059065028016</v>
      </c>
      <c r="F294" s="91" t="n">
        <v>0.0132618776296664</v>
      </c>
      <c r="G294" s="91" t="n">
        <v>0.0185318363285657</v>
      </c>
      <c r="H294" s="91" t="n">
        <v>0.0184742230105018</v>
      </c>
      <c r="I294" s="91" t="n">
        <v>0.00545994691042389</v>
      </c>
      <c r="J294" s="91" t="n">
        <v>0.0407486994510347</v>
      </c>
      <c r="K294" s="91" t="n">
        <v>0.0144697252008508</v>
      </c>
      <c r="L294" s="91" t="n">
        <v>0.0144620401967696</v>
      </c>
      <c r="M294" s="91" t="n">
        <v>0.0268842350270886</v>
      </c>
      <c r="N294" s="91" t="n">
        <v>0.0268168664985805</v>
      </c>
      <c r="O294" s="91" t="n">
        <v>0.00424290686021883</v>
      </c>
      <c r="P294" s="91" t="n">
        <v>0.0088081411742525</v>
      </c>
      <c r="Q294" s="91" t="n">
        <v>0.00873272127168962</v>
      </c>
      <c r="R294" s="91" t="n">
        <v>0.00871483966847128</v>
      </c>
      <c r="S294" s="91" t="n">
        <v>0.00911381014844619</v>
      </c>
      <c r="T294" s="91" t="n">
        <v>0.00707501080387712</v>
      </c>
      <c r="U294" s="91" t="n">
        <v>0.0068928604602792</v>
      </c>
      <c r="V294" s="91" t="n">
        <v>0.00358152277886513</v>
      </c>
      <c r="W294" s="91" t="n">
        <v>0.0155213328461447</v>
      </c>
      <c r="X294" s="91" t="n">
        <v>0.0061788217343269</v>
      </c>
      <c r="Y294" s="91" t="n">
        <v>0.0222766040194961</v>
      </c>
      <c r="Z294" s="91" t="n">
        <v>0.0181117802387954</v>
      </c>
      <c r="AA294" s="91" t="n">
        <v>0.0187372854998872</v>
      </c>
      <c r="AB294" s="91" t="n">
        <v>0.018031422761409</v>
      </c>
      <c r="AC294" s="91" t="n">
        <v>0.0180522201771579</v>
      </c>
      <c r="AD294" s="91" t="n">
        <v>0.00830345469913853</v>
      </c>
      <c r="AE294" s="91" t="n">
        <v>0.000215829104003598</v>
      </c>
      <c r="AF294" s="91" t="n">
        <v>0.0321860615262043</v>
      </c>
      <c r="AG294" s="91" t="n">
        <v>1.03295387345762</v>
      </c>
      <c r="AH294" s="91" t="n">
        <v>0.00301763355314449</v>
      </c>
      <c r="AI294" s="91" t="n">
        <v>0.00785182115916525</v>
      </c>
      <c r="AJ294" s="91" t="n">
        <v>0.015227450022081</v>
      </c>
      <c r="AK294" s="91" t="n">
        <v>0.0307801105872338</v>
      </c>
    </row>
    <row r="295" customFormat="false" ht="12.75" hidden="false" customHeight="false" outlineLevel="0" collapsed="false">
      <c r="B295" s="89" t="s">
        <v>171</v>
      </c>
      <c r="C295" s="89" t="s">
        <v>172</v>
      </c>
      <c r="D295" s="91" t="n">
        <v>6.48638107054756E-005</v>
      </c>
      <c r="E295" s="91" t="n">
        <v>0.000485346806735541</v>
      </c>
      <c r="F295" s="91" t="n">
        <v>0.000192686109558628</v>
      </c>
      <c r="G295" s="91" t="n">
        <v>0.000185586713056388</v>
      </c>
      <c r="H295" s="91" t="n">
        <v>0.00018466492464994</v>
      </c>
      <c r="I295" s="91" t="n">
        <v>5.44212923578085E-005</v>
      </c>
      <c r="J295" s="91" t="n">
        <v>0.000342875149576244</v>
      </c>
      <c r="K295" s="91" t="n">
        <v>0.000143936299450674</v>
      </c>
      <c r="L295" s="91" t="n">
        <v>0.000143862329748309</v>
      </c>
      <c r="M295" s="91" t="n">
        <v>0.00663847100148195</v>
      </c>
      <c r="N295" s="91" t="n">
        <v>0.00663973049135724</v>
      </c>
      <c r="O295" s="91" t="n">
        <v>4.42279857428981E-005</v>
      </c>
      <c r="P295" s="91" t="n">
        <v>0.000144560672149926</v>
      </c>
      <c r="Q295" s="91" t="n">
        <v>0.000143322868214648</v>
      </c>
      <c r="R295" s="91" t="n">
        <v>0.000143029392380278</v>
      </c>
      <c r="S295" s="91" t="n">
        <v>9.39474068871239E-005</v>
      </c>
      <c r="T295" s="91" t="n">
        <v>0.000135119874880478</v>
      </c>
      <c r="U295" s="91" t="n">
        <v>0.00055310795674446</v>
      </c>
      <c r="V295" s="91" t="n">
        <v>3.87849450666878E-005</v>
      </c>
      <c r="W295" s="91" t="n">
        <v>0.000238273094450161</v>
      </c>
      <c r="X295" s="91" t="n">
        <v>0.000155607671278581</v>
      </c>
      <c r="Y295" s="91" t="n">
        <v>0.000693549935228849</v>
      </c>
      <c r="Z295" s="91" t="n">
        <v>0.000229026982914484</v>
      </c>
      <c r="AA295" s="91" t="n">
        <v>0.000237572737062667</v>
      </c>
      <c r="AB295" s="91" t="n">
        <v>0.000228623001906428</v>
      </c>
      <c r="AC295" s="91" t="n">
        <v>0.000228843890975227</v>
      </c>
      <c r="AD295" s="91" t="n">
        <v>0.000185638536448312</v>
      </c>
      <c r="AE295" s="91" t="n">
        <v>5.34495339035691E-006</v>
      </c>
      <c r="AF295" s="91" t="n">
        <v>0.00356448439362066</v>
      </c>
      <c r="AG295" s="91" t="n">
        <v>0.00364951665656279</v>
      </c>
      <c r="AH295" s="91" t="n">
        <v>1.00184272462454</v>
      </c>
      <c r="AI295" s="91" t="n">
        <v>9.01647282500704E-005</v>
      </c>
      <c r="AJ295" s="91" t="n">
        <v>0.000139424565402912</v>
      </c>
      <c r="AK295" s="91" t="n">
        <v>0.00079257860012875</v>
      </c>
    </row>
    <row r="296" customFormat="false" ht="12.75" hidden="false" customHeight="false" outlineLevel="0" collapsed="false">
      <c r="B296" s="89" t="s">
        <v>173</v>
      </c>
      <c r="C296" s="89" t="s">
        <v>174</v>
      </c>
      <c r="D296" s="91" t="n">
        <v>0.000264138278710872</v>
      </c>
      <c r="E296" s="91" t="n">
        <v>0.000635241355218158</v>
      </c>
      <c r="F296" s="91" t="n">
        <v>0.00258892503108945</v>
      </c>
      <c r="G296" s="91" t="n">
        <v>0.000392422310719641</v>
      </c>
      <c r="H296" s="91" t="n">
        <v>0.000389728922333419</v>
      </c>
      <c r="I296" s="91" t="n">
        <v>0.000188267828730281</v>
      </c>
      <c r="J296" s="91" t="n">
        <v>0.000588207014421929</v>
      </c>
      <c r="K296" s="91" t="n">
        <v>0.00143027260671442</v>
      </c>
      <c r="L296" s="91" t="n">
        <v>0.00142939832262829</v>
      </c>
      <c r="M296" s="91" t="n">
        <v>0.000487276892139114</v>
      </c>
      <c r="N296" s="91" t="n">
        <v>0.00047489520742788</v>
      </c>
      <c r="O296" s="91" t="n">
        <v>0.000123085910590842</v>
      </c>
      <c r="P296" s="91" t="n">
        <v>0.00850282449486983</v>
      </c>
      <c r="Q296" s="91" t="n">
        <v>0.00843001887309034</v>
      </c>
      <c r="R296" s="91" t="n">
        <v>0.00841275710005055</v>
      </c>
      <c r="S296" s="91" t="n">
        <v>0.0005649486924763</v>
      </c>
      <c r="T296" s="91" t="n">
        <v>0.00273775284735395</v>
      </c>
      <c r="U296" s="91" t="n">
        <v>0.000450300411669235</v>
      </c>
      <c r="V296" s="91" t="n">
        <v>0.000137049256191953</v>
      </c>
      <c r="W296" s="91" t="n">
        <v>0.000538041980839156</v>
      </c>
      <c r="X296" s="91" t="n">
        <v>0.000778331137485535</v>
      </c>
      <c r="Y296" s="91" t="n">
        <v>0.0013278499325829</v>
      </c>
      <c r="Z296" s="91" t="n">
        <v>0.000704753515980494</v>
      </c>
      <c r="AA296" s="91" t="n">
        <v>0.000734632726619706</v>
      </c>
      <c r="AB296" s="91" t="n">
        <v>0.000706957967210683</v>
      </c>
      <c r="AC296" s="91" t="n">
        <v>0.000705185973739689</v>
      </c>
      <c r="AD296" s="91" t="n">
        <v>0.00131349564164078</v>
      </c>
      <c r="AE296" s="91" t="n">
        <v>0.000667203129572379</v>
      </c>
      <c r="AF296" s="91" t="n">
        <v>0.00371613189560136</v>
      </c>
      <c r="AG296" s="91" t="n">
        <v>0.00380478177299735</v>
      </c>
      <c r="AH296" s="91" t="n">
        <v>0.00438364883512447</v>
      </c>
      <c r="AI296" s="91" t="n">
        <v>1.01313763353933</v>
      </c>
      <c r="AJ296" s="91" t="n">
        <v>0.00252134119600076</v>
      </c>
      <c r="AK296" s="91" t="n">
        <v>0.00464069241800037</v>
      </c>
    </row>
    <row r="297" customFormat="false" ht="12.75" hidden="false" customHeight="false" outlineLevel="0" collapsed="false">
      <c r="B297" s="89" t="s">
        <v>175</v>
      </c>
      <c r="C297" s="89" t="s">
        <v>176</v>
      </c>
      <c r="D297" s="91" t="n">
        <v>6.07178233981853E-005</v>
      </c>
      <c r="E297" s="91" t="n">
        <v>0.000545297701793998</v>
      </c>
      <c r="F297" s="91" t="n">
        <v>0.000455038871673294</v>
      </c>
      <c r="G297" s="91" t="n">
        <v>0.000595303502379659</v>
      </c>
      <c r="H297" s="91" t="n">
        <v>0.000593585803425303</v>
      </c>
      <c r="I297" s="91" t="n">
        <v>7.77393289528511E-005</v>
      </c>
      <c r="J297" s="91" t="n">
        <v>0.000557426391351312</v>
      </c>
      <c r="K297" s="91" t="n">
        <v>0.00116699665870578</v>
      </c>
      <c r="L297" s="91" t="n">
        <v>0.00116625863664257</v>
      </c>
      <c r="M297" s="91" t="n">
        <v>0.000540845073983587</v>
      </c>
      <c r="N297" s="91" t="n">
        <v>0.000539969296473681</v>
      </c>
      <c r="O297" s="91" t="n">
        <v>3.48913712985345E-005</v>
      </c>
      <c r="P297" s="91" t="n">
        <v>0.000814818124322711</v>
      </c>
      <c r="Q297" s="91" t="n">
        <v>0.000807841226209122</v>
      </c>
      <c r="R297" s="91" t="n">
        <v>0.000806187045820086</v>
      </c>
      <c r="S297" s="91" t="n">
        <v>8.02698228710714E-005</v>
      </c>
      <c r="T297" s="91" t="n">
        <v>0.000572557029132064</v>
      </c>
      <c r="U297" s="91" t="n">
        <v>0.000414323218012501</v>
      </c>
      <c r="V297" s="91" t="n">
        <v>0.000740011995104463</v>
      </c>
      <c r="W297" s="91" t="n">
        <v>0.000316500224007953</v>
      </c>
      <c r="X297" s="91" t="n">
        <v>0.000108208867574264</v>
      </c>
      <c r="Y297" s="91" t="n">
        <v>0.000410143029739823</v>
      </c>
      <c r="Z297" s="91" t="n">
        <v>0.000261727404175643</v>
      </c>
      <c r="AA297" s="91" t="n">
        <v>0.000270003724245055</v>
      </c>
      <c r="AB297" s="91" t="n">
        <v>0.000259832263272434</v>
      </c>
      <c r="AC297" s="91" t="n">
        <v>0.000260580578145368</v>
      </c>
      <c r="AD297" s="91" t="n">
        <v>0.000117077511021429</v>
      </c>
      <c r="AE297" s="91" t="n">
        <v>4.34089476703462E-005</v>
      </c>
      <c r="AF297" s="91" t="n">
        <v>0.000486900957496674</v>
      </c>
      <c r="AG297" s="91" t="n">
        <v>0.000498516183058814</v>
      </c>
      <c r="AH297" s="91" t="n">
        <v>0.00297703001801932</v>
      </c>
      <c r="AI297" s="91" t="n">
        <v>0.00871005379344634</v>
      </c>
      <c r="AJ297" s="91" t="n">
        <v>1.00669928472142</v>
      </c>
      <c r="AK297" s="91" t="n">
        <v>0.00369600762353794</v>
      </c>
    </row>
    <row r="298" customFormat="false" ht="12.75" hidden="false" customHeight="false" outlineLevel="0" collapsed="false">
      <c r="B298" s="89" t="s">
        <v>177</v>
      </c>
      <c r="C298" s="89" t="s">
        <v>178</v>
      </c>
      <c r="D298" s="91" t="n">
        <v>0.00146608628360402</v>
      </c>
      <c r="E298" s="91" t="n">
        <v>0.00844571167463896</v>
      </c>
      <c r="F298" s="91" t="n">
        <v>0.00411041128515173</v>
      </c>
      <c r="G298" s="91" t="n">
        <v>0.00287955326282573</v>
      </c>
      <c r="H298" s="91" t="n">
        <v>0.00286160825972694</v>
      </c>
      <c r="I298" s="91" t="n">
        <v>0.00493042131981096</v>
      </c>
      <c r="J298" s="91" t="n">
        <v>0.007359806315794</v>
      </c>
      <c r="K298" s="91" t="n">
        <v>0.0105930654542598</v>
      </c>
      <c r="L298" s="91" t="n">
        <v>0.0105865796653118</v>
      </c>
      <c r="M298" s="91" t="n">
        <v>0.00548939753932169</v>
      </c>
      <c r="N298" s="91" t="n">
        <v>0.00543532045065057</v>
      </c>
      <c r="O298" s="91" t="n">
        <v>0.000685938883465277</v>
      </c>
      <c r="P298" s="91" t="n">
        <v>0.0044852723771203</v>
      </c>
      <c r="Q298" s="91" t="n">
        <v>0.00444686713372576</v>
      </c>
      <c r="R298" s="91" t="n">
        <v>0.00443776148255748</v>
      </c>
      <c r="S298" s="91" t="n">
        <v>0.00226849560751179</v>
      </c>
      <c r="T298" s="91" t="n">
        <v>0.00272119205585319</v>
      </c>
      <c r="U298" s="91" t="n">
        <v>0.00696748190859609</v>
      </c>
      <c r="V298" s="91" t="n">
        <v>0.011074575068538</v>
      </c>
      <c r="W298" s="91" t="n">
        <v>0.0071707831129089</v>
      </c>
      <c r="X298" s="91" t="n">
        <v>0.00303380237141317</v>
      </c>
      <c r="Y298" s="91" t="n">
        <v>0.0185958412430988</v>
      </c>
      <c r="Z298" s="91" t="n">
        <v>0.0046069979766834</v>
      </c>
      <c r="AA298" s="91" t="n">
        <v>0.00476969111781606</v>
      </c>
      <c r="AB298" s="91" t="n">
        <v>0.00459000942197291</v>
      </c>
      <c r="AC298" s="91" t="n">
        <v>0.00459961538596526</v>
      </c>
      <c r="AD298" s="91" t="n">
        <v>0.00589714648242487</v>
      </c>
      <c r="AE298" s="91" t="n">
        <v>0.000841495605001681</v>
      </c>
      <c r="AF298" s="91" t="n">
        <v>0.0294389212280267</v>
      </c>
      <c r="AG298" s="91" t="n">
        <v>0.0301411989810377</v>
      </c>
      <c r="AH298" s="91" t="n">
        <v>0.00272310543181928</v>
      </c>
      <c r="AI298" s="91" t="n">
        <v>0.00630672493878587</v>
      </c>
      <c r="AJ298" s="91" t="n">
        <v>0.00887556274592782</v>
      </c>
      <c r="AK298" s="91" t="n">
        <v>1.06131011665321</v>
      </c>
    </row>
    <row r="300" customFormat="false" ht="12.75" hidden="false" customHeight="false" outlineLevel="0" collapsed="false">
      <c r="B300" s="30" t="s">
        <v>349</v>
      </c>
    </row>
    <row r="302" customFormat="false" ht="91.7" hidden="false" customHeight="false" outlineLevel="0" collapsed="false">
      <c r="B302" s="89"/>
      <c r="C302" s="89"/>
      <c r="D302" s="90" t="s">
        <v>208</v>
      </c>
      <c r="E302" s="90" t="s">
        <v>209</v>
      </c>
      <c r="F302" s="90" t="s">
        <v>210</v>
      </c>
      <c r="G302" s="90" t="s">
        <v>211</v>
      </c>
      <c r="H302" s="90" t="s">
        <v>212</v>
      </c>
      <c r="I302" s="90" t="s">
        <v>213</v>
      </c>
      <c r="J302" s="90" t="s">
        <v>214</v>
      </c>
      <c r="K302" s="90" t="s">
        <v>215</v>
      </c>
      <c r="L302" s="90" t="s">
        <v>216</v>
      </c>
      <c r="M302" s="90" t="s">
        <v>217</v>
      </c>
      <c r="N302" s="90" t="s">
        <v>218</v>
      </c>
      <c r="O302" s="90" t="s">
        <v>219</v>
      </c>
      <c r="P302" s="90" t="s">
        <v>135</v>
      </c>
      <c r="Q302" s="90" t="s">
        <v>220</v>
      </c>
      <c r="R302" s="90" t="s">
        <v>221</v>
      </c>
      <c r="S302" s="90" t="s">
        <v>222</v>
      </c>
      <c r="T302" s="90" t="s">
        <v>223</v>
      </c>
      <c r="U302" s="90" t="s">
        <v>145</v>
      </c>
      <c r="V302" s="90" t="s">
        <v>224</v>
      </c>
      <c r="W302" s="90" t="s">
        <v>225</v>
      </c>
      <c r="X302" s="90" t="s">
        <v>226</v>
      </c>
      <c r="Y302" s="90" t="s">
        <v>227</v>
      </c>
      <c r="Z302" s="90" t="s">
        <v>228</v>
      </c>
      <c r="AA302" s="90" t="s">
        <v>229</v>
      </c>
      <c r="AB302" s="90" t="s">
        <v>230</v>
      </c>
      <c r="AC302" s="90" t="s">
        <v>231</v>
      </c>
      <c r="AD302" s="90" t="s">
        <v>232</v>
      </c>
      <c r="AE302" s="90" t="s">
        <v>233</v>
      </c>
      <c r="AF302" s="90" t="s">
        <v>234</v>
      </c>
      <c r="AG302" s="90" t="s">
        <v>235</v>
      </c>
      <c r="AH302" s="90" t="s">
        <v>236</v>
      </c>
      <c r="AI302" s="90" t="s">
        <v>173</v>
      </c>
      <c r="AJ302" s="90" t="s">
        <v>237</v>
      </c>
      <c r="AK302" s="90" t="s">
        <v>238</v>
      </c>
    </row>
    <row r="303" customFormat="false" ht="12.75" hidden="false" customHeight="false" outlineLevel="0" collapsed="false">
      <c r="B303" s="89"/>
      <c r="C303" s="89"/>
      <c r="D303" s="89" t="s">
        <v>112</v>
      </c>
      <c r="E303" s="89" t="s">
        <v>114</v>
      </c>
      <c r="F303" s="89" t="s">
        <v>116</v>
      </c>
      <c r="G303" s="89" t="s">
        <v>118</v>
      </c>
      <c r="H303" s="89" t="s">
        <v>120</v>
      </c>
      <c r="I303" s="89" t="s">
        <v>122</v>
      </c>
      <c r="J303" s="89" t="s">
        <v>124</v>
      </c>
      <c r="K303" s="89" t="s">
        <v>126</v>
      </c>
      <c r="L303" s="89" t="s">
        <v>128</v>
      </c>
      <c r="M303" s="89" t="s">
        <v>130</v>
      </c>
      <c r="N303" s="89" t="s">
        <v>132</v>
      </c>
      <c r="O303" s="89" t="s">
        <v>134</v>
      </c>
      <c r="P303" s="89" t="s">
        <v>136</v>
      </c>
      <c r="Q303" s="89" t="s">
        <v>138</v>
      </c>
      <c r="R303" s="89" t="s">
        <v>140</v>
      </c>
      <c r="S303" s="89" t="s">
        <v>142</v>
      </c>
      <c r="T303" s="89" t="s">
        <v>144</v>
      </c>
      <c r="U303" s="89" t="s">
        <v>146</v>
      </c>
      <c r="V303" s="89" t="s">
        <v>148</v>
      </c>
      <c r="W303" s="89" t="s">
        <v>150</v>
      </c>
      <c r="X303" s="89" t="s">
        <v>152</v>
      </c>
      <c r="Y303" s="89" t="s">
        <v>154</v>
      </c>
      <c r="Z303" s="89" t="s">
        <v>156</v>
      </c>
      <c r="AA303" s="89" t="s">
        <v>158</v>
      </c>
      <c r="AB303" s="89" t="s">
        <v>160</v>
      </c>
      <c r="AC303" s="89" t="s">
        <v>162</v>
      </c>
      <c r="AD303" s="89" t="s">
        <v>164</v>
      </c>
      <c r="AE303" s="89" t="s">
        <v>166</v>
      </c>
      <c r="AF303" s="89" t="s">
        <v>168</v>
      </c>
      <c r="AG303" s="89" t="s">
        <v>170</v>
      </c>
      <c r="AH303" s="89" t="s">
        <v>172</v>
      </c>
      <c r="AI303" s="89" t="s">
        <v>174</v>
      </c>
      <c r="AJ303" s="89" t="s">
        <v>176</v>
      </c>
      <c r="AK303" s="89" t="s">
        <v>178</v>
      </c>
    </row>
    <row r="304" customFormat="false" ht="12.75" hidden="false" customHeight="false" outlineLevel="0" collapsed="false">
      <c r="B304" s="89" t="s">
        <v>350</v>
      </c>
      <c r="C304" s="89"/>
      <c r="D304" s="93" t="n">
        <f aca="false">SUM(D265:D298)</f>
        <v>2.21995924710993</v>
      </c>
      <c r="E304" s="93" t="n">
        <f aca="false">SUM(E265:E298)</f>
        <v>1.40878752243876</v>
      </c>
      <c r="F304" s="93" t="n">
        <f aca="false">SUM(F265:F298)</f>
        <v>2.04012778003675</v>
      </c>
      <c r="G304" s="93" t="n">
        <f aca="false">SUM(G265:G298)</f>
        <v>1.71328426418753</v>
      </c>
      <c r="H304" s="93" t="n">
        <f aca="false">SUM(H265:H298)</f>
        <v>1.69143442753912</v>
      </c>
      <c r="I304" s="93" t="n">
        <f aca="false">SUM(I265:I298)</f>
        <v>1.2229191597382</v>
      </c>
      <c r="J304" s="93" t="n">
        <f aca="false">SUM(J265:J298)</f>
        <v>1.46291079064807</v>
      </c>
      <c r="K304" s="93" t="n">
        <f aca="false">SUM(K265:K298)</f>
        <v>1.49565035151908</v>
      </c>
      <c r="L304" s="93" t="n">
        <f aca="false">SUM(L265:L298)</f>
        <v>1.49571542012173</v>
      </c>
      <c r="M304" s="93" t="n">
        <f aca="false">SUM(M265:M298)</f>
        <v>1.55655549558258</v>
      </c>
      <c r="N304" s="93" t="n">
        <f aca="false">SUM(N265:N298)</f>
        <v>1.55347172948856</v>
      </c>
      <c r="O304" s="93" t="n">
        <f aca="false">SUM(O265:O298)</f>
        <v>1.79364134532929</v>
      </c>
      <c r="P304" s="93" t="n">
        <f aca="false">SUM(P265:P298)</f>
        <v>1.3916639420359</v>
      </c>
      <c r="Q304" s="93" t="n">
        <f aca="false">SUM(Q265:Q298)</f>
        <v>1.38831031091653</v>
      </c>
      <c r="R304" s="93" t="n">
        <f aca="false">SUM(R265:R298)</f>
        <v>1.38751518524042</v>
      </c>
      <c r="S304" s="93" t="n">
        <f aca="false">SUM(S265:S298)</f>
        <v>1.37060192703899</v>
      </c>
      <c r="T304" s="93" t="n">
        <f aca="false">SUM(T265:T298)</f>
        <v>1.34656537588775</v>
      </c>
      <c r="U304" s="93" t="n">
        <f aca="false">SUM(U265:U298)</f>
        <v>1.57809025169198</v>
      </c>
      <c r="V304" s="93" t="n">
        <f aca="false">SUM(V265:V298)</f>
        <v>1.18823194359077</v>
      </c>
      <c r="W304" s="93" t="n">
        <f aca="false">SUM(W265:W298)</f>
        <v>1.29518895248163</v>
      </c>
      <c r="X304" s="93" t="n">
        <f aca="false">SUM(X265:X298)</f>
        <v>1.26901781562159</v>
      </c>
      <c r="Y304" s="93" t="n">
        <f aca="false">SUM(Y265:Y298)</f>
        <v>1.67649693417423</v>
      </c>
      <c r="Z304" s="93" t="n">
        <f aca="false">SUM(Z265:Z298)</f>
        <v>1.32896294444719</v>
      </c>
      <c r="AA304" s="93" t="n">
        <f aca="false">SUM(AA265:AA298)</f>
        <v>1.34793304964864</v>
      </c>
      <c r="AB304" s="93" t="n">
        <f aca="false">SUM(AB265:AB298)</f>
        <v>1.33482586956999</v>
      </c>
      <c r="AC304" s="93" t="n">
        <f aca="false">SUM(AC265:AC298)</f>
        <v>1.33564768877197</v>
      </c>
      <c r="AD304" s="93" t="n">
        <f aca="false">SUM(AD265:AD298)</f>
        <v>1.26205518179056</v>
      </c>
      <c r="AE304" s="93" t="n">
        <f aca="false">SUM(AE265:AE298)</f>
        <v>5.59263245910131</v>
      </c>
      <c r="AF304" s="93" t="n">
        <f aca="false">SUM(AF265:AF298)</f>
        <v>1.41208490439143</v>
      </c>
      <c r="AG304" s="93" t="n">
        <f aca="false">SUM(AG265:AG298)</f>
        <v>1.42191536178028</v>
      </c>
      <c r="AH304" s="93" t="n">
        <f aca="false">SUM(AH265:AH298)</f>
        <v>1.37022376836363</v>
      </c>
      <c r="AI304" s="93" t="n">
        <f aca="false">SUM(AI265:AI298)</f>
        <v>1.28662978634447</v>
      </c>
      <c r="AJ304" s="93" t="n">
        <f aca="false">SUM(AJ265:AJ298)</f>
        <v>1.30795275075759</v>
      </c>
      <c r="AK304" s="93" t="n">
        <f aca="false">SUM(AK265:AK298)</f>
        <v>1.55754583286807</v>
      </c>
    </row>
    <row r="305" customFormat="false" ht="12.75" hidden="false" customHeight="false" outlineLevel="0" collapsed="false">
      <c r="B305" s="92" t="s">
        <v>351</v>
      </c>
      <c r="C305" s="92"/>
      <c r="D305" s="91" t="n">
        <v>9.32520609722336</v>
      </c>
      <c r="E305" s="91" t="n">
        <v>24.9751677439405</v>
      </c>
      <c r="F305" s="91" t="n">
        <v>59.2609409074943</v>
      </c>
      <c r="G305" s="91" t="n">
        <v>26.8336333448074</v>
      </c>
      <c r="H305" s="91" t="n">
        <v>27.3694684355993</v>
      </c>
      <c r="I305" s="91" t="n">
        <v>36.2244404037359</v>
      </c>
      <c r="J305" s="91" t="n">
        <v>75.5334091374157</v>
      </c>
      <c r="K305" s="91" t="n">
        <v>134.411495733563</v>
      </c>
      <c r="L305" s="91" t="n">
        <v>40.7760682041358</v>
      </c>
      <c r="M305" s="91" t="n">
        <v>114.850638523344</v>
      </c>
      <c r="N305" s="91" t="n">
        <v>36.8421993890575</v>
      </c>
      <c r="O305" s="91" t="n">
        <v>11.5339624320489</v>
      </c>
      <c r="P305" s="91" t="n">
        <v>191.90730236488</v>
      </c>
      <c r="Q305" s="91" t="n">
        <v>70.8331629206236</v>
      </c>
      <c r="R305" s="91" t="n">
        <v>70.2281506691981</v>
      </c>
      <c r="S305" s="91" t="n">
        <v>140.179083336202</v>
      </c>
      <c r="T305" s="91" t="n">
        <v>749.607949274579</v>
      </c>
      <c r="U305" s="91" t="n">
        <v>18.6548300359161</v>
      </c>
      <c r="V305" s="91" t="n">
        <v>36.7295072312053</v>
      </c>
      <c r="W305" s="91" t="n">
        <v>34.6236743147763</v>
      </c>
      <c r="X305" s="91" t="n">
        <v>14.3522606587511</v>
      </c>
      <c r="Y305" s="91" t="n">
        <v>61.529583205444</v>
      </c>
      <c r="Z305" s="91" t="n">
        <v>42.6043615026342</v>
      </c>
      <c r="AA305" s="91" t="n">
        <v>624.079303571454</v>
      </c>
      <c r="AB305" s="91" t="n">
        <v>139.650916551178</v>
      </c>
      <c r="AC305" s="91" t="n">
        <v>43.3400670656751</v>
      </c>
      <c r="AD305" s="91" t="n">
        <v>32.282130744352</v>
      </c>
      <c r="AE305" s="91" t="n">
        <v>1949.96310600564</v>
      </c>
      <c r="AF305" s="91" t="n">
        <v>34.7634751328023</v>
      </c>
      <c r="AG305" s="91" t="n">
        <v>36.1200603460601</v>
      </c>
      <c r="AH305" s="91" t="n">
        <v>28.4276151407888</v>
      </c>
      <c r="AI305" s="91" t="n">
        <v>24.5182386497851</v>
      </c>
      <c r="AJ305" s="91" t="n">
        <v>22.0751465795516</v>
      </c>
      <c r="AK305" s="91" t="n">
        <v>83.6104518826201</v>
      </c>
    </row>
    <row r="306" customFormat="false" ht="12.75" hidden="false" customHeight="false" outlineLevel="0" collapsed="false">
      <c r="B306" s="92" t="s">
        <v>352</v>
      </c>
      <c r="C306" s="92"/>
      <c r="D306" s="91" t="n">
        <v>1.03323838152029</v>
      </c>
      <c r="E306" s="91" t="n">
        <v>1.63730125866947</v>
      </c>
      <c r="F306" s="91" t="n">
        <v>1.09879525157701</v>
      </c>
      <c r="G306" s="91" t="n">
        <v>1.03003150775582</v>
      </c>
      <c r="H306" s="91" t="n">
        <v>0.981500304441943</v>
      </c>
      <c r="I306" s="91" t="n">
        <v>0.803048828618317</v>
      </c>
      <c r="J306" s="91" t="n">
        <v>1.26348304337404</v>
      </c>
      <c r="K306" s="91" t="n">
        <v>1.70313217602195</v>
      </c>
      <c r="L306" s="91" t="n">
        <v>1.61208386424843</v>
      </c>
      <c r="M306" s="91" t="n">
        <v>1.87529929419032</v>
      </c>
      <c r="N306" s="91" t="n">
        <v>1.95819857568841</v>
      </c>
      <c r="O306" s="91" t="n">
        <v>2.16593216338804</v>
      </c>
      <c r="P306" s="91" t="n">
        <v>2.11830572793167</v>
      </c>
      <c r="Q306" s="91" t="n">
        <v>2.03712746931093</v>
      </c>
      <c r="R306" s="91" t="n">
        <v>1.96670090301296</v>
      </c>
      <c r="S306" s="91" t="n">
        <v>1.52040253730398</v>
      </c>
      <c r="T306" s="91" t="n">
        <v>8.81802843952599</v>
      </c>
      <c r="U306" s="91" t="n">
        <v>7.92187957666913</v>
      </c>
      <c r="V306" s="91" t="n">
        <v>0.583843618915144</v>
      </c>
      <c r="W306" s="91" t="n">
        <v>0.741545397584982</v>
      </c>
      <c r="X306" s="91" t="n">
        <v>0.693776896264421</v>
      </c>
      <c r="Y306" s="91" t="n">
        <v>1.10307554871921</v>
      </c>
      <c r="Z306" s="91" t="n">
        <v>0.345266277321928</v>
      </c>
      <c r="AA306" s="91" t="n">
        <v>0.360023149130296</v>
      </c>
      <c r="AB306" s="91" t="n">
        <v>0.349069376754096</v>
      </c>
      <c r="AC306" s="91" t="n">
        <v>0.722450532405392</v>
      </c>
      <c r="AD306" s="91" t="n">
        <v>0.641830346745574</v>
      </c>
      <c r="AE306" s="91" t="n">
        <v>2.59359235772748</v>
      </c>
      <c r="AF306" s="91" t="n">
        <v>1.02312382442178</v>
      </c>
      <c r="AG306" s="91" t="n">
        <v>1.03246862689397</v>
      </c>
      <c r="AH306" s="91" t="n">
        <v>0.731638451614845</v>
      </c>
      <c r="AI306" s="91" t="n">
        <v>0.899472936536491</v>
      </c>
      <c r="AJ306" s="91" t="n">
        <v>0.79309490414552</v>
      </c>
      <c r="AK306" s="91" t="n">
        <v>1.02472476533426</v>
      </c>
    </row>
    <row r="307" customFormat="false" ht="12.75" hidden="false" customHeight="false" outlineLevel="0" collapsed="false">
      <c r="B307" s="92" t="s">
        <v>353</v>
      </c>
      <c r="C307" s="92"/>
      <c r="D307" s="91" t="n">
        <v>4.26282255425562</v>
      </c>
      <c r="E307" s="91" t="n">
        <v>0.0200851481313167</v>
      </c>
      <c r="F307" s="91" t="n">
        <v>0.859738192271717</v>
      </c>
      <c r="G307" s="91" t="n">
        <v>0.602796400577477</v>
      </c>
      <c r="H307" s="91" t="n">
        <v>0.55504434992518</v>
      </c>
      <c r="I307" s="91" t="n">
        <v>0.0266188746568155</v>
      </c>
      <c r="J307" s="91" t="n">
        <v>0.0212958724040809</v>
      </c>
      <c r="K307" s="91" t="n">
        <v>0.0507312247599321</v>
      </c>
      <c r="L307" s="91" t="n">
        <v>0.0567682052739962</v>
      </c>
      <c r="M307" s="91" t="n">
        <v>0.0245770334372189</v>
      </c>
      <c r="N307" s="91" t="n">
        <v>0.0211104310002282</v>
      </c>
      <c r="O307" s="91" t="n">
        <v>0.00535993003382634</v>
      </c>
      <c r="P307" s="91" t="n">
        <v>0.00866659571181288</v>
      </c>
      <c r="Q307" s="91" t="n">
        <v>0.00926752990266206</v>
      </c>
      <c r="R307" s="91" t="n">
        <v>0.00822154628635274</v>
      </c>
      <c r="S307" s="91" t="n">
        <v>0.0128143384403366</v>
      </c>
      <c r="T307" s="91" t="n">
        <v>0.0102555713188712</v>
      </c>
      <c r="U307" s="91" t="n">
        <v>0.0255703193754907</v>
      </c>
      <c r="V307" s="91" t="n">
        <v>0.00691234936318597</v>
      </c>
      <c r="W307" s="91" t="n">
        <v>0.0305912949826454</v>
      </c>
      <c r="X307" s="91" t="n">
        <v>0.0361150267546657</v>
      </c>
      <c r="Y307" s="91" t="n">
        <v>0.254777601725055</v>
      </c>
      <c r="Z307" s="91" t="n">
        <v>0.0108061722963582</v>
      </c>
      <c r="AA307" s="91" t="n">
        <v>0.0147764497924247</v>
      </c>
      <c r="AB307" s="91" t="n">
        <v>0.0139631195074079</v>
      </c>
      <c r="AC307" s="91" t="n">
        <v>0.01312553920689</v>
      </c>
      <c r="AD307" s="91" t="n">
        <v>0.0123467624958308</v>
      </c>
      <c r="AE307" s="91" t="n">
        <v>0.0104585864656283</v>
      </c>
      <c r="AF307" s="91" t="n">
        <v>0.0291096241625581</v>
      </c>
      <c r="AG307" s="91" t="n">
        <v>0.0306607101798736</v>
      </c>
      <c r="AH307" s="91" t="n">
        <v>0.185035327939086</v>
      </c>
      <c r="AI307" s="91" t="n">
        <v>0.0987513707022896</v>
      </c>
      <c r="AJ307" s="91" t="n">
        <v>0.178460750106289</v>
      </c>
      <c r="AK307" s="91" t="n">
        <v>0.023543820635402</v>
      </c>
    </row>
    <row r="308" customFormat="false" ht="12.75" hidden="false" customHeight="false" outlineLevel="0" collapsed="false">
      <c r="B308" s="92" t="s">
        <v>354</v>
      </c>
      <c r="C308" s="92"/>
      <c r="D308" s="91" t="n">
        <v>7.14551934025394</v>
      </c>
      <c r="E308" s="91" t="n">
        <v>0.0301319306403816</v>
      </c>
      <c r="F308" s="91" t="n">
        <v>1.43630015483075</v>
      </c>
      <c r="G308" s="91" t="n">
        <v>1.00289401193833</v>
      </c>
      <c r="H308" s="91" t="n">
        <v>0.921092795331478</v>
      </c>
      <c r="I308" s="91" t="n">
        <v>0.0226669743229044</v>
      </c>
      <c r="J308" s="91" t="n">
        <v>0.0275396157778516</v>
      </c>
      <c r="K308" s="91" t="n">
        <v>0.0813129201979386</v>
      </c>
      <c r="L308" s="91" t="n">
        <v>0.0824224967302638</v>
      </c>
      <c r="M308" s="91" t="n">
        <v>0.0288540492590599</v>
      </c>
      <c r="N308" s="91" t="n">
        <v>0.0287039080035288</v>
      </c>
      <c r="O308" s="91" t="n">
        <v>0.00634783030177407</v>
      </c>
      <c r="P308" s="91" t="n">
        <v>0.011180204058068</v>
      </c>
      <c r="Q308" s="91" t="n">
        <v>0.0110844733148826</v>
      </c>
      <c r="R308" s="91" t="n">
        <v>0.0110617761340687</v>
      </c>
      <c r="S308" s="91" t="n">
        <v>0.0160817679054038</v>
      </c>
      <c r="T308" s="91" t="n">
        <v>0.013038067244153</v>
      </c>
      <c r="U308" s="91" t="n">
        <v>0.0394395221254866</v>
      </c>
      <c r="V308" s="91" t="n">
        <v>0.00420850199514141</v>
      </c>
      <c r="W308" s="91" t="n">
        <v>0.0429719889517022</v>
      </c>
      <c r="X308" s="91" t="n">
        <v>0.0581109969449191</v>
      </c>
      <c r="Y308" s="91" t="n">
        <v>0.420366234101459</v>
      </c>
      <c r="Z308" s="91" t="n">
        <v>0.016178414300528</v>
      </c>
      <c r="AA308" s="91" t="n">
        <v>0.0170530565228577</v>
      </c>
      <c r="AB308" s="91" t="n">
        <v>0.0164106413140634</v>
      </c>
      <c r="AC308" s="91" t="n">
        <v>0.016478760984426</v>
      </c>
      <c r="AD308" s="91" t="n">
        <v>0.0170228300099905</v>
      </c>
      <c r="AE308" s="91" t="n">
        <v>0.00342512819710884</v>
      </c>
      <c r="AF308" s="91" t="n">
        <v>0.0467335445117232</v>
      </c>
      <c r="AG308" s="91" t="n">
        <v>0.0478483927215374</v>
      </c>
      <c r="AH308" s="91" t="n">
        <v>0.308779385380868</v>
      </c>
      <c r="AI308" s="91" t="n">
        <v>0.163986856796441</v>
      </c>
      <c r="AJ308" s="91" t="n">
        <v>0.295995156822196</v>
      </c>
      <c r="AK308" s="91" t="n">
        <v>0.0302909840580155</v>
      </c>
    </row>
    <row r="309" customFormat="false" ht="12.75" hidden="false" customHeight="false" outlineLevel="0" collapsed="false">
      <c r="B309" s="92" t="s">
        <v>355</v>
      </c>
      <c r="C309" s="92"/>
      <c r="D309" s="91" t="n">
        <v>0.268782151285625</v>
      </c>
      <c r="E309" s="91" t="n">
        <v>0.030390877273913</v>
      </c>
      <c r="F309" s="91" t="n">
        <v>0.0939834572904168</v>
      </c>
      <c r="G309" s="91" t="n">
        <v>0.10010350282744</v>
      </c>
      <c r="H309" s="91" t="n">
        <v>0.11156787965583</v>
      </c>
      <c r="I309" s="91" t="n">
        <v>0.182512050286329</v>
      </c>
      <c r="J309" s="91" t="n">
        <v>0.0685388064840233</v>
      </c>
      <c r="K309" s="91" t="n">
        <v>0.0338819666678543</v>
      </c>
      <c r="L309" s="91" t="n">
        <v>0.108480689134747</v>
      </c>
      <c r="M309" s="91" t="n">
        <v>0.103224143219626</v>
      </c>
      <c r="N309" s="91" t="n">
        <v>0.0563757802559014</v>
      </c>
      <c r="O309" s="91" t="n">
        <v>0.0220576342621543</v>
      </c>
      <c r="P309" s="91" t="n">
        <v>0.0281179637342562</v>
      </c>
      <c r="Q309" s="91" t="n">
        <v>0.0372420794371591</v>
      </c>
      <c r="R309" s="91" t="n">
        <v>0.0229202377503202</v>
      </c>
      <c r="S309" s="91" t="n">
        <v>0.0452748999006277</v>
      </c>
      <c r="T309" s="91" t="n">
        <v>0.0348545826791499</v>
      </c>
      <c r="U309" s="91" t="n">
        <v>0.0298049076023797</v>
      </c>
      <c r="V309" s="91" t="n">
        <v>0.0612137612286786</v>
      </c>
      <c r="W309" s="91" t="n">
        <v>0.0703522702454082</v>
      </c>
      <c r="X309" s="91" t="n">
        <v>0.0222652960501453</v>
      </c>
      <c r="Y309" s="91" t="n">
        <v>0.0712758549885535</v>
      </c>
      <c r="Z309" s="91" t="n">
        <v>0.0166235683955243</v>
      </c>
      <c r="AA309" s="91" t="n">
        <v>0.0644903684399147</v>
      </c>
      <c r="AB309" s="91" t="n">
        <v>0.058500537232717</v>
      </c>
      <c r="AC309" s="91" t="n">
        <v>0.0463213545150764</v>
      </c>
      <c r="AD309" s="91" t="n">
        <v>0.0310372358857652</v>
      </c>
      <c r="AE309" s="91" t="n">
        <v>0.116856497800494</v>
      </c>
      <c r="AF309" s="91" t="n">
        <v>0.0188145127850137</v>
      </c>
      <c r="AG309" s="91" t="n">
        <v>0.0311460990742209</v>
      </c>
      <c r="AH309" s="91" t="n">
        <v>0.023071505661916</v>
      </c>
      <c r="AI309" s="91" t="n">
        <v>0.0189473632295247</v>
      </c>
      <c r="AJ309" s="91" t="n">
        <v>0.0371848977421809</v>
      </c>
      <c r="AK309" s="91" t="n">
        <v>0.0770558310726787</v>
      </c>
    </row>
    <row r="310" customFormat="false" ht="12.75" hidden="false" customHeight="false" outlineLevel="0" collapsed="false">
      <c r="B310" s="92" t="s">
        <v>356</v>
      </c>
      <c r="C310" s="92"/>
      <c r="D310" s="91" t="n">
        <v>393.191280715622</v>
      </c>
      <c r="E310" s="91" t="n">
        <v>140.646868310376</v>
      </c>
      <c r="F310" s="91" t="n">
        <v>210.099568961389</v>
      </c>
      <c r="G310" s="91" t="n">
        <v>179.737555109451</v>
      </c>
      <c r="H310" s="91" t="n">
        <v>175.46574789529</v>
      </c>
      <c r="I310" s="91" t="n">
        <v>117.295221812233</v>
      </c>
      <c r="J310" s="91" t="n">
        <v>122.925699298406</v>
      </c>
      <c r="K310" s="91" t="n">
        <v>137.82645481535</v>
      </c>
      <c r="L310" s="91" t="n">
        <v>137.893069361754</v>
      </c>
      <c r="M310" s="91" t="n">
        <v>138.142827875059</v>
      </c>
      <c r="N310" s="91" t="n">
        <v>138.0618186305</v>
      </c>
      <c r="O310" s="91" t="n">
        <v>158.100714661687</v>
      </c>
      <c r="P310" s="91" t="n">
        <v>140.89237880467</v>
      </c>
      <c r="Q310" s="91" t="n">
        <v>141.426332135497</v>
      </c>
      <c r="R310" s="91" t="n">
        <v>141.552929244146</v>
      </c>
      <c r="S310" s="91" t="n">
        <v>117.279182766711</v>
      </c>
      <c r="T310" s="91" t="n">
        <v>147.902792007611</v>
      </c>
      <c r="U310" s="91" t="n">
        <v>202.445477198546</v>
      </c>
      <c r="V310" s="91" t="n">
        <v>243.009360612912</v>
      </c>
      <c r="W310" s="91" t="n">
        <v>228.611153097116</v>
      </c>
      <c r="X310" s="91" t="n">
        <v>219.087966351384</v>
      </c>
      <c r="Y310" s="91" t="n">
        <v>464.451456523478</v>
      </c>
      <c r="Z310" s="91" t="n">
        <v>315.299132359726</v>
      </c>
      <c r="AA310" s="91" t="n">
        <v>307.838641643406</v>
      </c>
      <c r="AB310" s="91" t="n">
        <v>319.66731612819</v>
      </c>
      <c r="AC310" s="91" t="n">
        <v>319.454620593538</v>
      </c>
      <c r="AD310" s="91" t="n">
        <v>80.9199696002209</v>
      </c>
      <c r="AE310" s="91" t="n">
        <v>114.964488026753</v>
      </c>
      <c r="AF310" s="91" t="n">
        <v>83.4476889915406</v>
      </c>
      <c r="AG310" s="91" t="n">
        <v>253.352443063444</v>
      </c>
      <c r="AH310" s="91" t="n">
        <v>206.786928130378</v>
      </c>
      <c r="AI310" s="91" t="n">
        <v>389.646145258563</v>
      </c>
      <c r="AJ310" s="91" t="n">
        <v>325.609772927482</v>
      </c>
      <c r="AK310" s="91" t="n">
        <v>371.973756936233</v>
      </c>
    </row>
    <row r="313" customFormat="false" ht="12.75" hidden="false" customHeight="false" outlineLevel="0" collapsed="false">
      <c r="B313" s="30" t="s">
        <v>357</v>
      </c>
    </row>
    <row r="315" customFormat="false" ht="12.75" hidden="false" customHeight="false" outlineLevel="0" collapsed="false">
      <c r="B315" s="30" t="s">
        <v>358</v>
      </c>
    </row>
    <row r="317" customFormat="false" ht="12.75" hidden="false" customHeight="false" outlineLevel="0" collapsed="false">
      <c r="D317" s="89" t="s">
        <v>112</v>
      </c>
      <c r="E317" s="89" t="s">
        <v>114</v>
      </c>
      <c r="F317" s="89" t="s">
        <v>116</v>
      </c>
      <c r="G317" s="89" t="s">
        <v>118</v>
      </c>
      <c r="H317" s="89" t="s">
        <v>120</v>
      </c>
      <c r="I317" s="89" t="s">
        <v>122</v>
      </c>
      <c r="J317" s="89" t="s">
        <v>124</v>
      </c>
      <c r="K317" s="89" t="s">
        <v>126</v>
      </c>
      <c r="L317" s="89" t="s">
        <v>128</v>
      </c>
      <c r="M317" s="89" t="s">
        <v>130</v>
      </c>
      <c r="N317" s="89" t="s">
        <v>132</v>
      </c>
      <c r="O317" s="89" t="s">
        <v>134</v>
      </c>
      <c r="P317" s="89" t="s">
        <v>136</v>
      </c>
      <c r="Q317" s="89" t="s">
        <v>138</v>
      </c>
      <c r="R317" s="89" t="s">
        <v>140</v>
      </c>
      <c r="S317" s="89" t="s">
        <v>142</v>
      </c>
      <c r="T317" s="89" t="s">
        <v>144</v>
      </c>
      <c r="U317" s="89" t="s">
        <v>146</v>
      </c>
      <c r="V317" s="89" t="s">
        <v>148</v>
      </c>
      <c r="W317" s="89" t="s">
        <v>150</v>
      </c>
      <c r="X317" s="89" t="s">
        <v>152</v>
      </c>
      <c r="Y317" s="89" t="s">
        <v>154</v>
      </c>
      <c r="Z317" s="89" t="s">
        <v>156</v>
      </c>
      <c r="AA317" s="89" t="s">
        <v>158</v>
      </c>
      <c r="AB317" s="89" t="s">
        <v>160</v>
      </c>
      <c r="AC317" s="89" t="s">
        <v>162</v>
      </c>
      <c r="AD317" s="89" t="s">
        <v>164</v>
      </c>
      <c r="AE317" s="89" t="s">
        <v>166</v>
      </c>
      <c r="AF317" s="89" t="s">
        <v>168</v>
      </c>
      <c r="AG317" s="89" t="s">
        <v>170</v>
      </c>
      <c r="AH317" s="89" t="s">
        <v>172</v>
      </c>
      <c r="AI317" s="89" t="s">
        <v>174</v>
      </c>
      <c r="AJ317" s="89" t="s">
        <v>176</v>
      </c>
      <c r="AK317" s="89" t="s">
        <v>178</v>
      </c>
    </row>
    <row r="318" customFormat="false" ht="12.75" hidden="false" customHeight="false" outlineLevel="0" collapsed="false">
      <c r="C318" s="89" t="s">
        <v>112</v>
      </c>
      <c r="D318" s="19" t="n">
        <f aca="false" t="array" ref="D318:AK351">IF(AR8:AR41=TRANSPOSE(AR8:AR41),AR8:AR904,0)</f>
        <v>3054.46797406012</v>
      </c>
      <c r="E318" s="19" t="n">
        <v>0</v>
      </c>
      <c r="F318" s="19" t="n">
        <v>0</v>
      </c>
      <c r="G318" s="19" t="n">
        <v>0</v>
      </c>
      <c r="H318" s="19" t="n">
        <v>0</v>
      </c>
      <c r="I318" s="19" t="n">
        <v>0</v>
      </c>
      <c r="J318" s="19" t="n">
        <v>0</v>
      </c>
      <c r="K318" s="19" t="n">
        <v>0</v>
      </c>
      <c r="L318" s="19" t="n">
        <v>0</v>
      </c>
      <c r="M318" s="19" t="n">
        <v>0</v>
      </c>
      <c r="N318" s="19" t="n">
        <v>0</v>
      </c>
      <c r="O318" s="19" t="n">
        <v>0</v>
      </c>
      <c r="P318" s="19" t="n">
        <v>0</v>
      </c>
      <c r="Q318" s="19" t="n">
        <v>0</v>
      </c>
      <c r="R318" s="19" t="n">
        <v>0</v>
      </c>
      <c r="S318" s="19" t="n">
        <v>0</v>
      </c>
      <c r="T318" s="19" t="n">
        <v>0</v>
      </c>
      <c r="U318" s="19" t="n">
        <v>0</v>
      </c>
      <c r="V318" s="19" t="n">
        <v>0</v>
      </c>
      <c r="W318" s="19" t="n">
        <v>0</v>
      </c>
      <c r="X318" s="19" t="n">
        <v>0</v>
      </c>
      <c r="Y318" s="19" t="n">
        <v>0</v>
      </c>
      <c r="Z318" s="19" t="n">
        <v>0</v>
      </c>
      <c r="AA318" s="19" t="n">
        <v>0</v>
      </c>
      <c r="AB318" s="19" t="n">
        <v>0</v>
      </c>
      <c r="AC318" s="19" t="n">
        <v>0</v>
      </c>
      <c r="AD318" s="19" t="n">
        <v>0</v>
      </c>
      <c r="AE318" s="19" t="n">
        <v>0</v>
      </c>
      <c r="AF318" s="19" t="n">
        <v>0</v>
      </c>
      <c r="AG318" s="19" t="n">
        <v>0</v>
      </c>
      <c r="AH318" s="19" t="n">
        <v>0</v>
      </c>
      <c r="AI318" s="19" t="n">
        <v>0</v>
      </c>
      <c r="AJ318" s="19" t="n">
        <v>0</v>
      </c>
      <c r="AK318" s="19" t="n">
        <v>0</v>
      </c>
    </row>
    <row r="319" customFormat="false" ht="12.75" hidden="false" customHeight="false" outlineLevel="0" collapsed="false">
      <c r="C319" s="89" t="s">
        <v>114</v>
      </c>
      <c r="D319" s="19" t="n">
        <v>0</v>
      </c>
      <c r="E319" s="19" t="n">
        <v>145.422872158229</v>
      </c>
      <c r="F319" s="19" t="n">
        <v>0</v>
      </c>
      <c r="G319" s="19" t="n">
        <v>0</v>
      </c>
      <c r="H319" s="19" t="n">
        <v>0</v>
      </c>
      <c r="I319" s="19" t="n">
        <v>0</v>
      </c>
      <c r="J319" s="19" t="n">
        <v>0</v>
      </c>
      <c r="K319" s="19" t="n">
        <v>0</v>
      </c>
      <c r="L319" s="19" t="n">
        <v>0</v>
      </c>
      <c r="M319" s="19" t="n">
        <v>0</v>
      </c>
      <c r="N319" s="19" t="n">
        <v>0</v>
      </c>
      <c r="O319" s="19" t="n">
        <v>0</v>
      </c>
      <c r="P319" s="19" t="n">
        <v>0</v>
      </c>
      <c r="Q319" s="19" t="n">
        <v>0</v>
      </c>
      <c r="R319" s="19" t="n">
        <v>0</v>
      </c>
      <c r="S319" s="19" t="n">
        <v>0</v>
      </c>
      <c r="T319" s="19" t="n">
        <v>0</v>
      </c>
      <c r="U319" s="19" t="n">
        <v>0</v>
      </c>
      <c r="V319" s="19" t="n">
        <v>0</v>
      </c>
      <c r="W319" s="19" t="n">
        <v>0</v>
      </c>
      <c r="X319" s="19" t="n">
        <v>0</v>
      </c>
      <c r="Y319" s="19" t="n">
        <v>0</v>
      </c>
      <c r="Z319" s="19" t="n">
        <v>0</v>
      </c>
      <c r="AA319" s="19" t="n">
        <v>0</v>
      </c>
      <c r="AB319" s="19" t="n">
        <v>0</v>
      </c>
      <c r="AC319" s="19" t="n">
        <v>0</v>
      </c>
      <c r="AD319" s="19" t="n">
        <v>0</v>
      </c>
      <c r="AE319" s="19" t="n">
        <v>0</v>
      </c>
      <c r="AF319" s="19" t="n">
        <v>0</v>
      </c>
      <c r="AG319" s="19" t="n">
        <v>0</v>
      </c>
      <c r="AH319" s="19" t="n">
        <v>0</v>
      </c>
      <c r="AI319" s="19" t="n">
        <v>0</v>
      </c>
      <c r="AJ319" s="19" t="n">
        <v>0</v>
      </c>
      <c r="AK319" s="19" t="n">
        <v>0</v>
      </c>
    </row>
    <row r="320" customFormat="false" ht="12.75" hidden="false" customHeight="false" outlineLevel="0" collapsed="false">
      <c r="C320" s="89" t="s">
        <v>116</v>
      </c>
      <c r="D320" s="19" t="n">
        <v>0</v>
      </c>
      <c r="E320" s="19" t="n">
        <v>0</v>
      </c>
      <c r="F320" s="19" t="n">
        <v>643.017347053155</v>
      </c>
      <c r="G320" s="19" t="n">
        <v>0</v>
      </c>
      <c r="H320" s="19" t="n">
        <v>0</v>
      </c>
      <c r="I320" s="19" t="n">
        <v>0</v>
      </c>
      <c r="J320" s="19" t="n">
        <v>0</v>
      </c>
      <c r="K320" s="19" t="n">
        <v>0</v>
      </c>
      <c r="L320" s="19" t="n">
        <v>0</v>
      </c>
      <c r="M320" s="19" t="n">
        <v>0</v>
      </c>
      <c r="N320" s="19" t="n">
        <v>0</v>
      </c>
      <c r="O320" s="19" t="n">
        <v>0</v>
      </c>
      <c r="P320" s="19" t="n">
        <v>0</v>
      </c>
      <c r="Q320" s="19" t="n">
        <v>0</v>
      </c>
      <c r="R320" s="19" t="n">
        <v>0</v>
      </c>
      <c r="S320" s="19" t="n">
        <v>0</v>
      </c>
      <c r="T320" s="19" t="n">
        <v>0</v>
      </c>
      <c r="U320" s="19" t="n">
        <v>0</v>
      </c>
      <c r="V320" s="19" t="n">
        <v>0</v>
      </c>
      <c r="W320" s="19" t="n">
        <v>0</v>
      </c>
      <c r="X320" s="19" t="n">
        <v>0</v>
      </c>
      <c r="Y320" s="19" t="n">
        <v>0</v>
      </c>
      <c r="Z320" s="19" t="n">
        <v>0</v>
      </c>
      <c r="AA320" s="19" t="n">
        <v>0</v>
      </c>
      <c r="AB320" s="19" t="n">
        <v>0</v>
      </c>
      <c r="AC320" s="19" t="n">
        <v>0</v>
      </c>
      <c r="AD320" s="19" t="n">
        <v>0</v>
      </c>
      <c r="AE320" s="19" t="n">
        <v>0</v>
      </c>
      <c r="AF320" s="19" t="n">
        <v>0</v>
      </c>
      <c r="AG320" s="19" t="n">
        <v>0</v>
      </c>
      <c r="AH320" s="19" t="n">
        <v>0</v>
      </c>
      <c r="AI320" s="19" t="n">
        <v>0</v>
      </c>
      <c r="AJ320" s="19" t="n">
        <v>0</v>
      </c>
      <c r="AK320" s="19" t="n">
        <v>0</v>
      </c>
    </row>
    <row r="321" customFormat="false" ht="12.75" hidden="false" customHeight="false" outlineLevel="0" collapsed="false">
      <c r="C321" s="89" t="s">
        <v>118</v>
      </c>
      <c r="D321" s="19" t="n">
        <v>0</v>
      </c>
      <c r="E321" s="19" t="n">
        <v>0</v>
      </c>
      <c r="F321" s="19" t="n">
        <v>0</v>
      </c>
      <c r="G321" s="19" t="n">
        <v>128.310833027281</v>
      </c>
      <c r="H321" s="19" t="n">
        <v>0</v>
      </c>
      <c r="I321" s="19" t="n">
        <v>0</v>
      </c>
      <c r="J321" s="19" t="n">
        <v>0</v>
      </c>
      <c r="K321" s="19" t="n">
        <v>0</v>
      </c>
      <c r="L321" s="19" t="n">
        <v>0</v>
      </c>
      <c r="M321" s="19" t="n">
        <v>0</v>
      </c>
      <c r="N321" s="19" t="n">
        <v>0</v>
      </c>
      <c r="O321" s="19" t="n">
        <v>0</v>
      </c>
      <c r="P321" s="19" t="n">
        <v>0</v>
      </c>
      <c r="Q321" s="19" t="n">
        <v>0</v>
      </c>
      <c r="R321" s="19" t="n">
        <v>0</v>
      </c>
      <c r="S321" s="19" t="n">
        <v>0</v>
      </c>
      <c r="T321" s="19" t="n">
        <v>0</v>
      </c>
      <c r="U321" s="19" t="n">
        <v>0</v>
      </c>
      <c r="V321" s="19" t="n">
        <v>0</v>
      </c>
      <c r="W321" s="19" t="n">
        <v>0</v>
      </c>
      <c r="X321" s="19" t="n">
        <v>0</v>
      </c>
      <c r="Y321" s="19" t="n">
        <v>0</v>
      </c>
      <c r="Z321" s="19" t="n">
        <v>0</v>
      </c>
      <c r="AA321" s="19" t="n">
        <v>0</v>
      </c>
      <c r="AB321" s="19" t="n">
        <v>0</v>
      </c>
      <c r="AC321" s="19" t="n">
        <v>0</v>
      </c>
      <c r="AD321" s="19" t="n">
        <v>0</v>
      </c>
      <c r="AE321" s="19" t="n">
        <v>0</v>
      </c>
      <c r="AF321" s="19" t="n">
        <v>0</v>
      </c>
      <c r="AG321" s="19" t="n">
        <v>0</v>
      </c>
      <c r="AH321" s="19" t="n">
        <v>0</v>
      </c>
      <c r="AI321" s="19" t="n">
        <v>0</v>
      </c>
      <c r="AJ321" s="19" t="n">
        <v>0</v>
      </c>
      <c r="AK321" s="19" t="n">
        <v>0</v>
      </c>
    </row>
    <row r="322" customFormat="false" ht="12.75" hidden="false" customHeight="false" outlineLevel="0" collapsed="false">
      <c r="C322" s="89" t="s">
        <v>120</v>
      </c>
      <c r="D322" s="19" t="n">
        <v>0</v>
      </c>
      <c r="E322" s="19" t="n">
        <v>0</v>
      </c>
      <c r="F322" s="19" t="n">
        <v>0</v>
      </c>
      <c r="G322" s="19" t="n">
        <v>0</v>
      </c>
      <c r="H322" s="19" t="n">
        <v>13.5955055154479</v>
      </c>
      <c r="I322" s="19" t="n">
        <v>0</v>
      </c>
      <c r="J322" s="19" t="n">
        <v>0</v>
      </c>
      <c r="K322" s="19" t="n">
        <v>0</v>
      </c>
      <c r="L322" s="19" t="n">
        <v>0</v>
      </c>
      <c r="M322" s="19" t="n">
        <v>0</v>
      </c>
      <c r="N322" s="19" t="n">
        <v>0</v>
      </c>
      <c r="O322" s="19" t="n">
        <v>0</v>
      </c>
      <c r="P322" s="19" t="n">
        <v>0</v>
      </c>
      <c r="Q322" s="19" t="n">
        <v>0</v>
      </c>
      <c r="R322" s="19" t="n">
        <v>0</v>
      </c>
      <c r="S322" s="19" t="n">
        <v>0</v>
      </c>
      <c r="T322" s="19" t="n">
        <v>0</v>
      </c>
      <c r="U322" s="19" t="n">
        <v>0</v>
      </c>
      <c r="V322" s="19" t="n">
        <v>0</v>
      </c>
      <c r="W322" s="19" t="n">
        <v>0</v>
      </c>
      <c r="X322" s="19" t="n">
        <v>0</v>
      </c>
      <c r="Y322" s="19" t="n">
        <v>0</v>
      </c>
      <c r="Z322" s="19" t="n">
        <v>0</v>
      </c>
      <c r="AA322" s="19" t="n">
        <v>0</v>
      </c>
      <c r="AB322" s="19" t="n">
        <v>0</v>
      </c>
      <c r="AC322" s="19" t="n">
        <v>0</v>
      </c>
      <c r="AD322" s="19" t="n">
        <v>0</v>
      </c>
      <c r="AE322" s="19" t="n">
        <v>0</v>
      </c>
      <c r="AF322" s="19" t="n">
        <v>0</v>
      </c>
      <c r="AG322" s="19" t="n">
        <v>0</v>
      </c>
      <c r="AH322" s="19" t="n">
        <v>0</v>
      </c>
      <c r="AI322" s="19" t="n">
        <v>0</v>
      </c>
      <c r="AJ322" s="19" t="n">
        <v>0</v>
      </c>
      <c r="AK322" s="19" t="n">
        <v>0</v>
      </c>
    </row>
    <row r="323" customFormat="false" ht="12.75" hidden="false" customHeight="false" outlineLevel="0" collapsed="false">
      <c r="C323" s="89" t="s">
        <v>122</v>
      </c>
      <c r="D323" s="19" t="n">
        <v>0</v>
      </c>
      <c r="E323" s="19" t="n">
        <v>0</v>
      </c>
      <c r="F323" s="19" t="n">
        <v>0</v>
      </c>
      <c r="G323" s="19" t="n">
        <v>0</v>
      </c>
      <c r="H323" s="19" t="n">
        <v>0</v>
      </c>
      <c r="I323" s="19" t="n">
        <v>3.94979319001252</v>
      </c>
      <c r="J323" s="19" t="n">
        <v>0</v>
      </c>
      <c r="K323" s="19" t="n">
        <v>0</v>
      </c>
      <c r="L323" s="19" t="n">
        <v>0</v>
      </c>
      <c r="M323" s="19" t="n">
        <v>0</v>
      </c>
      <c r="N323" s="19" t="n">
        <v>0</v>
      </c>
      <c r="O323" s="19" t="n">
        <v>0</v>
      </c>
      <c r="P323" s="19" t="n">
        <v>0</v>
      </c>
      <c r="Q323" s="19" t="n">
        <v>0</v>
      </c>
      <c r="R323" s="19" t="n">
        <v>0</v>
      </c>
      <c r="S323" s="19" t="n">
        <v>0</v>
      </c>
      <c r="T323" s="19" t="n">
        <v>0</v>
      </c>
      <c r="U323" s="19" t="n">
        <v>0</v>
      </c>
      <c r="V323" s="19" t="n">
        <v>0</v>
      </c>
      <c r="W323" s="19" t="n">
        <v>0</v>
      </c>
      <c r="X323" s="19" t="n">
        <v>0</v>
      </c>
      <c r="Y323" s="19" t="n">
        <v>0</v>
      </c>
      <c r="Z323" s="19" t="n">
        <v>0</v>
      </c>
      <c r="AA323" s="19" t="n">
        <v>0</v>
      </c>
      <c r="AB323" s="19" t="n">
        <v>0</v>
      </c>
      <c r="AC323" s="19" t="n">
        <v>0</v>
      </c>
      <c r="AD323" s="19" t="n">
        <v>0</v>
      </c>
      <c r="AE323" s="19" t="n">
        <v>0</v>
      </c>
      <c r="AF323" s="19" t="n">
        <v>0</v>
      </c>
      <c r="AG323" s="19" t="n">
        <v>0</v>
      </c>
      <c r="AH323" s="19" t="n">
        <v>0</v>
      </c>
      <c r="AI323" s="19" t="n">
        <v>0</v>
      </c>
      <c r="AJ323" s="19" t="n">
        <v>0</v>
      </c>
      <c r="AK323" s="19" t="n">
        <v>0</v>
      </c>
    </row>
    <row r="324" customFormat="false" ht="12.75" hidden="false" customHeight="false" outlineLevel="0" collapsed="false">
      <c r="C324" s="89" t="s">
        <v>124</v>
      </c>
      <c r="D324" s="19" t="n">
        <v>0</v>
      </c>
      <c r="E324" s="19" t="n">
        <v>0</v>
      </c>
      <c r="F324" s="19" t="n">
        <v>0</v>
      </c>
      <c r="G324" s="19" t="n">
        <v>0</v>
      </c>
      <c r="H324" s="19" t="n">
        <v>0</v>
      </c>
      <c r="I324" s="19" t="n">
        <v>0</v>
      </c>
      <c r="J324" s="19" t="n">
        <v>39.4799360146423</v>
      </c>
      <c r="K324" s="19" t="n">
        <v>0</v>
      </c>
      <c r="L324" s="19" t="n">
        <v>0</v>
      </c>
      <c r="M324" s="19" t="n">
        <v>0</v>
      </c>
      <c r="N324" s="19" t="n">
        <v>0</v>
      </c>
      <c r="O324" s="19" t="n">
        <v>0</v>
      </c>
      <c r="P324" s="19" t="n">
        <v>0</v>
      </c>
      <c r="Q324" s="19" t="n">
        <v>0</v>
      </c>
      <c r="R324" s="19" t="n">
        <v>0</v>
      </c>
      <c r="S324" s="19" t="n">
        <v>0</v>
      </c>
      <c r="T324" s="19" t="n">
        <v>0</v>
      </c>
      <c r="U324" s="19" t="n">
        <v>0</v>
      </c>
      <c r="V324" s="19" t="n">
        <v>0</v>
      </c>
      <c r="W324" s="19" t="n">
        <v>0</v>
      </c>
      <c r="X324" s="19" t="n">
        <v>0</v>
      </c>
      <c r="Y324" s="19" t="n">
        <v>0</v>
      </c>
      <c r="Z324" s="19" t="n">
        <v>0</v>
      </c>
      <c r="AA324" s="19" t="n">
        <v>0</v>
      </c>
      <c r="AB324" s="19" t="n">
        <v>0</v>
      </c>
      <c r="AC324" s="19" t="n">
        <v>0</v>
      </c>
      <c r="AD324" s="19" t="n">
        <v>0</v>
      </c>
      <c r="AE324" s="19" t="n">
        <v>0</v>
      </c>
      <c r="AF324" s="19" t="n">
        <v>0</v>
      </c>
      <c r="AG324" s="19" t="n">
        <v>0</v>
      </c>
      <c r="AH324" s="19" t="n">
        <v>0</v>
      </c>
      <c r="AI324" s="19" t="n">
        <v>0</v>
      </c>
      <c r="AJ324" s="19" t="n">
        <v>0</v>
      </c>
      <c r="AK324" s="19" t="n">
        <v>0</v>
      </c>
    </row>
    <row r="325" customFormat="false" ht="12.75" hidden="false" customHeight="false" outlineLevel="0" collapsed="false">
      <c r="C325" s="89" t="s">
        <v>126</v>
      </c>
      <c r="D325" s="19" t="n">
        <v>0</v>
      </c>
      <c r="E325" s="19" t="n">
        <v>0</v>
      </c>
      <c r="F325" s="19" t="n">
        <v>0</v>
      </c>
      <c r="G325" s="19" t="n">
        <v>0</v>
      </c>
      <c r="H325" s="19" t="n">
        <v>0</v>
      </c>
      <c r="I325" s="19" t="n">
        <v>0</v>
      </c>
      <c r="J325" s="19" t="n">
        <v>0</v>
      </c>
      <c r="K325" s="19" t="n">
        <v>84.7071587579276</v>
      </c>
      <c r="L325" s="19" t="n">
        <v>0</v>
      </c>
      <c r="M325" s="19" t="n">
        <v>0</v>
      </c>
      <c r="N325" s="19" t="n">
        <v>0</v>
      </c>
      <c r="O325" s="19" t="n">
        <v>0</v>
      </c>
      <c r="P325" s="19" t="n">
        <v>0</v>
      </c>
      <c r="Q325" s="19" t="n">
        <v>0</v>
      </c>
      <c r="R325" s="19" t="n">
        <v>0</v>
      </c>
      <c r="S325" s="19" t="n">
        <v>0</v>
      </c>
      <c r="T325" s="19" t="n">
        <v>0</v>
      </c>
      <c r="U325" s="19" t="n">
        <v>0</v>
      </c>
      <c r="V325" s="19" t="n">
        <v>0</v>
      </c>
      <c r="W325" s="19" t="n">
        <v>0</v>
      </c>
      <c r="X325" s="19" t="n">
        <v>0</v>
      </c>
      <c r="Y325" s="19" t="n">
        <v>0</v>
      </c>
      <c r="Z325" s="19" t="n">
        <v>0</v>
      </c>
      <c r="AA325" s="19" t="n">
        <v>0</v>
      </c>
      <c r="AB325" s="19" t="n">
        <v>0</v>
      </c>
      <c r="AC325" s="19" t="n">
        <v>0</v>
      </c>
      <c r="AD325" s="19" t="n">
        <v>0</v>
      </c>
      <c r="AE325" s="19" t="n">
        <v>0</v>
      </c>
      <c r="AF325" s="19" t="n">
        <v>0</v>
      </c>
      <c r="AG325" s="19" t="n">
        <v>0</v>
      </c>
      <c r="AH325" s="19" t="n">
        <v>0</v>
      </c>
      <c r="AI325" s="19" t="n">
        <v>0</v>
      </c>
      <c r="AJ325" s="19" t="n">
        <v>0</v>
      </c>
      <c r="AK325" s="19" t="n">
        <v>0</v>
      </c>
    </row>
    <row r="326" customFormat="false" ht="12.75" hidden="false" customHeight="false" outlineLevel="0" collapsed="false">
      <c r="C326" s="89" t="s">
        <v>128</v>
      </c>
      <c r="D326" s="19" t="n">
        <v>0</v>
      </c>
      <c r="E326" s="19" t="n">
        <v>0</v>
      </c>
      <c r="F326" s="19" t="n">
        <v>0</v>
      </c>
      <c r="G326" s="19" t="n">
        <v>0</v>
      </c>
      <c r="H326" s="19" t="n">
        <v>0</v>
      </c>
      <c r="I326" s="19" t="n">
        <v>0</v>
      </c>
      <c r="J326" s="19" t="n">
        <v>0</v>
      </c>
      <c r="K326" s="19" t="n">
        <v>0</v>
      </c>
      <c r="L326" s="19" t="n">
        <v>39.1479757064034</v>
      </c>
      <c r="M326" s="19" t="n">
        <v>0</v>
      </c>
      <c r="N326" s="19" t="n">
        <v>0</v>
      </c>
      <c r="O326" s="19" t="n">
        <v>0</v>
      </c>
      <c r="P326" s="19" t="n">
        <v>0</v>
      </c>
      <c r="Q326" s="19" t="n">
        <v>0</v>
      </c>
      <c r="R326" s="19" t="n">
        <v>0</v>
      </c>
      <c r="S326" s="19" t="n">
        <v>0</v>
      </c>
      <c r="T326" s="19" t="n">
        <v>0</v>
      </c>
      <c r="U326" s="19" t="n">
        <v>0</v>
      </c>
      <c r="V326" s="19" t="n">
        <v>0</v>
      </c>
      <c r="W326" s="19" t="n">
        <v>0</v>
      </c>
      <c r="X326" s="19" t="n">
        <v>0</v>
      </c>
      <c r="Y326" s="19" t="n">
        <v>0</v>
      </c>
      <c r="Z326" s="19" t="n">
        <v>0</v>
      </c>
      <c r="AA326" s="19" t="n">
        <v>0</v>
      </c>
      <c r="AB326" s="19" t="n">
        <v>0</v>
      </c>
      <c r="AC326" s="19" t="n">
        <v>0</v>
      </c>
      <c r="AD326" s="19" t="n">
        <v>0</v>
      </c>
      <c r="AE326" s="19" t="n">
        <v>0</v>
      </c>
      <c r="AF326" s="19" t="n">
        <v>0</v>
      </c>
      <c r="AG326" s="19" t="n">
        <v>0</v>
      </c>
      <c r="AH326" s="19" t="n">
        <v>0</v>
      </c>
      <c r="AI326" s="19" t="n">
        <v>0</v>
      </c>
      <c r="AJ326" s="19" t="n">
        <v>0</v>
      </c>
      <c r="AK326" s="19" t="n">
        <v>0</v>
      </c>
    </row>
    <row r="327" customFormat="false" ht="12.75" hidden="false" customHeight="false" outlineLevel="0" collapsed="false">
      <c r="C327" s="89" t="s">
        <v>130</v>
      </c>
      <c r="D327" s="19" t="n">
        <v>0</v>
      </c>
      <c r="E327" s="19" t="n">
        <v>0</v>
      </c>
      <c r="F327" s="19" t="n">
        <v>0</v>
      </c>
      <c r="G327" s="19" t="n">
        <v>0</v>
      </c>
      <c r="H327" s="19" t="n">
        <v>0</v>
      </c>
      <c r="I327" s="19" t="n">
        <v>0</v>
      </c>
      <c r="J327" s="19" t="n">
        <v>0</v>
      </c>
      <c r="K327" s="19" t="n">
        <v>0</v>
      </c>
      <c r="L327" s="19" t="n">
        <v>0</v>
      </c>
      <c r="M327" s="19" t="n">
        <v>76.3398252371585</v>
      </c>
      <c r="N327" s="19" t="n">
        <v>0</v>
      </c>
      <c r="O327" s="19" t="n">
        <v>0</v>
      </c>
      <c r="P327" s="19" t="n">
        <v>0</v>
      </c>
      <c r="Q327" s="19" t="n">
        <v>0</v>
      </c>
      <c r="R327" s="19" t="n">
        <v>0</v>
      </c>
      <c r="S327" s="19" t="n">
        <v>0</v>
      </c>
      <c r="T327" s="19" t="n">
        <v>0</v>
      </c>
      <c r="U327" s="19" t="n">
        <v>0</v>
      </c>
      <c r="V327" s="19" t="n">
        <v>0</v>
      </c>
      <c r="W327" s="19" t="n">
        <v>0</v>
      </c>
      <c r="X327" s="19" t="n">
        <v>0</v>
      </c>
      <c r="Y327" s="19" t="n">
        <v>0</v>
      </c>
      <c r="Z327" s="19" t="n">
        <v>0</v>
      </c>
      <c r="AA327" s="19" t="n">
        <v>0</v>
      </c>
      <c r="AB327" s="19" t="n">
        <v>0</v>
      </c>
      <c r="AC327" s="19" t="n">
        <v>0</v>
      </c>
      <c r="AD327" s="19" t="n">
        <v>0</v>
      </c>
      <c r="AE327" s="19" t="n">
        <v>0</v>
      </c>
      <c r="AF327" s="19" t="n">
        <v>0</v>
      </c>
      <c r="AG327" s="19" t="n">
        <v>0</v>
      </c>
      <c r="AH327" s="19" t="n">
        <v>0</v>
      </c>
      <c r="AI327" s="19" t="n">
        <v>0</v>
      </c>
      <c r="AJ327" s="19" t="n">
        <v>0</v>
      </c>
      <c r="AK327" s="19" t="n">
        <v>0</v>
      </c>
    </row>
    <row r="328" customFormat="false" ht="12.75" hidden="false" customHeight="false" outlineLevel="0" collapsed="false">
      <c r="C328" s="89" t="s">
        <v>132</v>
      </c>
      <c r="D328" s="19" t="n">
        <v>0</v>
      </c>
      <c r="E328" s="19" t="n">
        <v>0</v>
      </c>
      <c r="F328" s="19" t="n">
        <v>0</v>
      </c>
      <c r="G328" s="19" t="n">
        <v>0</v>
      </c>
      <c r="H328" s="19" t="n">
        <v>0</v>
      </c>
      <c r="I328" s="19" t="n">
        <v>0</v>
      </c>
      <c r="J328" s="19" t="n">
        <v>0</v>
      </c>
      <c r="K328" s="19" t="n">
        <v>0</v>
      </c>
      <c r="L328" s="19" t="n">
        <v>0</v>
      </c>
      <c r="M328" s="19" t="n">
        <v>0</v>
      </c>
      <c r="N328" s="19" t="n">
        <v>280.288642049449</v>
      </c>
      <c r="O328" s="19" t="n">
        <v>0</v>
      </c>
      <c r="P328" s="19" t="n">
        <v>0</v>
      </c>
      <c r="Q328" s="19" t="n">
        <v>0</v>
      </c>
      <c r="R328" s="19" t="n">
        <v>0</v>
      </c>
      <c r="S328" s="19" t="n">
        <v>0</v>
      </c>
      <c r="T328" s="19" t="n">
        <v>0</v>
      </c>
      <c r="U328" s="19" t="n">
        <v>0</v>
      </c>
      <c r="V328" s="19" t="n">
        <v>0</v>
      </c>
      <c r="W328" s="19" t="n">
        <v>0</v>
      </c>
      <c r="X328" s="19" t="n">
        <v>0</v>
      </c>
      <c r="Y328" s="19" t="n">
        <v>0</v>
      </c>
      <c r="Z328" s="19" t="n">
        <v>0</v>
      </c>
      <c r="AA328" s="19" t="n">
        <v>0</v>
      </c>
      <c r="AB328" s="19" t="n">
        <v>0</v>
      </c>
      <c r="AC328" s="19" t="n">
        <v>0</v>
      </c>
      <c r="AD328" s="19" t="n">
        <v>0</v>
      </c>
      <c r="AE328" s="19" t="n">
        <v>0</v>
      </c>
      <c r="AF328" s="19" t="n">
        <v>0</v>
      </c>
      <c r="AG328" s="19" t="n">
        <v>0</v>
      </c>
      <c r="AH328" s="19" t="n">
        <v>0</v>
      </c>
      <c r="AI328" s="19" t="n">
        <v>0</v>
      </c>
      <c r="AJ328" s="19" t="n">
        <v>0</v>
      </c>
      <c r="AK328" s="19" t="n">
        <v>0</v>
      </c>
    </row>
    <row r="329" customFormat="false" ht="12.75" hidden="false" customHeight="false" outlineLevel="0" collapsed="false">
      <c r="C329" s="89" t="s">
        <v>134</v>
      </c>
      <c r="D329" s="19" t="n">
        <v>0</v>
      </c>
      <c r="E329" s="19" t="n">
        <v>0</v>
      </c>
      <c r="F329" s="19" t="n">
        <v>0</v>
      </c>
      <c r="G329" s="19" t="n">
        <v>0</v>
      </c>
      <c r="H329" s="19" t="n">
        <v>0</v>
      </c>
      <c r="I329" s="19" t="n">
        <v>0</v>
      </c>
      <c r="J329" s="19" t="n">
        <v>0</v>
      </c>
      <c r="K329" s="19" t="n">
        <v>0</v>
      </c>
      <c r="L329" s="19" t="n">
        <v>0</v>
      </c>
      <c r="M329" s="19" t="n">
        <v>0</v>
      </c>
      <c r="N329" s="19" t="n">
        <v>0</v>
      </c>
      <c r="O329" s="19" t="n">
        <v>1728.39041924994</v>
      </c>
      <c r="P329" s="19" t="n">
        <v>0</v>
      </c>
      <c r="Q329" s="19" t="n">
        <v>0</v>
      </c>
      <c r="R329" s="19" t="n">
        <v>0</v>
      </c>
      <c r="S329" s="19" t="n">
        <v>0</v>
      </c>
      <c r="T329" s="19" t="n">
        <v>0</v>
      </c>
      <c r="U329" s="19" t="n">
        <v>0</v>
      </c>
      <c r="V329" s="19" t="n">
        <v>0</v>
      </c>
      <c r="W329" s="19" t="n">
        <v>0</v>
      </c>
      <c r="X329" s="19" t="n">
        <v>0</v>
      </c>
      <c r="Y329" s="19" t="n">
        <v>0</v>
      </c>
      <c r="Z329" s="19" t="n">
        <v>0</v>
      </c>
      <c r="AA329" s="19" t="n">
        <v>0</v>
      </c>
      <c r="AB329" s="19" t="n">
        <v>0</v>
      </c>
      <c r="AC329" s="19" t="n">
        <v>0</v>
      </c>
      <c r="AD329" s="19" t="n">
        <v>0</v>
      </c>
      <c r="AE329" s="19" t="n">
        <v>0</v>
      </c>
      <c r="AF329" s="19" t="n">
        <v>0</v>
      </c>
      <c r="AG329" s="19" t="n">
        <v>0</v>
      </c>
      <c r="AH329" s="19" t="n">
        <v>0</v>
      </c>
      <c r="AI329" s="19" t="n">
        <v>0</v>
      </c>
      <c r="AJ329" s="19" t="n">
        <v>0</v>
      </c>
      <c r="AK329" s="19" t="n">
        <v>0</v>
      </c>
    </row>
    <row r="330" customFormat="false" ht="12.75" hidden="false" customHeight="false" outlineLevel="0" collapsed="false">
      <c r="C330" s="89" t="s">
        <v>136</v>
      </c>
      <c r="D330" s="19" t="n">
        <v>0</v>
      </c>
      <c r="E330" s="19" t="n">
        <v>0</v>
      </c>
      <c r="F330" s="19" t="n">
        <v>0</v>
      </c>
      <c r="G330" s="19" t="n">
        <v>0</v>
      </c>
      <c r="H330" s="19" t="n">
        <v>0</v>
      </c>
      <c r="I330" s="19" t="n">
        <v>0</v>
      </c>
      <c r="J330" s="19" t="n">
        <v>0</v>
      </c>
      <c r="K330" s="19" t="n">
        <v>0</v>
      </c>
      <c r="L330" s="19" t="n">
        <v>0</v>
      </c>
      <c r="M330" s="19" t="n">
        <v>0</v>
      </c>
      <c r="N330" s="19" t="n">
        <v>0</v>
      </c>
      <c r="O330" s="19" t="n">
        <v>0</v>
      </c>
      <c r="P330" s="19" t="n">
        <v>34.1982624604363</v>
      </c>
      <c r="Q330" s="19" t="n">
        <v>0</v>
      </c>
      <c r="R330" s="19" t="n">
        <v>0</v>
      </c>
      <c r="S330" s="19" t="n">
        <v>0</v>
      </c>
      <c r="T330" s="19" t="n">
        <v>0</v>
      </c>
      <c r="U330" s="19" t="n">
        <v>0</v>
      </c>
      <c r="V330" s="19" t="n">
        <v>0</v>
      </c>
      <c r="W330" s="19" t="n">
        <v>0</v>
      </c>
      <c r="X330" s="19" t="n">
        <v>0</v>
      </c>
      <c r="Y330" s="19" t="n">
        <v>0</v>
      </c>
      <c r="Z330" s="19" t="n">
        <v>0</v>
      </c>
      <c r="AA330" s="19" t="n">
        <v>0</v>
      </c>
      <c r="AB330" s="19" t="n">
        <v>0</v>
      </c>
      <c r="AC330" s="19" t="n">
        <v>0</v>
      </c>
      <c r="AD330" s="19" t="n">
        <v>0</v>
      </c>
      <c r="AE330" s="19" t="n">
        <v>0</v>
      </c>
      <c r="AF330" s="19" t="n">
        <v>0</v>
      </c>
      <c r="AG330" s="19" t="n">
        <v>0</v>
      </c>
      <c r="AH330" s="19" t="n">
        <v>0</v>
      </c>
      <c r="AI330" s="19" t="n">
        <v>0</v>
      </c>
      <c r="AJ330" s="19" t="n">
        <v>0</v>
      </c>
      <c r="AK330" s="19" t="n">
        <v>0</v>
      </c>
    </row>
    <row r="331" customFormat="false" ht="12.75" hidden="false" customHeight="false" outlineLevel="0" collapsed="false">
      <c r="C331" s="89" t="s">
        <v>138</v>
      </c>
      <c r="D331" s="19" t="n">
        <v>0</v>
      </c>
      <c r="E331" s="19" t="n">
        <v>0</v>
      </c>
      <c r="F331" s="19" t="n">
        <v>0</v>
      </c>
      <c r="G331" s="19" t="n">
        <v>0</v>
      </c>
      <c r="H331" s="19" t="n">
        <v>0</v>
      </c>
      <c r="I331" s="19" t="n">
        <v>0</v>
      </c>
      <c r="J331" s="19" t="n">
        <v>0</v>
      </c>
      <c r="K331" s="19" t="n">
        <v>0</v>
      </c>
      <c r="L331" s="19" t="n">
        <v>0</v>
      </c>
      <c r="M331" s="19" t="n">
        <v>0</v>
      </c>
      <c r="N331" s="19" t="n">
        <v>0</v>
      </c>
      <c r="O331" s="19" t="n">
        <v>0</v>
      </c>
      <c r="P331" s="19" t="n">
        <v>0</v>
      </c>
      <c r="Q331" s="19" t="n">
        <v>7.82718795537345</v>
      </c>
      <c r="R331" s="19" t="n">
        <v>0</v>
      </c>
      <c r="S331" s="19" t="n">
        <v>0</v>
      </c>
      <c r="T331" s="19" t="n">
        <v>0</v>
      </c>
      <c r="U331" s="19" t="n">
        <v>0</v>
      </c>
      <c r="V331" s="19" t="n">
        <v>0</v>
      </c>
      <c r="W331" s="19" t="n">
        <v>0</v>
      </c>
      <c r="X331" s="19" t="n">
        <v>0</v>
      </c>
      <c r="Y331" s="19" t="n">
        <v>0</v>
      </c>
      <c r="Z331" s="19" t="n">
        <v>0</v>
      </c>
      <c r="AA331" s="19" t="n">
        <v>0</v>
      </c>
      <c r="AB331" s="19" t="n">
        <v>0</v>
      </c>
      <c r="AC331" s="19" t="n">
        <v>0</v>
      </c>
      <c r="AD331" s="19" t="n">
        <v>0</v>
      </c>
      <c r="AE331" s="19" t="n">
        <v>0</v>
      </c>
      <c r="AF331" s="19" t="n">
        <v>0</v>
      </c>
      <c r="AG331" s="19" t="n">
        <v>0</v>
      </c>
      <c r="AH331" s="19" t="n">
        <v>0</v>
      </c>
      <c r="AI331" s="19" t="n">
        <v>0</v>
      </c>
      <c r="AJ331" s="19" t="n">
        <v>0</v>
      </c>
      <c r="AK331" s="19" t="n">
        <v>0</v>
      </c>
    </row>
    <row r="332" customFormat="false" ht="12.75" hidden="false" customHeight="false" outlineLevel="0" collapsed="false">
      <c r="C332" s="89" t="s">
        <v>140</v>
      </c>
      <c r="D332" s="19" t="n">
        <v>0</v>
      </c>
      <c r="E332" s="19" t="n">
        <v>0</v>
      </c>
      <c r="F332" s="19" t="n">
        <v>0</v>
      </c>
      <c r="G332" s="19" t="n">
        <v>0</v>
      </c>
      <c r="H332" s="19" t="n">
        <v>0</v>
      </c>
      <c r="I332" s="19" t="n">
        <v>0</v>
      </c>
      <c r="J332" s="19" t="n">
        <v>0</v>
      </c>
      <c r="K332" s="19" t="n">
        <v>0</v>
      </c>
      <c r="L332" s="19" t="n">
        <v>0</v>
      </c>
      <c r="M332" s="19" t="n">
        <v>0</v>
      </c>
      <c r="N332" s="19" t="n">
        <v>0</v>
      </c>
      <c r="O332" s="19" t="n">
        <v>0</v>
      </c>
      <c r="P332" s="19" t="n">
        <v>0</v>
      </c>
      <c r="Q332" s="19" t="n">
        <v>0</v>
      </c>
      <c r="R332" s="19" t="n">
        <v>19.9374450921555</v>
      </c>
      <c r="S332" s="19" t="n">
        <v>0</v>
      </c>
      <c r="T332" s="19" t="n">
        <v>0</v>
      </c>
      <c r="U332" s="19" t="n">
        <v>0</v>
      </c>
      <c r="V332" s="19" t="n">
        <v>0</v>
      </c>
      <c r="W332" s="19" t="n">
        <v>0</v>
      </c>
      <c r="X332" s="19" t="n">
        <v>0</v>
      </c>
      <c r="Y332" s="19" t="n">
        <v>0</v>
      </c>
      <c r="Z332" s="19" t="n">
        <v>0</v>
      </c>
      <c r="AA332" s="19" t="n">
        <v>0</v>
      </c>
      <c r="AB332" s="19" t="n">
        <v>0</v>
      </c>
      <c r="AC332" s="19" t="n">
        <v>0</v>
      </c>
      <c r="AD332" s="19" t="n">
        <v>0</v>
      </c>
      <c r="AE332" s="19" t="n">
        <v>0</v>
      </c>
      <c r="AF332" s="19" t="n">
        <v>0</v>
      </c>
      <c r="AG332" s="19" t="n">
        <v>0</v>
      </c>
      <c r="AH332" s="19" t="n">
        <v>0</v>
      </c>
      <c r="AI332" s="19" t="n">
        <v>0</v>
      </c>
      <c r="AJ332" s="19" t="n">
        <v>0</v>
      </c>
      <c r="AK332" s="19" t="n">
        <v>0</v>
      </c>
    </row>
    <row r="333" customFormat="false" ht="12.75" hidden="false" customHeight="false" outlineLevel="0" collapsed="false">
      <c r="C333" s="89" t="s">
        <v>142</v>
      </c>
      <c r="D333" s="19" t="n">
        <v>0</v>
      </c>
      <c r="E333" s="19" t="n">
        <v>0</v>
      </c>
      <c r="F333" s="19" t="n">
        <v>0</v>
      </c>
      <c r="G333" s="19" t="n">
        <v>0</v>
      </c>
      <c r="H333" s="19" t="n">
        <v>0</v>
      </c>
      <c r="I333" s="19" t="n">
        <v>0</v>
      </c>
      <c r="J333" s="19" t="n">
        <v>0</v>
      </c>
      <c r="K333" s="19" t="n">
        <v>0</v>
      </c>
      <c r="L333" s="19" t="n">
        <v>0</v>
      </c>
      <c r="M333" s="19" t="n">
        <v>0</v>
      </c>
      <c r="N333" s="19" t="n">
        <v>0</v>
      </c>
      <c r="O333" s="19" t="n">
        <v>0</v>
      </c>
      <c r="P333" s="19" t="n">
        <v>0</v>
      </c>
      <c r="Q333" s="19" t="n">
        <v>0</v>
      </c>
      <c r="R333" s="19" t="n">
        <v>0</v>
      </c>
      <c r="S333" s="19" t="n">
        <v>28.1473996637378</v>
      </c>
      <c r="T333" s="19" t="n">
        <v>0</v>
      </c>
      <c r="U333" s="19" t="n">
        <v>0</v>
      </c>
      <c r="V333" s="19" t="n">
        <v>0</v>
      </c>
      <c r="W333" s="19" t="n">
        <v>0</v>
      </c>
      <c r="X333" s="19" t="n">
        <v>0</v>
      </c>
      <c r="Y333" s="19" t="n">
        <v>0</v>
      </c>
      <c r="Z333" s="19" t="n">
        <v>0</v>
      </c>
      <c r="AA333" s="19" t="n">
        <v>0</v>
      </c>
      <c r="AB333" s="19" t="n">
        <v>0</v>
      </c>
      <c r="AC333" s="19" t="n">
        <v>0</v>
      </c>
      <c r="AD333" s="19" t="n">
        <v>0</v>
      </c>
      <c r="AE333" s="19" t="n">
        <v>0</v>
      </c>
      <c r="AF333" s="19" t="n">
        <v>0</v>
      </c>
      <c r="AG333" s="19" t="n">
        <v>0</v>
      </c>
      <c r="AH333" s="19" t="n">
        <v>0</v>
      </c>
      <c r="AI333" s="19" t="n">
        <v>0</v>
      </c>
      <c r="AJ333" s="19" t="n">
        <v>0</v>
      </c>
      <c r="AK333" s="19" t="n">
        <v>0</v>
      </c>
    </row>
    <row r="334" customFormat="false" ht="12.75" hidden="false" customHeight="false" outlineLevel="0" collapsed="false">
      <c r="C334" s="89" t="s">
        <v>144</v>
      </c>
      <c r="D334" s="19" t="n">
        <v>0</v>
      </c>
      <c r="E334" s="19" t="n">
        <v>0</v>
      </c>
      <c r="F334" s="19" t="n">
        <v>0</v>
      </c>
      <c r="G334" s="19" t="n">
        <v>0</v>
      </c>
      <c r="H334" s="19" t="n">
        <v>0</v>
      </c>
      <c r="I334" s="19" t="n">
        <v>0</v>
      </c>
      <c r="J334" s="19" t="n">
        <v>0</v>
      </c>
      <c r="K334" s="19" t="n">
        <v>0</v>
      </c>
      <c r="L334" s="19" t="n">
        <v>0</v>
      </c>
      <c r="M334" s="19" t="n">
        <v>0</v>
      </c>
      <c r="N334" s="19" t="n">
        <v>0</v>
      </c>
      <c r="O334" s="19" t="n">
        <v>0</v>
      </c>
      <c r="P334" s="19" t="n">
        <v>0</v>
      </c>
      <c r="Q334" s="19" t="n">
        <v>0</v>
      </c>
      <c r="R334" s="19" t="n">
        <v>0</v>
      </c>
      <c r="S334" s="19" t="n">
        <v>0</v>
      </c>
      <c r="T334" s="19" t="n">
        <v>358.57144050723</v>
      </c>
      <c r="U334" s="19" t="n">
        <v>0</v>
      </c>
      <c r="V334" s="19" t="n">
        <v>0</v>
      </c>
      <c r="W334" s="19" t="n">
        <v>0</v>
      </c>
      <c r="X334" s="19" t="n">
        <v>0</v>
      </c>
      <c r="Y334" s="19" t="n">
        <v>0</v>
      </c>
      <c r="Z334" s="19" t="n">
        <v>0</v>
      </c>
      <c r="AA334" s="19" t="n">
        <v>0</v>
      </c>
      <c r="AB334" s="19" t="n">
        <v>0</v>
      </c>
      <c r="AC334" s="19" t="n">
        <v>0</v>
      </c>
      <c r="AD334" s="19" t="n">
        <v>0</v>
      </c>
      <c r="AE334" s="19" t="n">
        <v>0</v>
      </c>
      <c r="AF334" s="19" t="n">
        <v>0</v>
      </c>
      <c r="AG334" s="19" t="n">
        <v>0</v>
      </c>
      <c r="AH334" s="19" t="n">
        <v>0</v>
      </c>
      <c r="AI334" s="19" t="n">
        <v>0</v>
      </c>
      <c r="AJ334" s="19" t="n">
        <v>0</v>
      </c>
      <c r="AK334" s="19" t="n">
        <v>0</v>
      </c>
    </row>
    <row r="335" customFormat="false" ht="12.75" hidden="false" customHeight="false" outlineLevel="0" collapsed="false">
      <c r="C335" s="89" t="s">
        <v>146</v>
      </c>
      <c r="D335" s="19" t="n">
        <v>0</v>
      </c>
      <c r="E335" s="19" t="n">
        <v>0</v>
      </c>
      <c r="F335" s="19" t="n">
        <v>0</v>
      </c>
      <c r="G335" s="19" t="n">
        <v>0</v>
      </c>
      <c r="H335" s="19" t="n">
        <v>0</v>
      </c>
      <c r="I335" s="19" t="n">
        <v>0</v>
      </c>
      <c r="J335" s="19" t="n">
        <v>0</v>
      </c>
      <c r="K335" s="19" t="n">
        <v>0</v>
      </c>
      <c r="L335" s="19" t="n">
        <v>0</v>
      </c>
      <c r="M335" s="19" t="n">
        <v>0</v>
      </c>
      <c r="N335" s="19" t="n">
        <v>0</v>
      </c>
      <c r="O335" s="19" t="n">
        <v>0</v>
      </c>
      <c r="P335" s="19" t="n">
        <v>0</v>
      </c>
      <c r="Q335" s="19" t="n">
        <v>0</v>
      </c>
      <c r="R335" s="19" t="n">
        <v>0</v>
      </c>
      <c r="S335" s="19" t="n">
        <v>0</v>
      </c>
      <c r="T335" s="19" t="n">
        <v>0</v>
      </c>
      <c r="U335" s="19" t="n">
        <v>1972.38728675805</v>
      </c>
      <c r="V335" s="19" t="n">
        <v>0</v>
      </c>
      <c r="W335" s="19" t="n">
        <v>0</v>
      </c>
      <c r="X335" s="19" t="n">
        <v>0</v>
      </c>
      <c r="Y335" s="19" t="n">
        <v>0</v>
      </c>
      <c r="Z335" s="19" t="n">
        <v>0</v>
      </c>
      <c r="AA335" s="19" t="n">
        <v>0</v>
      </c>
      <c r="AB335" s="19" t="n">
        <v>0</v>
      </c>
      <c r="AC335" s="19" t="n">
        <v>0</v>
      </c>
      <c r="AD335" s="19" t="n">
        <v>0</v>
      </c>
      <c r="AE335" s="19" t="n">
        <v>0</v>
      </c>
      <c r="AF335" s="19" t="n">
        <v>0</v>
      </c>
      <c r="AG335" s="19" t="n">
        <v>0</v>
      </c>
      <c r="AH335" s="19" t="n">
        <v>0</v>
      </c>
      <c r="AI335" s="19" t="n">
        <v>0</v>
      </c>
      <c r="AJ335" s="19" t="n">
        <v>0</v>
      </c>
      <c r="AK335" s="19" t="n">
        <v>0</v>
      </c>
    </row>
    <row r="336" customFormat="false" ht="12.75" hidden="false" customHeight="false" outlineLevel="0" collapsed="false">
      <c r="C336" s="89" t="s">
        <v>148</v>
      </c>
      <c r="D336" s="19" t="n">
        <v>0</v>
      </c>
      <c r="E336" s="19" t="n">
        <v>0</v>
      </c>
      <c r="F336" s="19" t="n">
        <v>0</v>
      </c>
      <c r="G336" s="19" t="n">
        <v>0</v>
      </c>
      <c r="H336" s="19" t="n">
        <v>0</v>
      </c>
      <c r="I336" s="19" t="n">
        <v>0</v>
      </c>
      <c r="J336" s="19" t="n">
        <v>0</v>
      </c>
      <c r="K336" s="19" t="n">
        <v>0</v>
      </c>
      <c r="L336" s="19" t="n">
        <v>0</v>
      </c>
      <c r="M336" s="19" t="n">
        <v>0</v>
      </c>
      <c r="N336" s="19" t="n">
        <v>0</v>
      </c>
      <c r="O336" s="19" t="n">
        <v>0</v>
      </c>
      <c r="P336" s="19" t="n">
        <v>0</v>
      </c>
      <c r="Q336" s="19" t="n">
        <v>0</v>
      </c>
      <c r="R336" s="19" t="n">
        <v>0</v>
      </c>
      <c r="S336" s="19" t="n">
        <v>0</v>
      </c>
      <c r="T336" s="19" t="n">
        <v>0</v>
      </c>
      <c r="U336" s="19" t="n">
        <v>0</v>
      </c>
      <c r="V336" s="19" t="n">
        <v>26.1258383101268</v>
      </c>
      <c r="W336" s="19" t="n">
        <v>0</v>
      </c>
      <c r="X336" s="19" t="n">
        <v>0</v>
      </c>
      <c r="Y336" s="19" t="n">
        <v>0</v>
      </c>
      <c r="Z336" s="19" t="n">
        <v>0</v>
      </c>
      <c r="AA336" s="19" t="n">
        <v>0</v>
      </c>
      <c r="AB336" s="19" t="n">
        <v>0</v>
      </c>
      <c r="AC336" s="19" t="n">
        <v>0</v>
      </c>
      <c r="AD336" s="19" t="n">
        <v>0</v>
      </c>
      <c r="AE336" s="19" t="n">
        <v>0</v>
      </c>
      <c r="AF336" s="19" t="n">
        <v>0</v>
      </c>
      <c r="AG336" s="19" t="n">
        <v>0</v>
      </c>
      <c r="AH336" s="19" t="n">
        <v>0</v>
      </c>
      <c r="AI336" s="19" t="n">
        <v>0</v>
      </c>
      <c r="AJ336" s="19" t="n">
        <v>0</v>
      </c>
      <c r="AK336" s="19" t="n">
        <v>0</v>
      </c>
    </row>
    <row r="337" customFormat="false" ht="12.75" hidden="false" customHeight="false" outlineLevel="0" collapsed="false">
      <c r="C337" s="89" t="s">
        <v>150</v>
      </c>
      <c r="D337" s="19" t="n">
        <v>0</v>
      </c>
      <c r="E337" s="19" t="n">
        <v>0</v>
      </c>
      <c r="F337" s="19" t="n">
        <v>0</v>
      </c>
      <c r="G337" s="19" t="n">
        <v>0</v>
      </c>
      <c r="H337" s="19" t="n">
        <v>0</v>
      </c>
      <c r="I337" s="19" t="n">
        <v>0</v>
      </c>
      <c r="J337" s="19" t="n">
        <v>0</v>
      </c>
      <c r="K337" s="19" t="n">
        <v>0</v>
      </c>
      <c r="L337" s="19" t="n">
        <v>0</v>
      </c>
      <c r="M337" s="19" t="n">
        <v>0</v>
      </c>
      <c r="N337" s="19" t="n">
        <v>0</v>
      </c>
      <c r="O337" s="19" t="n">
        <v>0</v>
      </c>
      <c r="P337" s="19" t="n">
        <v>0</v>
      </c>
      <c r="Q337" s="19" t="n">
        <v>0</v>
      </c>
      <c r="R337" s="19" t="n">
        <v>0</v>
      </c>
      <c r="S337" s="19" t="n">
        <v>0</v>
      </c>
      <c r="T337" s="19" t="n">
        <v>0</v>
      </c>
      <c r="U337" s="19" t="n">
        <v>0</v>
      </c>
      <c r="V337" s="19" t="n">
        <v>0</v>
      </c>
      <c r="W337" s="19" t="n">
        <v>371.81284322832</v>
      </c>
      <c r="X337" s="19" t="n">
        <v>0</v>
      </c>
      <c r="Y337" s="19" t="n">
        <v>0</v>
      </c>
      <c r="Z337" s="19" t="n">
        <v>0</v>
      </c>
      <c r="AA337" s="19" t="n">
        <v>0</v>
      </c>
      <c r="AB337" s="19" t="n">
        <v>0</v>
      </c>
      <c r="AC337" s="19" t="n">
        <v>0</v>
      </c>
      <c r="AD337" s="19" t="n">
        <v>0</v>
      </c>
      <c r="AE337" s="19" t="n">
        <v>0</v>
      </c>
      <c r="AF337" s="19" t="n">
        <v>0</v>
      </c>
      <c r="AG337" s="19" t="n">
        <v>0</v>
      </c>
      <c r="AH337" s="19" t="n">
        <v>0</v>
      </c>
      <c r="AI337" s="19" t="n">
        <v>0</v>
      </c>
      <c r="AJ337" s="19" t="n">
        <v>0</v>
      </c>
      <c r="AK337" s="19" t="n">
        <v>0</v>
      </c>
    </row>
    <row r="338" customFormat="false" ht="12.75" hidden="false" customHeight="false" outlineLevel="0" collapsed="false">
      <c r="C338" s="89" t="s">
        <v>152</v>
      </c>
      <c r="D338" s="19" t="n">
        <v>0</v>
      </c>
      <c r="E338" s="19" t="n">
        <v>0</v>
      </c>
      <c r="F338" s="19" t="n">
        <v>0</v>
      </c>
      <c r="G338" s="19" t="n">
        <v>0</v>
      </c>
      <c r="H338" s="19" t="n">
        <v>0</v>
      </c>
      <c r="I338" s="19" t="n">
        <v>0</v>
      </c>
      <c r="J338" s="19" t="n">
        <v>0</v>
      </c>
      <c r="K338" s="19" t="n">
        <v>0</v>
      </c>
      <c r="L338" s="19" t="n">
        <v>0</v>
      </c>
      <c r="M338" s="19" t="n">
        <v>0</v>
      </c>
      <c r="N338" s="19" t="n">
        <v>0</v>
      </c>
      <c r="O338" s="19" t="n">
        <v>0</v>
      </c>
      <c r="P338" s="19" t="n">
        <v>0</v>
      </c>
      <c r="Q338" s="19" t="n">
        <v>0</v>
      </c>
      <c r="R338" s="19" t="n">
        <v>0</v>
      </c>
      <c r="S338" s="19" t="n">
        <v>0</v>
      </c>
      <c r="T338" s="19" t="n">
        <v>0</v>
      </c>
      <c r="U338" s="19" t="n">
        <v>0</v>
      </c>
      <c r="V338" s="19" t="n">
        <v>0</v>
      </c>
      <c r="W338" s="19" t="n">
        <v>0</v>
      </c>
      <c r="X338" s="19" t="n">
        <v>1686.84618751266</v>
      </c>
      <c r="Y338" s="19" t="n">
        <v>0</v>
      </c>
      <c r="Z338" s="19" t="n">
        <v>0</v>
      </c>
      <c r="AA338" s="19" t="n">
        <v>0</v>
      </c>
      <c r="AB338" s="19" t="n">
        <v>0</v>
      </c>
      <c r="AC338" s="19" t="n">
        <v>0</v>
      </c>
      <c r="AD338" s="19" t="n">
        <v>0</v>
      </c>
      <c r="AE338" s="19" t="n">
        <v>0</v>
      </c>
      <c r="AF338" s="19" t="n">
        <v>0</v>
      </c>
      <c r="AG338" s="19" t="n">
        <v>0</v>
      </c>
      <c r="AH338" s="19" t="n">
        <v>0</v>
      </c>
      <c r="AI338" s="19" t="n">
        <v>0</v>
      </c>
      <c r="AJ338" s="19" t="n">
        <v>0</v>
      </c>
      <c r="AK338" s="19" t="n">
        <v>0</v>
      </c>
    </row>
    <row r="339" customFormat="false" ht="12.75" hidden="false" customHeight="false" outlineLevel="0" collapsed="false">
      <c r="C339" s="89" t="s">
        <v>154</v>
      </c>
      <c r="D339" s="19" t="n">
        <v>0</v>
      </c>
      <c r="E339" s="19" t="n">
        <v>0</v>
      </c>
      <c r="F339" s="19" t="n">
        <v>0</v>
      </c>
      <c r="G339" s="19" t="n">
        <v>0</v>
      </c>
      <c r="H339" s="19" t="n">
        <v>0</v>
      </c>
      <c r="I339" s="19" t="n">
        <v>0</v>
      </c>
      <c r="J339" s="19" t="n">
        <v>0</v>
      </c>
      <c r="K339" s="19" t="n">
        <v>0</v>
      </c>
      <c r="L339" s="19" t="n">
        <v>0</v>
      </c>
      <c r="M339" s="19" t="n">
        <v>0</v>
      </c>
      <c r="N339" s="19" t="n">
        <v>0</v>
      </c>
      <c r="O339" s="19" t="n">
        <v>0</v>
      </c>
      <c r="P339" s="19" t="n">
        <v>0</v>
      </c>
      <c r="Q339" s="19" t="n">
        <v>0</v>
      </c>
      <c r="R339" s="19" t="n">
        <v>0</v>
      </c>
      <c r="S339" s="19" t="n">
        <v>0</v>
      </c>
      <c r="T339" s="19" t="n">
        <v>0</v>
      </c>
      <c r="U339" s="19" t="n">
        <v>0</v>
      </c>
      <c r="V339" s="19" t="n">
        <v>0</v>
      </c>
      <c r="W339" s="19" t="n">
        <v>0</v>
      </c>
      <c r="X339" s="19" t="n">
        <v>0</v>
      </c>
      <c r="Y339" s="19" t="n">
        <v>309.105484898225</v>
      </c>
      <c r="Z339" s="19" t="n">
        <v>0</v>
      </c>
      <c r="AA339" s="19" t="n">
        <v>0</v>
      </c>
      <c r="AB339" s="19" t="n">
        <v>0</v>
      </c>
      <c r="AC339" s="19" t="n">
        <v>0</v>
      </c>
      <c r="AD339" s="19" t="n">
        <v>0</v>
      </c>
      <c r="AE339" s="19" t="n">
        <v>0</v>
      </c>
      <c r="AF339" s="19" t="n">
        <v>0</v>
      </c>
      <c r="AG339" s="19" t="n">
        <v>0</v>
      </c>
      <c r="AH339" s="19" t="n">
        <v>0</v>
      </c>
      <c r="AI339" s="19" t="n">
        <v>0</v>
      </c>
      <c r="AJ339" s="19" t="n">
        <v>0</v>
      </c>
      <c r="AK339" s="19" t="n">
        <v>0</v>
      </c>
    </row>
    <row r="340" customFormat="false" ht="12.75" hidden="false" customHeight="false" outlineLevel="0" collapsed="false">
      <c r="C340" s="89" t="s">
        <v>156</v>
      </c>
      <c r="D340" s="19" t="n">
        <v>0</v>
      </c>
      <c r="E340" s="19" t="n">
        <v>0</v>
      </c>
      <c r="F340" s="19" t="n">
        <v>0</v>
      </c>
      <c r="G340" s="19" t="n">
        <v>0</v>
      </c>
      <c r="H340" s="19" t="n">
        <v>0</v>
      </c>
      <c r="I340" s="19" t="n">
        <v>0</v>
      </c>
      <c r="J340" s="19" t="n">
        <v>0</v>
      </c>
      <c r="K340" s="19" t="n">
        <v>0</v>
      </c>
      <c r="L340" s="19" t="n">
        <v>0</v>
      </c>
      <c r="M340" s="19" t="n">
        <v>0</v>
      </c>
      <c r="N340" s="19" t="n">
        <v>0</v>
      </c>
      <c r="O340" s="19" t="n">
        <v>0</v>
      </c>
      <c r="P340" s="19" t="n">
        <v>0</v>
      </c>
      <c r="Q340" s="19" t="n">
        <v>0</v>
      </c>
      <c r="R340" s="19" t="n">
        <v>0</v>
      </c>
      <c r="S340" s="19" t="n">
        <v>0</v>
      </c>
      <c r="T340" s="19" t="n">
        <v>0</v>
      </c>
      <c r="U340" s="19" t="n">
        <v>0</v>
      </c>
      <c r="V340" s="19" t="n">
        <v>0</v>
      </c>
      <c r="W340" s="19" t="n">
        <v>0</v>
      </c>
      <c r="X340" s="19" t="n">
        <v>0</v>
      </c>
      <c r="Y340" s="19" t="n">
        <v>0</v>
      </c>
      <c r="Z340" s="19" t="n">
        <v>494.986463450629</v>
      </c>
      <c r="AA340" s="19" t="n">
        <v>0</v>
      </c>
      <c r="AB340" s="19" t="n">
        <v>0</v>
      </c>
      <c r="AC340" s="19" t="n">
        <v>0</v>
      </c>
      <c r="AD340" s="19" t="n">
        <v>0</v>
      </c>
      <c r="AE340" s="19" t="n">
        <v>0</v>
      </c>
      <c r="AF340" s="19" t="n">
        <v>0</v>
      </c>
      <c r="AG340" s="19" t="n">
        <v>0</v>
      </c>
      <c r="AH340" s="19" t="n">
        <v>0</v>
      </c>
      <c r="AI340" s="19" t="n">
        <v>0</v>
      </c>
      <c r="AJ340" s="19" t="n">
        <v>0</v>
      </c>
      <c r="AK340" s="19" t="n">
        <v>0</v>
      </c>
    </row>
    <row r="341" customFormat="false" ht="12.75" hidden="false" customHeight="false" outlineLevel="0" collapsed="false">
      <c r="C341" s="89" t="s">
        <v>158</v>
      </c>
      <c r="D341" s="19" t="n">
        <v>0</v>
      </c>
      <c r="E341" s="19" t="n">
        <v>0</v>
      </c>
      <c r="F341" s="19" t="n">
        <v>0</v>
      </c>
      <c r="G341" s="19" t="n">
        <v>0</v>
      </c>
      <c r="H341" s="19" t="n">
        <v>0</v>
      </c>
      <c r="I341" s="19" t="n">
        <v>0</v>
      </c>
      <c r="J341" s="19" t="n">
        <v>0</v>
      </c>
      <c r="K341" s="19" t="n">
        <v>0</v>
      </c>
      <c r="L341" s="19" t="n">
        <v>0</v>
      </c>
      <c r="M341" s="19" t="n">
        <v>0</v>
      </c>
      <c r="N341" s="19" t="n">
        <v>0</v>
      </c>
      <c r="O341" s="19" t="n">
        <v>0</v>
      </c>
      <c r="P341" s="19" t="n">
        <v>0</v>
      </c>
      <c r="Q341" s="19" t="n">
        <v>0</v>
      </c>
      <c r="R341" s="19" t="n">
        <v>0</v>
      </c>
      <c r="S341" s="19" t="n">
        <v>0</v>
      </c>
      <c r="T341" s="19" t="n">
        <v>0</v>
      </c>
      <c r="U341" s="19" t="n">
        <v>0</v>
      </c>
      <c r="V341" s="19" t="n">
        <v>0</v>
      </c>
      <c r="W341" s="19" t="n">
        <v>0</v>
      </c>
      <c r="X341" s="19" t="n">
        <v>0</v>
      </c>
      <c r="Y341" s="19" t="n">
        <v>0</v>
      </c>
      <c r="Z341" s="19" t="n">
        <v>0</v>
      </c>
      <c r="AA341" s="19" t="n">
        <v>4.62494179083654</v>
      </c>
      <c r="AB341" s="19" t="n">
        <v>0</v>
      </c>
      <c r="AC341" s="19" t="n">
        <v>0</v>
      </c>
      <c r="AD341" s="19" t="n">
        <v>0</v>
      </c>
      <c r="AE341" s="19" t="n">
        <v>0</v>
      </c>
      <c r="AF341" s="19" t="n">
        <v>0</v>
      </c>
      <c r="AG341" s="19" t="n">
        <v>0</v>
      </c>
      <c r="AH341" s="19" t="n">
        <v>0</v>
      </c>
      <c r="AI341" s="19" t="n">
        <v>0</v>
      </c>
      <c r="AJ341" s="19" t="n">
        <v>0</v>
      </c>
      <c r="AK341" s="19" t="n">
        <v>0</v>
      </c>
    </row>
    <row r="342" customFormat="false" ht="12.75" hidden="false" customHeight="false" outlineLevel="0" collapsed="false">
      <c r="C342" s="89" t="s">
        <v>160</v>
      </c>
      <c r="D342" s="19" t="n">
        <v>0</v>
      </c>
      <c r="E342" s="19" t="n">
        <v>0</v>
      </c>
      <c r="F342" s="19" t="n">
        <v>0</v>
      </c>
      <c r="G342" s="19" t="n">
        <v>0</v>
      </c>
      <c r="H342" s="19" t="n">
        <v>0</v>
      </c>
      <c r="I342" s="19" t="n">
        <v>0</v>
      </c>
      <c r="J342" s="19" t="n">
        <v>0</v>
      </c>
      <c r="K342" s="19" t="n">
        <v>0</v>
      </c>
      <c r="L342" s="19" t="n">
        <v>0</v>
      </c>
      <c r="M342" s="19" t="n">
        <v>0</v>
      </c>
      <c r="N342" s="19" t="n">
        <v>0</v>
      </c>
      <c r="O342" s="19" t="n">
        <v>0</v>
      </c>
      <c r="P342" s="19" t="n">
        <v>0</v>
      </c>
      <c r="Q342" s="19" t="n">
        <v>0</v>
      </c>
      <c r="R342" s="19" t="n">
        <v>0</v>
      </c>
      <c r="S342" s="19" t="n">
        <v>0</v>
      </c>
      <c r="T342" s="19" t="n">
        <v>0</v>
      </c>
      <c r="U342" s="19" t="n">
        <v>0</v>
      </c>
      <c r="V342" s="19" t="n">
        <v>0</v>
      </c>
      <c r="W342" s="19" t="n">
        <v>0</v>
      </c>
      <c r="X342" s="19" t="n">
        <v>0</v>
      </c>
      <c r="Y342" s="19" t="n">
        <v>0</v>
      </c>
      <c r="Z342" s="19" t="n">
        <v>0</v>
      </c>
      <c r="AA342" s="19" t="n">
        <v>0</v>
      </c>
      <c r="AB342" s="19" t="n">
        <v>25.6915287789394</v>
      </c>
      <c r="AC342" s="19" t="n">
        <v>0</v>
      </c>
      <c r="AD342" s="19" t="n">
        <v>0</v>
      </c>
      <c r="AE342" s="19" t="n">
        <v>0</v>
      </c>
      <c r="AF342" s="19" t="n">
        <v>0</v>
      </c>
      <c r="AG342" s="19" t="n">
        <v>0</v>
      </c>
      <c r="AH342" s="19" t="n">
        <v>0</v>
      </c>
      <c r="AI342" s="19" t="n">
        <v>0</v>
      </c>
      <c r="AJ342" s="19" t="n">
        <v>0</v>
      </c>
      <c r="AK342" s="19" t="n">
        <v>0</v>
      </c>
    </row>
    <row r="343" customFormat="false" ht="12.75" hidden="false" customHeight="false" outlineLevel="0" collapsed="false">
      <c r="C343" s="89" t="s">
        <v>162</v>
      </c>
      <c r="D343" s="19" t="n">
        <v>0</v>
      </c>
      <c r="E343" s="19" t="n">
        <v>0</v>
      </c>
      <c r="F343" s="19" t="n">
        <v>0</v>
      </c>
      <c r="G343" s="19" t="n">
        <v>0</v>
      </c>
      <c r="H343" s="19" t="n">
        <v>0</v>
      </c>
      <c r="I343" s="19" t="n">
        <v>0</v>
      </c>
      <c r="J343" s="19" t="n">
        <v>0</v>
      </c>
      <c r="K343" s="19" t="n">
        <v>0</v>
      </c>
      <c r="L343" s="19" t="n">
        <v>0</v>
      </c>
      <c r="M343" s="19" t="n">
        <v>0</v>
      </c>
      <c r="N343" s="19" t="n">
        <v>0</v>
      </c>
      <c r="O343" s="19" t="n">
        <v>0</v>
      </c>
      <c r="P343" s="19" t="n">
        <v>0</v>
      </c>
      <c r="Q343" s="19" t="n">
        <v>0</v>
      </c>
      <c r="R343" s="19" t="n">
        <v>0</v>
      </c>
      <c r="S343" s="19" t="n">
        <v>0</v>
      </c>
      <c r="T343" s="19" t="n">
        <v>0</v>
      </c>
      <c r="U343" s="19" t="n">
        <v>0</v>
      </c>
      <c r="V343" s="19" t="n">
        <v>0</v>
      </c>
      <c r="W343" s="19" t="n">
        <v>0</v>
      </c>
      <c r="X343" s="19" t="n">
        <v>0</v>
      </c>
      <c r="Y343" s="19" t="n">
        <v>0</v>
      </c>
      <c r="Z343" s="19" t="n">
        <v>0</v>
      </c>
      <c r="AA343" s="19" t="n">
        <v>0</v>
      </c>
      <c r="AB343" s="19" t="n">
        <v>0</v>
      </c>
      <c r="AC343" s="19" t="n">
        <v>150.970924697188</v>
      </c>
      <c r="AD343" s="19" t="n">
        <v>0</v>
      </c>
      <c r="AE343" s="19" t="n">
        <v>0</v>
      </c>
      <c r="AF343" s="19" t="n">
        <v>0</v>
      </c>
      <c r="AG343" s="19" t="n">
        <v>0</v>
      </c>
      <c r="AH343" s="19" t="n">
        <v>0</v>
      </c>
      <c r="AI343" s="19" t="n">
        <v>0</v>
      </c>
      <c r="AJ343" s="19" t="n">
        <v>0</v>
      </c>
      <c r="AK343" s="19" t="n">
        <v>0</v>
      </c>
    </row>
    <row r="344" customFormat="false" ht="12.75" hidden="false" customHeight="false" outlineLevel="0" collapsed="false">
      <c r="C344" s="89" t="s">
        <v>164</v>
      </c>
      <c r="D344" s="19" t="n">
        <v>0</v>
      </c>
      <c r="E344" s="19" t="n">
        <v>0</v>
      </c>
      <c r="F344" s="19" t="n">
        <v>0</v>
      </c>
      <c r="G344" s="19" t="n">
        <v>0</v>
      </c>
      <c r="H344" s="19" t="n">
        <v>0</v>
      </c>
      <c r="I344" s="19" t="n">
        <v>0</v>
      </c>
      <c r="J344" s="19" t="n">
        <v>0</v>
      </c>
      <c r="K344" s="19" t="n">
        <v>0</v>
      </c>
      <c r="L344" s="19" t="n">
        <v>0</v>
      </c>
      <c r="M344" s="19" t="n">
        <v>0</v>
      </c>
      <c r="N344" s="19" t="n">
        <v>0</v>
      </c>
      <c r="O344" s="19" t="n">
        <v>0</v>
      </c>
      <c r="P344" s="19" t="n">
        <v>0</v>
      </c>
      <c r="Q344" s="19" t="n">
        <v>0</v>
      </c>
      <c r="R344" s="19" t="n">
        <v>0</v>
      </c>
      <c r="S344" s="19" t="n">
        <v>0</v>
      </c>
      <c r="T344" s="19" t="n">
        <v>0</v>
      </c>
      <c r="U344" s="19" t="n">
        <v>0</v>
      </c>
      <c r="V344" s="19" t="n">
        <v>0</v>
      </c>
      <c r="W344" s="19" t="n">
        <v>0</v>
      </c>
      <c r="X344" s="19" t="n">
        <v>0</v>
      </c>
      <c r="Y344" s="19" t="n">
        <v>0</v>
      </c>
      <c r="Z344" s="19" t="n">
        <v>0</v>
      </c>
      <c r="AA344" s="19" t="n">
        <v>0</v>
      </c>
      <c r="AB344" s="19" t="n">
        <v>0</v>
      </c>
      <c r="AC344" s="19" t="n">
        <v>0</v>
      </c>
      <c r="AD344" s="19" t="n">
        <v>518.354069059799</v>
      </c>
      <c r="AE344" s="19" t="n">
        <v>0</v>
      </c>
      <c r="AF344" s="19" t="n">
        <v>0</v>
      </c>
      <c r="AG344" s="19" t="n">
        <v>0</v>
      </c>
      <c r="AH344" s="19" t="n">
        <v>0</v>
      </c>
      <c r="AI344" s="19" t="n">
        <v>0</v>
      </c>
      <c r="AJ344" s="19" t="n">
        <v>0</v>
      </c>
      <c r="AK344" s="19" t="n">
        <v>0</v>
      </c>
    </row>
    <row r="345" customFormat="false" ht="12.75" hidden="false" customHeight="false" outlineLevel="0" collapsed="false">
      <c r="C345" s="89" t="s">
        <v>166</v>
      </c>
      <c r="D345" s="19" t="n">
        <v>0</v>
      </c>
      <c r="E345" s="19" t="n">
        <v>0</v>
      </c>
      <c r="F345" s="19" t="n">
        <v>0</v>
      </c>
      <c r="G345" s="19" t="n">
        <v>0</v>
      </c>
      <c r="H345" s="19" t="n">
        <v>0</v>
      </c>
      <c r="I345" s="19" t="n">
        <v>0</v>
      </c>
      <c r="J345" s="19" t="n">
        <v>0</v>
      </c>
      <c r="K345" s="19" t="n">
        <v>0</v>
      </c>
      <c r="L345" s="19" t="n">
        <v>0</v>
      </c>
      <c r="M345" s="19" t="n">
        <v>0</v>
      </c>
      <c r="N345" s="19" t="n">
        <v>0</v>
      </c>
      <c r="O345" s="19" t="n">
        <v>0</v>
      </c>
      <c r="P345" s="19" t="n">
        <v>0</v>
      </c>
      <c r="Q345" s="19" t="n">
        <v>0</v>
      </c>
      <c r="R345" s="19" t="n">
        <v>0</v>
      </c>
      <c r="S345" s="19" t="n">
        <v>0</v>
      </c>
      <c r="T345" s="19" t="n">
        <v>0</v>
      </c>
      <c r="U345" s="19" t="n">
        <v>0</v>
      </c>
      <c r="V345" s="19" t="n">
        <v>0</v>
      </c>
      <c r="W345" s="19" t="n">
        <v>0</v>
      </c>
      <c r="X345" s="19" t="n">
        <v>0</v>
      </c>
      <c r="Y345" s="19" t="n">
        <v>0</v>
      </c>
      <c r="Z345" s="19" t="n">
        <v>0</v>
      </c>
      <c r="AA345" s="19" t="n">
        <v>0</v>
      </c>
      <c r="AB345" s="19" t="n">
        <v>0</v>
      </c>
      <c r="AC345" s="19" t="n">
        <v>0</v>
      </c>
      <c r="AD345" s="19" t="n">
        <v>0</v>
      </c>
      <c r="AE345" s="19" t="n">
        <v>1592.6661745556</v>
      </c>
      <c r="AF345" s="19" t="n">
        <v>0</v>
      </c>
      <c r="AG345" s="19" t="n">
        <v>0</v>
      </c>
      <c r="AH345" s="19" t="n">
        <v>0</v>
      </c>
      <c r="AI345" s="19" t="n">
        <v>0</v>
      </c>
      <c r="AJ345" s="19" t="n">
        <v>0</v>
      </c>
      <c r="AK345" s="19" t="n">
        <v>0</v>
      </c>
    </row>
    <row r="346" customFormat="false" ht="12.75" hidden="false" customHeight="false" outlineLevel="0" collapsed="false">
      <c r="C346" s="89" t="s">
        <v>168</v>
      </c>
      <c r="D346" s="19" t="n">
        <v>0</v>
      </c>
      <c r="E346" s="19" t="n">
        <v>0</v>
      </c>
      <c r="F346" s="19" t="n">
        <v>0</v>
      </c>
      <c r="G346" s="19" t="n">
        <v>0</v>
      </c>
      <c r="H346" s="19" t="n">
        <v>0</v>
      </c>
      <c r="I346" s="19" t="n">
        <v>0</v>
      </c>
      <c r="J346" s="19" t="n">
        <v>0</v>
      </c>
      <c r="K346" s="19" t="n">
        <v>0</v>
      </c>
      <c r="L346" s="19" t="n">
        <v>0</v>
      </c>
      <c r="M346" s="19" t="n">
        <v>0</v>
      </c>
      <c r="N346" s="19" t="n">
        <v>0</v>
      </c>
      <c r="O346" s="19" t="n">
        <v>0</v>
      </c>
      <c r="P346" s="19" t="n">
        <v>0</v>
      </c>
      <c r="Q346" s="19" t="n">
        <v>0</v>
      </c>
      <c r="R346" s="19" t="n">
        <v>0</v>
      </c>
      <c r="S346" s="19" t="n">
        <v>0</v>
      </c>
      <c r="T346" s="19" t="n">
        <v>0</v>
      </c>
      <c r="U346" s="19" t="n">
        <v>0</v>
      </c>
      <c r="V346" s="19" t="n">
        <v>0</v>
      </c>
      <c r="W346" s="19" t="n">
        <v>0</v>
      </c>
      <c r="X346" s="19" t="n">
        <v>0</v>
      </c>
      <c r="Y346" s="19" t="n">
        <v>0</v>
      </c>
      <c r="Z346" s="19" t="n">
        <v>0</v>
      </c>
      <c r="AA346" s="19" t="n">
        <v>0</v>
      </c>
      <c r="AB346" s="19" t="n">
        <v>0</v>
      </c>
      <c r="AC346" s="19" t="n">
        <v>0</v>
      </c>
      <c r="AD346" s="19" t="n">
        <v>0</v>
      </c>
      <c r="AE346" s="19" t="n">
        <v>0</v>
      </c>
      <c r="AF346" s="19" t="n">
        <v>273.731611725774</v>
      </c>
      <c r="AG346" s="19" t="n">
        <v>0</v>
      </c>
      <c r="AH346" s="19" t="n">
        <v>0</v>
      </c>
      <c r="AI346" s="19" t="n">
        <v>0</v>
      </c>
      <c r="AJ346" s="19" t="n">
        <v>0</v>
      </c>
      <c r="AK346" s="19" t="n">
        <v>0</v>
      </c>
    </row>
    <row r="347" customFormat="false" ht="12.75" hidden="false" customHeight="false" outlineLevel="0" collapsed="false">
      <c r="C347" s="89" t="s">
        <v>170</v>
      </c>
      <c r="D347" s="19" t="n">
        <v>0</v>
      </c>
      <c r="E347" s="19" t="n">
        <v>0</v>
      </c>
      <c r="F347" s="19" t="n">
        <v>0</v>
      </c>
      <c r="G347" s="19" t="n">
        <v>0</v>
      </c>
      <c r="H347" s="19" t="n">
        <v>0</v>
      </c>
      <c r="I347" s="19" t="n">
        <v>0</v>
      </c>
      <c r="J347" s="19" t="n">
        <v>0</v>
      </c>
      <c r="K347" s="19" t="n">
        <v>0</v>
      </c>
      <c r="L347" s="19" t="n">
        <v>0</v>
      </c>
      <c r="M347" s="19" t="n">
        <v>0</v>
      </c>
      <c r="N347" s="19" t="n">
        <v>0</v>
      </c>
      <c r="O347" s="19" t="n">
        <v>0</v>
      </c>
      <c r="P347" s="19" t="n">
        <v>0</v>
      </c>
      <c r="Q347" s="19" t="n">
        <v>0</v>
      </c>
      <c r="R347" s="19" t="n">
        <v>0</v>
      </c>
      <c r="S347" s="19" t="n">
        <v>0</v>
      </c>
      <c r="T347" s="19" t="n">
        <v>0</v>
      </c>
      <c r="U347" s="19" t="n">
        <v>0</v>
      </c>
      <c r="V347" s="19" t="n">
        <v>0</v>
      </c>
      <c r="W347" s="19" t="n">
        <v>0</v>
      </c>
      <c r="X347" s="19" t="n">
        <v>0</v>
      </c>
      <c r="Y347" s="19" t="n">
        <v>0</v>
      </c>
      <c r="Z347" s="19" t="n">
        <v>0</v>
      </c>
      <c r="AA347" s="19" t="n">
        <v>0</v>
      </c>
      <c r="AB347" s="19" t="n">
        <v>0</v>
      </c>
      <c r="AC347" s="19" t="n">
        <v>0</v>
      </c>
      <c r="AD347" s="19" t="n">
        <v>0</v>
      </c>
      <c r="AE347" s="19" t="n">
        <v>0</v>
      </c>
      <c r="AF347" s="19" t="n">
        <v>0</v>
      </c>
      <c r="AG347" s="19" t="n">
        <v>205.876319486212</v>
      </c>
      <c r="AH347" s="19" t="n">
        <v>0</v>
      </c>
      <c r="AI347" s="19" t="n">
        <v>0</v>
      </c>
      <c r="AJ347" s="19" t="n">
        <v>0</v>
      </c>
      <c r="AK347" s="19" t="n">
        <v>0</v>
      </c>
    </row>
    <row r="348" customFormat="false" ht="12.75" hidden="false" customHeight="false" outlineLevel="0" collapsed="false">
      <c r="C348" s="89" t="s">
        <v>172</v>
      </c>
      <c r="D348" s="19" t="n">
        <v>0</v>
      </c>
      <c r="E348" s="19" t="n">
        <v>0</v>
      </c>
      <c r="F348" s="19" t="n">
        <v>0</v>
      </c>
      <c r="G348" s="19" t="n">
        <v>0</v>
      </c>
      <c r="H348" s="19" t="n">
        <v>0</v>
      </c>
      <c r="I348" s="19" t="n">
        <v>0</v>
      </c>
      <c r="J348" s="19" t="n">
        <v>0</v>
      </c>
      <c r="K348" s="19" t="n">
        <v>0</v>
      </c>
      <c r="L348" s="19" t="n">
        <v>0</v>
      </c>
      <c r="M348" s="19" t="n">
        <v>0</v>
      </c>
      <c r="N348" s="19" t="n">
        <v>0</v>
      </c>
      <c r="O348" s="19" t="n">
        <v>0</v>
      </c>
      <c r="P348" s="19" t="n">
        <v>0</v>
      </c>
      <c r="Q348" s="19" t="n">
        <v>0</v>
      </c>
      <c r="R348" s="19" t="n">
        <v>0</v>
      </c>
      <c r="S348" s="19" t="n">
        <v>0</v>
      </c>
      <c r="T348" s="19" t="n">
        <v>0</v>
      </c>
      <c r="U348" s="19" t="n">
        <v>0</v>
      </c>
      <c r="V348" s="19" t="n">
        <v>0</v>
      </c>
      <c r="W348" s="19" t="n">
        <v>0</v>
      </c>
      <c r="X348" s="19" t="n">
        <v>0</v>
      </c>
      <c r="Y348" s="19" t="n">
        <v>0</v>
      </c>
      <c r="Z348" s="19" t="n">
        <v>0</v>
      </c>
      <c r="AA348" s="19" t="n">
        <v>0</v>
      </c>
      <c r="AB348" s="19" t="n">
        <v>0</v>
      </c>
      <c r="AC348" s="19" t="n">
        <v>0</v>
      </c>
      <c r="AD348" s="19" t="n">
        <v>0</v>
      </c>
      <c r="AE348" s="19" t="n">
        <v>0</v>
      </c>
      <c r="AF348" s="19" t="n">
        <v>0</v>
      </c>
      <c r="AG348" s="19" t="n">
        <v>0</v>
      </c>
      <c r="AH348" s="19" t="n">
        <v>609.428900260177</v>
      </c>
      <c r="AI348" s="19" t="n">
        <v>0</v>
      </c>
      <c r="AJ348" s="19" t="n">
        <v>0</v>
      </c>
      <c r="AK348" s="19" t="n">
        <v>0</v>
      </c>
    </row>
    <row r="349" customFormat="false" ht="12.75" hidden="false" customHeight="false" outlineLevel="0" collapsed="false">
      <c r="C349" s="89" t="s">
        <v>174</v>
      </c>
      <c r="D349" s="19" t="n">
        <v>0</v>
      </c>
      <c r="E349" s="19" t="n">
        <v>0</v>
      </c>
      <c r="F349" s="19" t="n">
        <v>0</v>
      </c>
      <c r="G349" s="19" t="n">
        <v>0</v>
      </c>
      <c r="H349" s="19" t="n">
        <v>0</v>
      </c>
      <c r="I349" s="19" t="n">
        <v>0</v>
      </c>
      <c r="J349" s="19" t="n">
        <v>0</v>
      </c>
      <c r="K349" s="19" t="n">
        <v>0</v>
      </c>
      <c r="L349" s="19" t="n">
        <v>0</v>
      </c>
      <c r="M349" s="19" t="n">
        <v>0</v>
      </c>
      <c r="N349" s="19" t="n">
        <v>0</v>
      </c>
      <c r="O349" s="19" t="n">
        <v>0</v>
      </c>
      <c r="P349" s="19" t="n">
        <v>0</v>
      </c>
      <c r="Q349" s="19" t="n">
        <v>0</v>
      </c>
      <c r="R349" s="19" t="n">
        <v>0</v>
      </c>
      <c r="S349" s="19" t="n">
        <v>0</v>
      </c>
      <c r="T349" s="19" t="n">
        <v>0</v>
      </c>
      <c r="U349" s="19" t="n">
        <v>0</v>
      </c>
      <c r="V349" s="19" t="n">
        <v>0</v>
      </c>
      <c r="W349" s="19" t="n">
        <v>0</v>
      </c>
      <c r="X349" s="19" t="n">
        <v>0</v>
      </c>
      <c r="Y349" s="19" t="n">
        <v>0</v>
      </c>
      <c r="Z349" s="19" t="n">
        <v>0</v>
      </c>
      <c r="AA349" s="19" t="n">
        <v>0</v>
      </c>
      <c r="AB349" s="19" t="n">
        <v>0</v>
      </c>
      <c r="AC349" s="19" t="n">
        <v>0</v>
      </c>
      <c r="AD349" s="19" t="n">
        <v>0</v>
      </c>
      <c r="AE349" s="19" t="n">
        <v>0</v>
      </c>
      <c r="AF349" s="19" t="n">
        <v>0</v>
      </c>
      <c r="AG349" s="19" t="n">
        <v>0</v>
      </c>
      <c r="AH349" s="19" t="n">
        <v>0</v>
      </c>
      <c r="AI349" s="19" t="n">
        <v>593.048975647064</v>
      </c>
      <c r="AJ349" s="19" t="n">
        <v>0</v>
      </c>
      <c r="AK349" s="19" t="n">
        <v>0</v>
      </c>
    </row>
    <row r="350" customFormat="false" ht="12.75" hidden="false" customHeight="false" outlineLevel="0" collapsed="false">
      <c r="C350" s="89" t="s">
        <v>176</v>
      </c>
      <c r="D350" s="19" t="n">
        <v>0</v>
      </c>
      <c r="E350" s="19" t="n">
        <v>0</v>
      </c>
      <c r="F350" s="19" t="n">
        <v>0</v>
      </c>
      <c r="G350" s="19" t="n">
        <v>0</v>
      </c>
      <c r="H350" s="19" t="n">
        <v>0</v>
      </c>
      <c r="I350" s="19" t="n">
        <v>0</v>
      </c>
      <c r="J350" s="19" t="n">
        <v>0</v>
      </c>
      <c r="K350" s="19" t="n">
        <v>0</v>
      </c>
      <c r="L350" s="19" t="n">
        <v>0</v>
      </c>
      <c r="M350" s="19" t="n">
        <v>0</v>
      </c>
      <c r="N350" s="19" t="n">
        <v>0</v>
      </c>
      <c r="O350" s="19" t="n">
        <v>0</v>
      </c>
      <c r="P350" s="19" t="n">
        <v>0</v>
      </c>
      <c r="Q350" s="19" t="n">
        <v>0</v>
      </c>
      <c r="R350" s="19" t="n">
        <v>0</v>
      </c>
      <c r="S350" s="19" t="n">
        <v>0</v>
      </c>
      <c r="T350" s="19" t="n">
        <v>0</v>
      </c>
      <c r="U350" s="19" t="n">
        <v>0</v>
      </c>
      <c r="V350" s="19" t="n">
        <v>0</v>
      </c>
      <c r="W350" s="19" t="n">
        <v>0</v>
      </c>
      <c r="X350" s="19" t="n">
        <v>0</v>
      </c>
      <c r="Y350" s="19" t="n">
        <v>0</v>
      </c>
      <c r="Z350" s="19" t="n">
        <v>0</v>
      </c>
      <c r="AA350" s="19" t="n">
        <v>0</v>
      </c>
      <c r="AB350" s="19" t="n">
        <v>0</v>
      </c>
      <c r="AC350" s="19" t="n">
        <v>0</v>
      </c>
      <c r="AD350" s="19" t="n">
        <v>0</v>
      </c>
      <c r="AE350" s="19" t="n">
        <v>0</v>
      </c>
      <c r="AF350" s="19" t="n">
        <v>0</v>
      </c>
      <c r="AG350" s="19" t="n">
        <v>0</v>
      </c>
      <c r="AH350" s="19" t="n">
        <v>0</v>
      </c>
      <c r="AI350" s="19" t="n">
        <v>0</v>
      </c>
      <c r="AJ350" s="19" t="n">
        <v>332.921006084727</v>
      </c>
      <c r="AK350" s="19" t="n">
        <v>0</v>
      </c>
    </row>
    <row r="351" customFormat="false" ht="12.75" hidden="false" customHeight="false" outlineLevel="0" collapsed="false">
      <c r="C351" s="89" t="s">
        <v>178</v>
      </c>
      <c r="D351" s="19" t="n">
        <v>0</v>
      </c>
      <c r="E351" s="19" t="n">
        <v>0</v>
      </c>
      <c r="F351" s="19" t="n">
        <v>0</v>
      </c>
      <c r="G351" s="19" t="n">
        <v>0</v>
      </c>
      <c r="H351" s="19" t="n">
        <v>0</v>
      </c>
      <c r="I351" s="19" t="n">
        <v>0</v>
      </c>
      <c r="J351" s="19" t="n">
        <v>0</v>
      </c>
      <c r="K351" s="19" t="n">
        <v>0</v>
      </c>
      <c r="L351" s="19" t="n">
        <v>0</v>
      </c>
      <c r="M351" s="19" t="n">
        <v>0</v>
      </c>
      <c r="N351" s="19" t="n">
        <v>0</v>
      </c>
      <c r="O351" s="19" t="n">
        <v>0</v>
      </c>
      <c r="P351" s="19" t="n">
        <v>0</v>
      </c>
      <c r="Q351" s="19" t="n">
        <v>0</v>
      </c>
      <c r="R351" s="19" t="n">
        <v>0</v>
      </c>
      <c r="S351" s="19" t="n">
        <v>0</v>
      </c>
      <c r="T351" s="19" t="n">
        <v>0</v>
      </c>
      <c r="U351" s="19" t="n">
        <v>0</v>
      </c>
      <c r="V351" s="19" t="n">
        <v>0</v>
      </c>
      <c r="W351" s="19" t="n">
        <v>0</v>
      </c>
      <c r="X351" s="19" t="n">
        <v>0</v>
      </c>
      <c r="Y351" s="19" t="n">
        <v>0</v>
      </c>
      <c r="Z351" s="19" t="n">
        <v>0</v>
      </c>
      <c r="AA351" s="19" t="n">
        <v>0</v>
      </c>
      <c r="AB351" s="19" t="n">
        <v>0</v>
      </c>
      <c r="AC351" s="19" t="n">
        <v>0</v>
      </c>
      <c r="AD351" s="19" t="n">
        <v>0</v>
      </c>
      <c r="AE351" s="19" t="n">
        <v>0</v>
      </c>
      <c r="AF351" s="19" t="n">
        <v>0</v>
      </c>
      <c r="AG351" s="19" t="n">
        <v>0</v>
      </c>
      <c r="AH351" s="19" t="n">
        <v>0</v>
      </c>
      <c r="AI351" s="19" t="n">
        <v>0</v>
      </c>
      <c r="AJ351" s="19" t="n">
        <v>0</v>
      </c>
      <c r="AK351" s="19" t="n">
        <v>229.815773026541</v>
      </c>
    </row>
    <row r="353" customFormat="false" ht="12.75" hidden="false" customHeight="false" outlineLevel="0" collapsed="false">
      <c r="B353" s="30" t="s">
        <v>69</v>
      </c>
    </row>
    <row r="355" customFormat="false" ht="12.75" hidden="false" customHeight="false" outlineLevel="0" collapsed="false">
      <c r="D355" s="89" t="s">
        <v>112</v>
      </c>
      <c r="E355" s="89" t="s">
        <v>114</v>
      </c>
      <c r="F355" s="89" t="s">
        <v>116</v>
      </c>
      <c r="G355" s="89" t="s">
        <v>118</v>
      </c>
      <c r="H355" s="89" t="s">
        <v>120</v>
      </c>
      <c r="I355" s="89" t="s">
        <v>122</v>
      </c>
      <c r="J355" s="89" t="s">
        <v>124</v>
      </c>
      <c r="K355" s="89" t="s">
        <v>126</v>
      </c>
      <c r="L355" s="89" t="s">
        <v>128</v>
      </c>
      <c r="M355" s="89" t="s">
        <v>130</v>
      </c>
      <c r="N355" s="89" t="s">
        <v>132</v>
      </c>
      <c r="O355" s="89" t="s">
        <v>134</v>
      </c>
      <c r="P355" s="89" t="s">
        <v>136</v>
      </c>
      <c r="Q355" s="89" t="s">
        <v>138</v>
      </c>
      <c r="R355" s="89" t="s">
        <v>140</v>
      </c>
      <c r="S355" s="89" t="s">
        <v>142</v>
      </c>
      <c r="T355" s="89" t="s">
        <v>144</v>
      </c>
      <c r="U355" s="89" t="s">
        <v>146</v>
      </c>
      <c r="V355" s="89" t="s">
        <v>148</v>
      </c>
      <c r="W355" s="89" t="s">
        <v>150</v>
      </c>
      <c r="X355" s="89" t="s">
        <v>152</v>
      </c>
      <c r="Y355" s="89" t="s">
        <v>154</v>
      </c>
      <c r="Z355" s="89" t="s">
        <v>156</v>
      </c>
      <c r="AA355" s="89" t="s">
        <v>158</v>
      </c>
      <c r="AB355" s="89" t="s">
        <v>160</v>
      </c>
      <c r="AC355" s="89" t="s">
        <v>162</v>
      </c>
      <c r="AD355" s="89" t="s">
        <v>164</v>
      </c>
      <c r="AE355" s="89" t="s">
        <v>166</v>
      </c>
      <c r="AF355" s="89" t="s">
        <v>168</v>
      </c>
      <c r="AG355" s="89" t="s">
        <v>170</v>
      </c>
      <c r="AH355" s="89" t="s">
        <v>172</v>
      </c>
      <c r="AI355" s="89" t="s">
        <v>174</v>
      </c>
      <c r="AJ355" s="89" t="s">
        <v>176</v>
      </c>
      <c r="AK355" s="89" t="s">
        <v>178</v>
      </c>
    </row>
    <row r="356" customFormat="false" ht="12.75" hidden="false" customHeight="false" outlineLevel="0" collapsed="false">
      <c r="C356" s="89" t="s">
        <v>112</v>
      </c>
      <c r="D356" s="94" t="n">
        <f aca="false" t="array" ref="D356:AK389">MINVERSE(D318:AK351)</f>
        <v>0.00032738925681737</v>
      </c>
      <c r="E356" s="94" t="n">
        <v>0</v>
      </c>
      <c r="F356" s="94" t="n">
        <v>0</v>
      </c>
      <c r="G356" s="94" t="n">
        <v>0</v>
      </c>
      <c r="H356" s="94" t="n">
        <v>0</v>
      </c>
      <c r="I356" s="94" t="n">
        <v>0</v>
      </c>
      <c r="J356" s="94" t="n">
        <v>0</v>
      </c>
      <c r="K356" s="94" t="n">
        <v>0</v>
      </c>
      <c r="L356" s="94" t="n">
        <v>0</v>
      </c>
      <c r="M356" s="94" t="n">
        <v>0</v>
      </c>
      <c r="N356" s="94" t="n">
        <v>0</v>
      </c>
      <c r="O356" s="94" t="n">
        <v>0</v>
      </c>
      <c r="P356" s="94" t="n">
        <v>0</v>
      </c>
      <c r="Q356" s="94" t="n">
        <v>0</v>
      </c>
      <c r="R356" s="94" t="n">
        <v>0</v>
      </c>
      <c r="S356" s="94" t="n">
        <v>0</v>
      </c>
      <c r="T356" s="94" t="n">
        <v>0</v>
      </c>
      <c r="U356" s="94" t="n">
        <v>0</v>
      </c>
      <c r="V356" s="94" t="n">
        <v>0</v>
      </c>
      <c r="W356" s="94" t="n">
        <v>0</v>
      </c>
      <c r="X356" s="94" t="n">
        <v>0</v>
      </c>
      <c r="Y356" s="94" t="n">
        <v>0</v>
      </c>
      <c r="Z356" s="94" t="n">
        <v>0</v>
      </c>
      <c r="AA356" s="94" t="n">
        <v>0</v>
      </c>
      <c r="AB356" s="94" t="n">
        <v>0</v>
      </c>
      <c r="AC356" s="94" t="n">
        <v>0</v>
      </c>
      <c r="AD356" s="94" t="n">
        <v>0</v>
      </c>
      <c r="AE356" s="94" t="n">
        <v>0</v>
      </c>
      <c r="AF356" s="94" t="n">
        <v>0</v>
      </c>
      <c r="AG356" s="94" t="n">
        <v>0</v>
      </c>
      <c r="AH356" s="94" t="n">
        <v>0</v>
      </c>
      <c r="AI356" s="94" t="n">
        <v>0</v>
      </c>
      <c r="AJ356" s="94" t="n">
        <v>0</v>
      </c>
      <c r="AK356" s="94" t="n">
        <v>0</v>
      </c>
    </row>
    <row r="357" customFormat="false" ht="12.75" hidden="false" customHeight="false" outlineLevel="0" collapsed="false">
      <c r="C357" s="89" t="s">
        <v>114</v>
      </c>
      <c r="D357" s="94" t="n">
        <v>0</v>
      </c>
      <c r="E357" s="94" t="n">
        <v>0.00687649738420748</v>
      </c>
      <c r="F357" s="94" t="n">
        <v>0</v>
      </c>
      <c r="G357" s="94" t="n">
        <v>0</v>
      </c>
      <c r="H357" s="94" t="n">
        <v>0</v>
      </c>
      <c r="I357" s="94" t="n">
        <v>0</v>
      </c>
      <c r="J357" s="94" t="n">
        <v>0</v>
      </c>
      <c r="K357" s="94" t="n">
        <v>0</v>
      </c>
      <c r="L357" s="94" t="n">
        <v>0</v>
      </c>
      <c r="M357" s="94" t="n">
        <v>0</v>
      </c>
      <c r="N357" s="94" t="n">
        <v>0</v>
      </c>
      <c r="O357" s="94" t="n">
        <v>0</v>
      </c>
      <c r="P357" s="94" t="n">
        <v>0</v>
      </c>
      <c r="Q357" s="94" t="n">
        <v>0</v>
      </c>
      <c r="R357" s="94" t="n">
        <v>0</v>
      </c>
      <c r="S357" s="94" t="n">
        <v>0</v>
      </c>
      <c r="T357" s="94" t="n">
        <v>0</v>
      </c>
      <c r="U357" s="94" t="n">
        <v>0</v>
      </c>
      <c r="V357" s="94" t="n">
        <v>0</v>
      </c>
      <c r="W357" s="94" t="n">
        <v>0</v>
      </c>
      <c r="X357" s="94" t="n">
        <v>0</v>
      </c>
      <c r="Y357" s="94" t="n">
        <v>0</v>
      </c>
      <c r="Z357" s="94" t="n">
        <v>0</v>
      </c>
      <c r="AA357" s="94" t="n">
        <v>0</v>
      </c>
      <c r="AB357" s="94" t="n">
        <v>0</v>
      </c>
      <c r="AC357" s="94" t="n">
        <v>0</v>
      </c>
      <c r="AD357" s="94" t="n">
        <v>0</v>
      </c>
      <c r="AE357" s="94" t="n">
        <v>0</v>
      </c>
      <c r="AF357" s="94" t="n">
        <v>0</v>
      </c>
      <c r="AG357" s="94" t="n">
        <v>0</v>
      </c>
      <c r="AH357" s="94" t="n">
        <v>0</v>
      </c>
      <c r="AI357" s="94" t="n">
        <v>0</v>
      </c>
      <c r="AJ357" s="94" t="n">
        <v>0</v>
      </c>
      <c r="AK357" s="94" t="n">
        <v>0</v>
      </c>
    </row>
    <row r="358" customFormat="false" ht="12.75" hidden="false" customHeight="false" outlineLevel="0" collapsed="false">
      <c r="C358" s="89" t="s">
        <v>116</v>
      </c>
      <c r="D358" s="94" t="n">
        <v>0</v>
      </c>
      <c r="E358" s="94" t="n">
        <v>0</v>
      </c>
      <c r="F358" s="94" t="n">
        <v>0.00155516799753978</v>
      </c>
      <c r="G358" s="94" t="n">
        <v>0</v>
      </c>
      <c r="H358" s="94" t="n">
        <v>0</v>
      </c>
      <c r="I358" s="94" t="n">
        <v>0</v>
      </c>
      <c r="J358" s="94" t="n">
        <v>0</v>
      </c>
      <c r="K358" s="94" t="n">
        <v>0</v>
      </c>
      <c r="L358" s="94" t="n">
        <v>0</v>
      </c>
      <c r="M358" s="94" t="n">
        <v>0</v>
      </c>
      <c r="N358" s="94" t="n">
        <v>0</v>
      </c>
      <c r="O358" s="94" t="n">
        <v>0</v>
      </c>
      <c r="P358" s="94" t="n">
        <v>0</v>
      </c>
      <c r="Q358" s="94" t="n">
        <v>0</v>
      </c>
      <c r="R358" s="94" t="n">
        <v>0</v>
      </c>
      <c r="S358" s="94" t="n">
        <v>0</v>
      </c>
      <c r="T358" s="94" t="n">
        <v>0</v>
      </c>
      <c r="U358" s="94" t="n">
        <v>0</v>
      </c>
      <c r="V358" s="94" t="n">
        <v>0</v>
      </c>
      <c r="W358" s="94" t="n">
        <v>0</v>
      </c>
      <c r="X358" s="94" t="n">
        <v>0</v>
      </c>
      <c r="Y358" s="94" t="n">
        <v>0</v>
      </c>
      <c r="Z358" s="94" t="n">
        <v>0</v>
      </c>
      <c r="AA358" s="94" t="n">
        <v>0</v>
      </c>
      <c r="AB358" s="94" t="n">
        <v>0</v>
      </c>
      <c r="AC358" s="94" t="n">
        <v>0</v>
      </c>
      <c r="AD358" s="94" t="n">
        <v>0</v>
      </c>
      <c r="AE358" s="94" t="n">
        <v>0</v>
      </c>
      <c r="AF358" s="94" t="n">
        <v>0</v>
      </c>
      <c r="AG358" s="94" t="n">
        <v>0</v>
      </c>
      <c r="AH358" s="94" t="n">
        <v>0</v>
      </c>
      <c r="AI358" s="94" t="n">
        <v>0</v>
      </c>
      <c r="AJ358" s="94" t="n">
        <v>0</v>
      </c>
      <c r="AK358" s="94" t="n">
        <v>0</v>
      </c>
    </row>
    <row r="359" customFormat="false" ht="12.75" hidden="false" customHeight="false" outlineLevel="0" collapsed="false">
      <c r="C359" s="89" t="s">
        <v>118</v>
      </c>
      <c r="D359" s="94" t="n">
        <v>0</v>
      </c>
      <c r="E359" s="94" t="n">
        <v>0</v>
      </c>
      <c r="F359" s="94" t="n">
        <v>0</v>
      </c>
      <c r="G359" s="94" t="n">
        <v>0.00779357421666325</v>
      </c>
      <c r="H359" s="94" t="n">
        <v>0</v>
      </c>
      <c r="I359" s="94" t="n">
        <v>0</v>
      </c>
      <c r="J359" s="94" t="n">
        <v>0</v>
      </c>
      <c r="K359" s="94" t="n">
        <v>0</v>
      </c>
      <c r="L359" s="94" t="n">
        <v>0</v>
      </c>
      <c r="M359" s="94" t="n">
        <v>0</v>
      </c>
      <c r="N359" s="94" t="n">
        <v>0</v>
      </c>
      <c r="O359" s="94" t="n">
        <v>0</v>
      </c>
      <c r="P359" s="94" t="n">
        <v>0</v>
      </c>
      <c r="Q359" s="94" t="n">
        <v>0</v>
      </c>
      <c r="R359" s="94" t="n">
        <v>0</v>
      </c>
      <c r="S359" s="94" t="n">
        <v>0</v>
      </c>
      <c r="T359" s="94" t="n">
        <v>0</v>
      </c>
      <c r="U359" s="94" t="n">
        <v>0</v>
      </c>
      <c r="V359" s="94" t="n">
        <v>0</v>
      </c>
      <c r="W359" s="94" t="n">
        <v>0</v>
      </c>
      <c r="X359" s="94" t="n">
        <v>0</v>
      </c>
      <c r="Y359" s="94" t="n">
        <v>0</v>
      </c>
      <c r="Z359" s="94" t="n">
        <v>0</v>
      </c>
      <c r="AA359" s="94" t="n">
        <v>0</v>
      </c>
      <c r="AB359" s="94" t="n">
        <v>0</v>
      </c>
      <c r="AC359" s="94" t="n">
        <v>0</v>
      </c>
      <c r="AD359" s="94" t="n">
        <v>0</v>
      </c>
      <c r="AE359" s="94" t="n">
        <v>0</v>
      </c>
      <c r="AF359" s="94" t="n">
        <v>0</v>
      </c>
      <c r="AG359" s="94" t="n">
        <v>0</v>
      </c>
      <c r="AH359" s="94" t="n">
        <v>0</v>
      </c>
      <c r="AI359" s="94" t="n">
        <v>0</v>
      </c>
      <c r="AJ359" s="94" t="n">
        <v>0</v>
      </c>
      <c r="AK359" s="94" t="n">
        <v>0</v>
      </c>
    </row>
    <row r="360" customFormat="false" ht="12.75" hidden="false" customHeight="false" outlineLevel="0" collapsed="false">
      <c r="C360" s="89" t="s">
        <v>120</v>
      </c>
      <c r="D360" s="94" t="n">
        <v>0</v>
      </c>
      <c r="E360" s="94" t="n">
        <v>0</v>
      </c>
      <c r="F360" s="94" t="n">
        <v>0</v>
      </c>
      <c r="G360" s="94" t="n">
        <v>0</v>
      </c>
      <c r="H360" s="94" t="n">
        <v>0.0735537195629651</v>
      </c>
      <c r="I360" s="94" t="n">
        <v>0</v>
      </c>
      <c r="J360" s="94" t="n">
        <v>0</v>
      </c>
      <c r="K360" s="94" t="n">
        <v>0</v>
      </c>
      <c r="L360" s="94" t="n">
        <v>0</v>
      </c>
      <c r="M360" s="94" t="n">
        <v>0</v>
      </c>
      <c r="N360" s="94" t="n">
        <v>0</v>
      </c>
      <c r="O360" s="94" t="n">
        <v>0</v>
      </c>
      <c r="P360" s="94" t="n">
        <v>0</v>
      </c>
      <c r="Q360" s="94" t="n">
        <v>0</v>
      </c>
      <c r="R360" s="94" t="n">
        <v>0</v>
      </c>
      <c r="S360" s="94" t="n">
        <v>0</v>
      </c>
      <c r="T360" s="94" t="n">
        <v>0</v>
      </c>
      <c r="U360" s="94" t="n">
        <v>0</v>
      </c>
      <c r="V360" s="94" t="n">
        <v>0</v>
      </c>
      <c r="W360" s="94" t="n">
        <v>0</v>
      </c>
      <c r="X360" s="94" t="n">
        <v>0</v>
      </c>
      <c r="Y360" s="94" t="n">
        <v>0</v>
      </c>
      <c r="Z360" s="94" t="n">
        <v>0</v>
      </c>
      <c r="AA360" s="94" t="n">
        <v>0</v>
      </c>
      <c r="AB360" s="94" t="n">
        <v>0</v>
      </c>
      <c r="AC360" s="94" t="n">
        <v>0</v>
      </c>
      <c r="AD360" s="94" t="n">
        <v>0</v>
      </c>
      <c r="AE360" s="94" t="n">
        <v>0</v>
      </c>
      <c r="AF360" s="94" t="n">
        <v>0</v>
      </c>
      <c r="AG360" s="94" t="n">
        <v>0</v>
      </c>
      <c r="AH360" s="94" t="n">
        <v>0</v>
      </c>
      <c r="AI360" s="94" t="n">
        <v>0</v>
      </c>
      <c r="AJ360" s="94" t="n">
        <v>0</v>
      </c>
      <c r="AK360" s="94" t="n">
        <v>0</v>
      </c>
    </row>
    <row r="361" customFormat="false" ht="12.75" hidden="false" customHeight="false" outlineLevel="0" collapsed="false">
      <c r="C361" s="89" t="s">
        <v>122</v>
      </c>
      <c r="D361" s="94" t="n">
        <v>0</v>
      </c>
      <c r="E361" s="94" t="n">
        <v>0</v>
      </c>
      <c r="F361" s="94" t="n">
        <v>0</v>
      </c>
      <c r="G361" s="94" t="n">
        <v>0</v>
      </c>
      <c r="H361" s="94" t="n">
        <v>0</v>
      </c>
      <c r="I361" s="94" t="n">
        <v>0.253177812582342</v>
      </c>
      <c r="J361" s="94" t="n">
        <v>0</v>
      </c>
      <c r="K361" s="94" t="n">
        <v>0</v>
      </c>
      <c r="L361" s="94" t="n">
        <v>0</v>
      </c>
      <c r="M361" s="94" t="n">
        <v>0</v>
      </c>
      <c r="N361" s="94" t="n">
        <v>0</v>
      </c>
      <c r="O361" s="94" t="n">
        <v>0</v>
      </c>
      <c r="P361" s="94" t="n">
        <v>0</v>
      </c>
      <c r="Q361" s="94" t="n">
        <v>0</v>
      </c>
      <c r="R361" s="94" t="n">
        <v>0</v>
      </c>
      <c r="S361" s="94" t="n">
        <v>0</v>
      </c>
      <c r="T361" s="94" t="n">
        <v>0</v>
      </c>
      <c r="U361" s="94" t="n">
        <v>0</v>
      </c>
      <c r="V361" s="94" t="n">
        <v>0</v>
      </c>
      <c r="W361" s="94" t="n">
        <v>0</v>
      </c>
      <c r="X361" s="94" t="n">
        <v>0</v>
      </c>
      <c r="Y361" s="94" t="n">
        <v>0</v>
      </c>
      <c r="Z361" s="94" t="n">
        <v>0</v>
      </c>
      <c r="AA361" s="94" t="n">
        <v>0</v>
      </c>
      <c r="AB361" s="94" t="n">
        <v>0</v>
      </c>
      <c r="AC361" s="94" t="n">
        <v>0</v>
      </c>
      <c r="AD361" s="94" t="n">
        <v>0</v>
      </c>
      <c r="AE361" s="94" t="n">
        <v>0</v>
      </c>
      <c r="AF361" s="94" t="n">
        <v>0</v>
      </c>
      <c r="AG361" s="94" t="n">
        <v>0</v>
      </c>
      <c r="AH361" s="94" t="n">
        <v>0</v>
      </c>
      <c r="AI361" s="94" t="n">
        <v>0</v>
      </c>
      <c r="AJ361" s="94" t="n">
        <v>0</v>
      </c>
      <c r="AK361" s="94" t="n">
        <v>0</v>
      </c>
    </row>
    <row r="362" customFormat="false" ht="12.75" hidden="false" customHeight="false" outlineLevel="0" collapsed="false">
      <c r="C362" s="89" t="s">
        <v>124</v>
      </c>
      <c r="D362" s="94" t="n">
        <v>0</v>
      </c>
      <c r="E362" s="94" t="n">
        <v>0</v>
      </c>
      <c r="F362" s="94" t="n">
        <v>0</v>
      </c>
      <c r="G362" s="94" t="n">
        <v>0</v>
      </c>
      <c r="H362" s="94" t="n">
        <v>0</v>
      </c>
      <c r="I362" s="94" t="n">
        <v>0</v>
      </c>
      <c r="J362" s="94" t="n">
        <v>0.0253293216997393</v>
      </c>
      <c r="K362" s="94" t="n">
        <v>0</v>
      </c>
      <c r="L362" s="94" t="n">
        <v>0</v>
      </c>
      <c r="M362" s="94" t="n">
        <v>0</v>
      </c>
      <c r="N362" s="94" t="n">
        <v>0</v>
      </c>
      <c r="O362" s="94" t="n">
        <v>0</v>
      </c>
      <c r="P362" s="94" t="n">
        <v>0</v>
      </c>
      <c r="Q362" s="94" t="n">
        <v>0</v>
      </c>
      <c r="R362" s="94" t="n">
        <v>0</v>
      </c>
      <c r="S362" s="94" t="n">
        <v>0</v>
      </c>
      <c r="T362" s="94" t="n">
        <v>0</v>
      </c>
      <c r="U362" s="94" t="n">
        <v>0</v>
      </c>
      <c r="V362" s="94" t="n">
        <v>0</v>
      </c>
      <c r="W362" s="94" t="n">
        <v>0</v>
      </c>
      <c r="X362" s="94" t="n">
        <v>0</v>
      </c>
      <c r="Y362" s="94" t="n">
        <v>0</v>
      </c>
      <c r="Z362" s="94" t="n">
        <v>0</v>
      </c>
      <c r="AA362" s="94" t="n">
        <v>0</v>
      </c>
      <c r="AB362" s="94" t="n">
        <v>0</v>
      </c>
      <c r="AC362" s="94" t="n">
        <v>0</v>
      </c>
      <c r="AD362" s="94" t="n">
        <v>0</v>
      </c>
      <c r="AE362" s="94" t="n">
        <v>0</v>
      </c>
      <c r="AF362" s="94" t="n">
        <v>0</v>
      </c>
      <c r="AG362" s="94" t="n">
        <v>0</v>
      </c>
      <c r="AH362" s="94" t="n">
        <v>0</v>
      </c>
      <c r="AI362" s="94" t="n">
        <v>0</v>
      </c>
      <c r="AJ362" s="94" t="n">
        <v>0</v>
      </c>
      <c r="AK362" s="94" t="n">
        <v>0</v>
      </c>
    </row>
    <row r="363" customFormat="false" ht="12.75" hidden="false" customHeight="false" outlineLevel="0" collapsed="false">
      <c r="C363" s="89" t="s">
        <v>126</v>
      </c>
      <c r="D363" s="94" t="n">
        <v>0</v>
      </c>
      <c r="E363" s="94" t="n">
        <v>0</v>
      </c>
      <c r="F363" s="94" t="n">
        <v>0</v>
      </c>
      <c r="G363" s="94" t="n">
        <v>0</v>
      </c>
      <c r="H363" s="94" t="n">
        <v>0</v>
      </c>
      <c r="I363" s="94" t="n">
        <v>0</v>
      </c>
      <c r="J363" s="94" t="n">
        <v>0</v>
      </c>
      <c r="K363" s="94" t="n">
        <v>0.0118053776642156</v>
      </c>
      <c r="L363" s="94" t="n">
        <v>0</v>
      </c>
      <c r="M363" s="94" t="n">
        <v>0</v>
      </c>
      <c r="N363" s="94" t="n">
        <v>0</v>
      </c>
      <c r="O363" s="94" t="n">
        <v>0</v>
      </c>
      <c r="P363" s="94" t="n">
        <v>0</v>
      </c>
      <c r="Q363" s="94" t="n">
        <v>0</v>
      </c>
      <c r="R363" s="94" t="n">
        <v>0</v>
      </c>
      <c r="S363" s="94" t="n">
        <v>0</v>
      </c>
      <c r="T363" s="94" t="n">
        <v>0</v>
      </c>
      <c r="U363" s="94" t="n">
        <v>0</v>
      </c>
      <c r="V363" s="94" t="n">
        <v>0</v>
      </c>
      <c r="W363" s="94" t="n">
        <v>0</v>
      </c>
      <c r="X363" s="94" t="n">
        <v>0</v>
      </c>
      <c r="Y363" s="94" t="n">
        <v>0</v>
      </c>
      <c r="Z363" s="94" t="n">
        <v>0</v>
      </c>
      <c r="AA363" s="94" t="n">
        <v>0</v>
      </c>
      <c r="AB363" s="94" t="n">
        <v>0</v>
      </c>
      <c r="AC363" s="94" t="n">
        <v>0</v>
      </c>
      <c r="AD363" s="94" t="n">
        <v>0</v>
      </c>
      <c r="AE363" s="94" t="n">
        <v>0</v>
      </c>
      <c r="AF363" s="94" t="n">
        <v>0</v>
      </c>
      <c r="AG363" s="94" t="n">
        <v>0</v>
      </c>
      <c r="AH363" s="94" t="n">
        <v>0</v>
      </c>
      <c r="AI363" s="94" t="n">
        <v>0</v>
      </c>
      <c r="AJ363" s="94" t="n">
        <v>0</v>
      </c>
      <c r="AK363" s="94" t="n">
        <v>0</v>
      </c>
    </row>
    <row r="364" customFormat="false" ht="12.75" hidden="false" customHeight="false" outlineLevel="0" collapsed="false">
      <c r="C364" s="89" t="s">
        <v>128</v>
      </c>
      <c r="D364" s="94" t="n">
        <v>0</v>
      </c>
      <c r="E364" s="94" t="n">
        <v>0</v>
      </c>
      <c r="F364" s="94" t="n">
        <v>0</v>
      </c>
      <c r="G364" s="94" t="n">
        <v>0</v>
      </c>
      <c r="H364" s="94" t="n">
        <v>0</v>
      </c>
      <c r="I364" s="94" t="n">
        <v>0</v>
      </c>
      <c r="J364" s="94" t="n">
        <v>0</v>
      </c>
      <c r="K364" s="94" t="n">
        <v>0</v>
      </c>
      <c r="L364" s="94" t="n">
        <v>0.0255441049493762</v>
      </c>
      <c r="M364" s="94" t="n">
        <v>0</v>
      </c>
      <c r="N364" s="94" t="n">
        <v>0</v>
      </c>
      <c r="O364" s="94" t="n">
        <v>0</v>
      </c>
      <c r="P364" s="94" t="n">
        <v>0</v>
      </c>
      <c r="Q364" s="94" t="n">
        <v>0</v>
      </c>
      <c r="R364" s="94" t="n">
        <v>0</v>
      </c>
      <c r="S364" s="94" t="n">
        <v>0</v>
      </c>
      <c r="T364" s="94" t="n">
        <v>0</v>
      </c>
      <c r="U364" s="94" t="n">
        <v>0</v>
      </c>
      <c r="V364" s="94" t="n">
        <v>0</v>
      </c>
      <c r="W364" s="94" t="n">
        <v>0</v>
      </c>
      <c r="X364" s="94" t="n">
        <v>0</v>
      </c>
      <c r="Y364" s="94" t="n">
        <v>0</v>
      </c>
      <c r="Z364" s="94" t="n">
        <v>0</v>
      </c>
      <c r="AA364" s="94" t="n">
        <v>0</v>
      </c>
      <c r="AB364" s="94" t="n">
        <v>0</v>
      </c>
      <c r="AC364" s="94" t="n">
        <v>0</v>
      </c>
      <c r="AD364" s="94" t="n">
        <v>0</v>
      </c>
      <c r="AE364" s="94" t="n">
        <v>0</v>
      </c>
      <c r="AF364" s="94" t="n">
        <v>0</v>
      </c>
      <c r="AG364" s="94" t="n">
        <v>0</v>
      </c>
      <c r="AH364" s="94" t="n">
        <v>0</v>
      </c>
      <c r="AI364" s="94" t="n">
        <v>0</v>
      </c>
      <c r="AJ364" s="94" t="n">
        <v>0</v>
      </c>
      <c r="AK364" s="94" t="n">
        <v>0</v>
      </c>
    </row>
    <row r="365" customFormat="false" ht="12.75" hidden="false" customHeight="false" outlineLevel="0" collapsed="false">
      <c r="C365" s="89" t="s">
        <v>130</v>
      </c>
      <c r="D365" s="94" t="n">
        <v>0</v>
      </c>
      <c r="E365" s="94" t="n">
        <v>0</v>
      </c>
      <c r="F365" s="94" t="n">
        <v>0</v>
      </c>
      <c r="G365" s="94" t="n">
        <v>0</v>
      </c>
      <c r="H365" s="94" t="n">
        <v>0</v>
      </c>
      <c r="I365" s="94" t="n">
        <v>0</v>
      </c>
      <c r="J365" s="94" t="n">
        <v>0</v>
      </c>
      <c r="K365" s="94" t="n">
        <v>0</v>
      </c>
      <c r="L365" s="94" t="n">
        <v>0</v>
      </c>
      <c r="M365" s="94" t="n">
        <v>0.0130993226260787</v>
      </c>
      <c r="N365" s="94" t="n">
        <v>0</v>
      </c>
      <c r="O365" s="94" t="n">
        <v>0</v>
      </c>
      <c r="P365" s="94" t="n">
        <v>0</v>
      </c>
      <c r="Q365" s="94" t="n">
        <v>0</v>
      </c>
      <c r="R365" s="94" t="n">
        <v>0</v>
      </c>
      <c r="S365" s="94" t="n">
        <v>0</v>
      </c>
      <c r="T365" s="94" t="n">
        <v>0</v>
      </c>
      <c r="U365" s="94" t="n">
        <v>0</v>
      </c>
      <c r="V365" s="94" t="n">
        <v>0</v>
      </c>
      <c r="W365" s="94" t="n">
        <v>0</v>
      </c>
      <c r="X365" s="94" t="n">
        <v>0</v>
      </c>
      <c r="Y365" s="94" t="n">
        <v>0</v>
      </c>
      <c r="Z365" s="94" t="n">
        <v>0</v>
      </c>
      <c r="AA365" s="94" t="n">
        <v>0</v>
      </c>
      <c r="AB365" s="94" t="n">
        <v>0</v>
      </c>
      <c r="AC365" s="94" t="n">
        <v>0</v>
      </c>
      <c r="AD365" s="94" t="n">
        <v>0</v>
      </c>
      <c r="AE365" s="94" t="n">
        <v>0</v>
      </c>
      <c r="AF365" s="94" t="n">
        <v>0</v>
      </c>
      <c r="AG365" s="94" t="n">
        <v>0</v>
      </c>
      <c r="AH365" s="94" t="n">
        <v>0</v>
      </c>
      <c r="AI365" s="94" t="n">
        <v>0</v>
      </c>
      <c r="AJ365" s="94" t="n">
        <v>0</v>
      </c>
      <c r="AK365" s="94" t="n">
        <v>0</v>
      </c>
    </row>
    <row r="366" customFormat="false" ht="12.75" hidden="false" customHeight="false" outlineLevel="0" collapsed="false">
      <c r="C366" s="89" t="s">
        <v>132</v>
      </c>
      <c r="D366" s="94" t="n">
        <v>0</v>
      </c>
      <c r="E366" s="94" t="n">
        <v>0</v>
      </c>
      <c r="F366" s="94" t="n">
        <v>0</v>
      </c>
      <c r="G366" s="94" t="n">
        <v>0</v>
      </c>
      <c r="H366" s="94" t="n">
        <v>0</v>
      </c>
      <c r="I366" s="94" t="n">
        <v>0</v>
      </c>
      <c r="J366" s="94" t="n">
        <v>0</v>
      </c>
      <c r="K366" s="94" t="n">
        <v>0</v>
      </c>
      <c r="L366" s="94" t="n">
        <v>0</v>
      </c>
      <c r="M366" s="94" t="n">
        <v>0</v>
      </c>
      <c r="N366" s="94" t="n">
        <v>0.00356775070401739</v>
      </c>
      <c r="O366" s="94" t="n">
        <v>0</v>
      </c>
      <c r="P366" s="94" t="n">
        <v>0</v>
      </c>
      <c r="Q366" s="94" t="n">
        <v>0</v>
      </c>
      <c r="R366" s="94" t="n">
        <v>0</v>
      </c>
      <c r="S366" s="94" t="n">
        <v>0</v>
      </c>
      <c r="T366" s="94" t="n">
        <v>0</v>
      </c>
      <c r="U366" s="94" t="n">
        <v>0</v>
      </c>
      <c r="V366" s="94" t="n">
        <v>0</v>
      </c>
      <c r="W366" s="94" t="n">
        <v>0</v>
      </c>
      <c r="X366" s="94" t="n">
        <v>0</v>
      </c>
      <c r="Y366" s="94" t="n">
        <v>0</v>
      </c>
      <c r="Z366" s="94" t="n">
        <v>0</v>
      </c>
      <c r="AA366" s="94" t="n">
        <v>0</v>
      </c>
      <c r="AB366" s="94" t="n">
        <v>0</v>
      </c>
      <c r="AC366" s="94" t="n">
        <v>0</v>
      </c>
      <c r="AD366" s="94" t="n">
        <v>0</v>
      </c>
      <c r="AE366" s="94" t="n">
        <v>0</v>
      </c>
      <c r="AF366" s="94" t="n">
        <v>0</v>
      </c>
      <c r="AG366" s="94" t="n">
        <v>0</v>
      </c>
      <c r="AH366" s="94" t="n">
        <v>0</v>
      </c>
      <c r="AI366" s="94" t="n">
        <v>0</v>
      </c>
      <c r="AJ366" s="94" t="n">
        <v>0</v>
      </c>
      <c r="AK366" s="94" t="n">
        <v>0</v>
      </c>
    </row>
    <row r="367" customFormat="false" ht="12.75" hidden="false" customHeight="false" outlineLevel="0" collapsed="false">
      <c r="C367" s="89" t="s">
        <v>134</v>
      </c>
      <c r="D367" s="94" t="n">
        <v>0</v>
      </c>
      <c r="E367" s="94" t="n">
        <v>0</v>
      </c>
      <c r="F367" s="94" t="n">
        <v>0</v>
      </c>
      <c r="G367" s="94" t="n">
        <v>0</v>
      </c>
      <c r="H367" s="94" t="n">
        <v>0</v>
      </c>
      <c r="I367" s="94" t="n">
        <v>0</v>
      </c>
      <c r="J367" s="94" t="n">
        <v>0</v>
      </c>
      <c r="K367" s="94" t="n">
        <v>0</v>
      </c>
      <c r="L367" s="94" t="n">
        <v>0</v>
      </c>
      <c r="M367" s="94" t="n">
        <v>0</v>
      </c>
      <c r="N367" s="94" t="n">
        <v>0</v>
      </c>
      <c r="O367" s="94" t="n">
        <v>0.00057857298262158</v>
      </c>
      <c r="P367" s="94" t="n">
        <v>0</v>
      </c>
      <c r="Q367" s="94" t="n">
        <v>0</v>
      </c>
      <c r="R367" s="94" t="n">
        <v>0</v>
      </c>
      <c r="S367" s="94" t="n">
        <v>0</v>
      </c>
      <c r="T367" s="94" t="n">
        <v>0</v>
      </c>
      <c r="U367" s="94" t="n">
        <v>0</v>
      </c>
      <c r="V367" s="94" t="n">
        <v>0</v>
      </c>
      <c r="W367" s="94" t="n">
        <v>0</v>
      </c>
      <c r="X367" s="94" t="n">
        <v>0</v>
      </c>
      <c r="Y367" s="94" t="n">
        <v>0</v>
      </c>
      <c r="Z367" s="94" t="n">
        <v>0</v>
      </c>
      <c r="AA367" s="94" t="n">
        <v>0</v>
      </c>
      <c r="AB367" s="94" t="n">
        <v>0</v>
      </c>
      <c r="AC367" s="94" t="n">
        <v>0</v>
      </c>
      <c r="AD367" s="94" t="n">
        <v>0</v>
      </c>
      <c r="AE367" s="94" t="n">
        <v>0</v>
      </c>
      <c r="AF367" s="94" t="n">
        <v>0</v>
      </c>
      <c r="AG367" s="94" t="n">
        <v>0</v>
      </c>
      <c r="AH367" s="94" t="n">
        <v>0</v>
      </c>
      <c r="AI367" s="94" t="n">
        <v>0</v>
      </c>
      <c r="AJ367" s="94" t="n">
        <v>0</v>
      </c>
      <c r="AK367" s="94" t="n">
        <v>0</v>
      </c>
    </row>
    <row r="368" customFormat="false" ht="12.75" hidden="false" customHeight="false" outlineLevel="0" collapsed="false">
      <c r="C368" s="89" t="s">
        <v>136</v>
      </c>
      <c r="D368" s="94" t="n">
        <v>0</v>
      </c>
      <c r="E368" s="94" t="n">
        <v>0</v>
      </c>
      <c r="F368" s="94" t="n">
        <v>0</v>
      </c>
      <c r="G368" s="94" t="n">
        <v>0</v>
      </c>
      <c r="H368" s="94" t="n">
        <v>0</v>
      </c>
      <c r="I368" s="94" t="n">
        <v>0</v>
      </c>
      <c r="J368" s="94" t="n">
        <v>0</v>
      </c>
      <c r="K368" s="94" t="n">
        <v>0</v>
      </c>
      <c r="L368" s="94" t="n">
        <v>0</v>
      </c>
      <c r="M368" s="94" t="n">
        <v>0</v>
      </c>
      <c r="N368" s="94" t="n">
        <v>0</v>
      </c>
      <c r="O368" s="94" t="n">
        <v>0</v>
      </c>
      <c r="P368" s="94" t="n">
        <v>0.0292412516909855</v>
      </c>
      <c r="Q368" s="94" t="n">
        <v>0</v>
      </c>
      <c r="R368" s="94" t="n">
        <v>0</v>
      </c>
      <c r="S368" s="94" t="n">
        <v>0</v>
      </c>
      <c r="T368" s="94" t="n">
        <v>0</v>
      </c>
      <c r="U368" s="94" t="n">
        <v>0</v>
      </c>
      <c r="V368" s="94" t="n">
        <v>0</v>
      </c>
      <c r="W368" s="94" t="n">
        <v>0</v>
      </c>
      <c r="X368" s="94" t="n">
        <v>0</v>
      </c>
      <c r="Y368" s="94" t="n">
        <v>0</v>
      </c>
      <c r="Z368" s="94" t="n">
        <v>0</v>
      </c>
      <c r="AA368" s="94" t="n">
        <v>0</v>
      </c>
      <c r="AB368" s="94" t="n">
        <v>0</v>
      </c>
      <c r="AC368" s="94" t="n">
        <v>0</v>
      </c>
      <c r="AD368" s="94" t="n">
        <v>0</v>
      </c>
      <c r="AE368" s="94" t="n">
        <v>0</v>
      </c>
      <c r="AF368" s="94" t="n">
        <v>0</v>
      </c>
      <c r="AG368" s="94" t="n">
        <v>0</v>
      </c>
      <c r="AH368" s="94" t="n">
        <v>0</v>
      </c>
      <c r="AI368" s="94" t="n">
        <v>0</v>
      </c>
      <c r="AJ368" s="94" t="n">
        <v>0</v>
      </c>
      <c r="AK368" s="94" t="n">
        <v>0</v>
      </c>
    </row>
    <row r="369" customFormat="false" ht="12.75" hidden="false" customHeight="false" outlineLevel="0" collapsed="false">
      <c r="C369" s="89" t="s">
        <v>138</v>
      </c>
      <c r="D369" s="94" t="n">
        <v>0</v>
      </c>
      <c r="E369" s="94" t="n">
        <v>0</v>
      </c>
      <c r="F369" s="94" t="n">
        <v>0</v>
      </c>
      <c r="G369" s="94" t="n">
        <v>0</v>
      </c>
      <c r="H369" s="94" t="n">
        <v>0</v>
      </c>
      <c r="I369" s="94" t="n">
        <v>0</v>
      </c>
      <c r="J369" s="94" t="n">
        <v>0</v>
      </c>
      <c r="K369" s="94" t="n">
        <v>0</v>
      </c>
      <c r="L369" s="94" t="n">
        <v>0</v>
      </c>
      <c r="M369" s="94" t="n">
        <v>0</v>
      </c>
      <c r="N369" s="94" t="n">
        <v>0</v>
      </c>
      <c r="O369" s="94" t="n">
        <v>0</v>
      </c>
      <c r="P369" s="94" t="n">
        <v>0</v>
      </c>
      <c r="Q369" s="94" t="n">
        <v>0.127759804121414</v>
      </c>
      <c r="R369" s="94" t="n">
        <v>0</v>
      </c>
      <c r="S369" s="94" t="n">
        <v>0</v>
      </c>
      <c r="T369" s="94" t="n">
        <v>0</v>
      </c>
      <c r="U369" s="94" t="n">
        <v>0</v>
      </c>
      <c r="V369" s="94" t="n">
        <v>0</v>
      </c>
      <c r="W369" s="94" t="n">
        <v>0</v>
      </c>
      <c r="X369" s="94" t="n">
        <v>0</v>
      </c>
      <c r="Y369" s="94" t="n">
        <v>0</v>
      </c>
      <c r="Z369" s="94" t="n">
        <v>0</v>
      </c>
      <c r="AA369" s="94" t="n">
        <v>0</v>
      </c>
      <c r="AB369" s="94" t="n">
        <v>0</v>
      </c>
      <c r="AC369" s="94" t="n">
        <v>0</v>
      </c>
      <c r="AD369" s="94" t="n">
        <v>0</v>
      </c>
      <c r="AE369" s="94" t="n">
        <v>0</v>
      </c>
      <c r="AF369" s="94" t="n">
        <v>0</v>
      </c>
      <c r="AG369" s="94" t="n">
        <v>0</v>
      </c>
      <c r="AH369" s="94" t="n">
        <v>0</v>
      </c>
      <c r="AI369" s="94" t="n">
        <v>0</v>
      </c>
      <c r="AJ369" s="94" t="n">
        <v>0</v>
      </c>
      <c r="AK369" s="94" t="n">
        <v>0</v>
      </c>
    </row>
    <row r="370" customFormat="false" ht="12.75" hidden="false" customHeight="false" outlineLevel="0" collapsed="false">
      <c r="C370" s="89" t="s">
        <v>140</v>
      </c>
      <c r="D370" s="94" t="n">
        <v>0</v>
      </c>
      <c r="E370" s="94" t="n">
        <v>0</v>
      </c>
      <c r="F370" s="94" t="n">
        <v>0</v>
      </c>
      <c r="G370" s="94" t="n">
        <v>0</v>
      </c>
      <c r="H370" s="94" t="n">
        <v>0</v>
      </c>
      <c r="I370" s="94" t="n">
        <v>0</v>
      </c>
      <c r="J370" s="94" t="n">
        <v>0</v>
      </c>
      <c r="K370" s="94" t="n">
        <v>0</v>
      </c>
      <c r="L370" s="94" t="n">
        <v>0</v>
      </c>
      <c r="M370" s="94" t="n">
        <v>0</v>
      </c>
      <c r="N370" s="94" t="n">
        <v>0</v>
      </c>
      <c r="O370" s="94" t="n">
        <v>0</v>
      </c>
      <c r="P370" s="94" t="n">
        <v>0</v>
      </c>
      <c r="Q370" s="94" t="n">
        <v>0</v>
      </c>
      <c r="R370" s="94" t="n">
        <v>0.0501568779438774</v>
      </c>
      <c r="S370" s="94" t="n">
        <v>0</v>
      </c>
      <c r="T370" s="94" t="n">
        <v>0</v>
      </c>
      <c r="U370" s="94" t="n">
        <v>0</v>
      </c>
      <c r="V370" s="94" t="n">
        <v>0</v>
      </c>
      <c r="W370" s="94" t="n">
        <v>0</v>
      </c>
      <c r="X370" s="94" t="n">
        <v>0</v>
      </c>
      <c r="Y370" s="94" t="n">
        <v>0</v>
      </c>
      <c r="Z370" s="94" t="n">
        <v>0</v>
      </c>
      <c r="AA370" s="94" t="n">
        <v>0</v>
      </c>
      <c r="AB370" s="94" t="n">
        <v>0</v>
      </c>
      <c r="AC370" s="94" t="n">
        <v>0</v>
      </c>
      <c r="AD370" s="94" t="n">
        <v>0</v>
      </c>
      <c r="AE370" s="94" t="n">
        <v>0</v>
      </c>
      <c r="AF370" s="94" t="n">
        <v>0</v>
      </c>
      <c r="AG370" s="94" t="n">
        <v>0</v>
      </c>
      <c r="AH370" s="94" t="n">
        <v>0</v>
      </c>
      <c r="AI370" s="94" t="n">
        <v>0</v>
      </c>
      <c r="AJ370" s="94" t="n">
        <v>0</v>
      </c>
      <c r="AK370" s="94" t="n">
        <v>0</v>
      </c>
    </row>
    <row r="371" customFormat="false" ht="12.75" hidden="false" customHeight="false" outlineLevel="0" collapsed="false">
      <c r="C371" s="89" t="s">
        <v>142</v>
      </c>
      <c r="D371" s="94" t="n">
        <v>0</v>
      </c>
      <c r="E371" s="94" t="n">
        <v>0</v>
      </c>
      <c r="F371" s="94" t="n">
        <v>0</v>
      </c>
      <c r="G371" s="94" t="n">
        <v>0</v>
      </c>
      <c r="H371" s="94" t="n">
        <v>0</v>
      </c>
      <c r="I371" s="94" t="n">
        <v>0</v>
      </c>
      <c r="J371" s="94" t="n">
        <v>0</v>
      </c>
      <c r="K371" s="94" t="n">
        <v>0</v>
      </c>
      <c r="L371" s="94" t="n">
        <v>0</v>
      </c>
      <c r="M371" s="94" t="n">
        <v>0</v>
      </c>
      <c r="N371" s="94" t="n">
        <v>0</v>
      </c>
      <c r="O371" s="94" t="n">
        <v>0</v>
      </c>
      <c r="P371" s="94" t="n">
        <v>0</v>
      </c>
      <c r="Q371" s="94" t="n">
        <v>0</v>
      </c>
      <c r="R371" s="94" t="n">
        <v>0</v>
      </c>
      <c r="S371" s="94" t="n">
        <v>0.0355272604910747</v>
      </c>
      <c r="T371" s="94" t="n">
        <v>0</v>
      </c>
      <c r="U371" s="94" t="n">
        <v>0</v>
      </c>
      <c r="V371" s="94" t="n">
        <v>0</v>
      </c>
      <c r="W371" s="94" t="n">
        <v>0</v>
      </c>
      <c r="X371" s="94" t="n">
        <v>0</v>
      </c>
      <c r="Y371" s="94" t="n">
        <v>0</v>
      </c>
      <c r="Z371" s="94" t="n">
        <v>0</v>
      </c>
      <c r="AA371" s="94" t="n">
        <v>0</v>
      </c>
      <c r="AB371" s="94" t="n">
        <v>0</v>
      </c>
      <c r="AC371" s="94" t="n">
        <v>0</v>
      </c>
      <c r="AD371" s="94" t="n">
        <v>0</v>
      </c>
      <c r="AE371" s="94" t="n">
        <v>0</v>
      </c>
      <c r="AF371" s="94" t="n">
        <v>0</v>
      </c>
      <c r="AG371" s="94" t="n">
        <v>0</v>
      </c>
      <c r="AH371" s="94" t="n">
        <v>0</v>
      </c>
      <c r="AI371" s="94" t="n">
        <v>0</v>
      </c>
      <c r="AJ371" s="94" t="n">
        <v>0</v>
      </c>
      <c r="AK371" s="94" t="n">
        <v>0</v>
      </c>
    </row>
    <row r="372" customFormat="false" ht="12.75" hidden="false" customHeight="false" outlineLevel="0" collapsed="false">
      <c r="C372" s="89" t="s">
        <v>144</v>
      </c>
      <c r="D372" s="94" t="n">
        <v>0</v>
      </c>
      <c r="E372" s="94" t="n">
        <v>0</v>
      </c>
      <c r="F372" s="94" t="n">
        <v>0</v>
      </c>
      <c r="G372" s="94" t="n">
        <v>0</v>
      </c>
      <c r="H372" s="94" t="n">
        <v>0</v>
      </c>
      <c r="I372" s="94" t="n">
        <v>0</v>
      </c>
      <c r="J372" s="94" t="n">
        <v>0</v>
      </c>
      <c r="K372" s="94" t="n">
        <v>0</v>
      </c>
      <c r="L372" s="94" t="n">
        <v>0</v>
      </c>
      <c r="M372" s="94" t="n">
        <v>0</v>
      </c>
      <c r="N372" s="94" t="n">
        <v>0</v>
      </c>
      <c r="O372" s="94" t="n">
        <v>0</v>
      </c>
      <c r="P372" s="94" t="n">
        <v>0</v>
      </c>
      <c r="Q372" s="94" t="n">
        <v>0</v>
      </c>
      <c r="R372" s="94" t="n">
        <v>0</v>
      </c>
      <c r="S372" s="94" t="n">
        <v>0</v>
      </c>
      <c r="T372" s="94" t="n">
        <v>0.00278884452868141</v>
      </c>
      <c r="U372" s="94" t="n">
        <v>0</v>
      </c>
      <c r="V372" s="94" t="n">
        <v>0</v>
      </c>
      <c r="W372" s="94" t="n">
        <v>0</v>
      </c>
      <c r="X372" s="94" t="n">
        <v>0</v>
      </c>
      <c r="Y372" s="94" t="n">
        <v>0</v>
      </c>
      <c r="Z372" s="94" t="n">
        <v>0</v>
      </c>
      <c r="AA372" s="94" t="n">
        <v>0</v>
      </c>
      <c r="AB372" s="94" t="n">
        <v>0</v>
      </c>
      <c r="AC372" s="94" t="n">
        <v>0</v>
      </c>
      <c r="AD372" s="94" t="n">
        <v>0</v>
      </c>
      <c r="AE372" s="94" t="n">
        <v>0</v>
      </c>
      <c r="AF372" s="94" t="n">
        <v>0</v>
      </c>
      <c r="AG372" s="94" t="n">
        <v>0</v>
      </c>
      <c r="AH372" s="94" t="n">
        <v>0</v>
      </c>
      <c r="AI372" s="94" t="n">
        <v>0</v>
      </c>
      <c r="AJ372" s="94" t="n">
        <v>0</v>
      </c>
      <c r="AK372" s="94" t="n">
        <v>0</v>
      </c>
    </row>
    <row r="373" customFormat="false" ht="12.75" hidden="false" customHeight="false" outlineLevel="0" collapsed="false">
      <c r="C373" s="89" t="s">
        <v>146</v>
      </c>
      <c r="D373" s="94" t="n">
        <v>0</v>
      </c>
      <c r="E373" s="94" t="n">
        <v>0</v>
      </c>
      <c r="F373" s="94" t="n">
        <v>0</v>
      </c>
      <c r="G373" s="94" t="n">
        <v>0</v>
      </c>
      <c r="H373" s="94" t="n">
        <v>0</v>
      </c>
      <c r="I373" s="94" t="n">
        <v>0</v>
      </c>
      <c r="J373" s="94" t="n">
        <v>0</v>
      </c>
      <c r="K373" s="94" t="n">
        <v>0</v>
      </c>
      <c r="L373" s="94" t="n">
        <v>0</v>
      </c>
      <c r="M373" s="94" t="n">
        <v>0</v>
      </c>
      <c r="N373" s="94" t="n">
        <v>0</v>
      </c>
      <c r="O373" s="94" t="n">
        <v>0</v>
      </c>
      <c r="P373" s="94" t="n">
        <v>0</v>
      </c>
      <c r="Q373" s="94" t="n">
        <v>0</v>
      </c>
      <c r="R373" s="94" t="n">
        <v>0</v>
      </c>
      <c r="S373" s="94" t="n">
        <v>0</v>
      </c>
      <c r="T373" s="94" t="n">
        <v>0</v>
      </c>
      <c r="U373" s="94" t="n">
        <v>0.000506999820326194</v>
      </c>
      <c r="V373" s="94" t="n">
        <v>0</v>
      </c>
      <c r="W373" s="94" t="n">
        <v>0</v>
      </c>
      <c r="X373" s="94" t="n">
        <v>0</v>
      </c>
      <c r="Y373" s="94" t="n">
        <v>0</v>
      </c>
      <c r="Z373" s="94" t="n">
        <v>0</v>
      </c>
      <c r="AA373" s="94" t="n">
        <v>0</v>
      </c>
      <c r="AB373" s="94" t="n">
        <v>0</v>
      </c>
      <c r="AC373" s="94" t="n">
        <v>0</v>
      </c>
      <c r="AD373" s="94" t="n">
        <v>0</v>
      </c>
      <c r="AE373" s="94" t="n">
        <v>0</v>
      </c>
      <c r="AF373" s="94" t="n">
        <v>0</v>
      </c>
      <c r="AG373" s="94" t="n">
        <v>0</v>
      </c>
      <c r="AH373" s="94" t="n">
        <v>0</v>
      </c>
      <c r="AI373" s="94" t="n">
        <v>0</v>
      </c>
      <c r="AJ373" s="94" t="n">
        <v>0</v>
      </c>
      <c r="AK373" s="94" t="n">
        <v>0</v>
      </c>
    </row>
    <row r="374" customFormat="false" ht="12.75" hidden="false" customHeight="false" outlineLevel="0" collapsed="false">
      <c r="C374" s="89" t="s">
        <v>148</v>
      </c>
      <c r="D374" s="94" t="n">
        <v>0</v>
      </c>
      <c r="E374" s="94" t="n">
        <v>0</v>
      </c>
      <c r="F374" s="94" t="n">
        <v>0</v>
      </c>
      <c r="G374" s="94" t="n">
        <v>0</v>
      </c>
      <c r="H374" s="94" t="n">
        <v>0</v>
      </c>
      <c r="I374" s="94" t="n">
        <v>0</v>
      </c>
      <c r="J374" s="94" t="n">
        <v>0</v>
      </c>
      <c r="K374" s="94" t="n">
        <v>0</v>
      </c>
      <c r="L374" s="94" t="n">
        <v>0</v>
      </c>
      <c r="M374" s="94" t="n">
        <v>0</v>
      </c>
      <c r="N374" s="94" t="n">
        <v>0</v>
      </c>
      <c r="O374" s="94" t="n">
        <v>0</v>
      </c>
      <c r="P374" s="94" t="n">
        <v>0</v>
      </c>
      <c r="Q374" s="94" t="n">
        <v>0</v>
      </c>
      <c r="R374" s="94" t="n">
        <v>0</v>
      </c>
      <c r="S374" s="94" t="n">
        <v>0</v>
      </c>
      <c r="T374" s="94" t="n">
        <v>0</v>
      </c>
      <c r="U374" s="94" t="n">
        <v>0</v>
      </c>
      <c r="V374" s="94" t="n">
        <v>0.0382762837360279</v>
      </c>
      <c r="W374" s="94" t="n">
        <v>0</v>
      </c>
      <c r="X374" s="94" t="n">
        <v>0</v>
      </c>
      <c r="Y374" s="94" t="n">
        <v>0</v>
      </c>
      <c r="Z374" s="94" t="n">
        <v>0</v>
      </c>
      <c r="AA374" s="94" t="n">
        <v>0</v>
      </c>
      <c r="AB374" s="94" t="n">
        <v>0</v>
      </c>
      <c r="AC374" s="94" t="n">
        <v>0</v>
      </c>
      <c r="AD374" s="94" t="n">
        <v>0</v>
      </c>
      <c r="AE374" s="94" t="n">
        <v>0</v>
      </c>
      <c r="AF374" s="94" t="n">
        <v>0</v>
      </c>
      <c r="AG374" s="94" t="n">
        <v>0</v>
      </c>
      <c r="AH374" s="94" t="n">
        <v>0</v>
      </c>
      <c r="AI374" s="94" t="n">
        <v>0</v>
      </c>
      <c r="AJ374" s="94" t="n">
        <v>0</v>
      </c>
      <c r="AK374" s="94" t="n">
        <v>0</v>
      </c>
    </row>
    <row r="375" customFormat="false" ht="12.75" hidden="false" customHeight="false" outlineLevel="0" collapsed="false">
      <c r="C375" s="89" t="s">
        <v>150</v>
      </c>
      <c r="D375" s="94" t="n">
        <v>0</v>
      </c>
      <c r="E375" s="94" t="n">
        <v>0</v>
      </c>
      <c r="F375" s="94" t="n">
        <v>0</v>
      </c>
      <c r="G375" s="94" t="n">
        <v>0</v>
      </c>
      <c r="H375" s="94" t="n">
        <v>0</v>
      </c>
      <c r="I375" s="94" t="n">
        <v>0</v>
      </c>
      <c r="J375" s="94" t="n">
        <v>0</v>
      </c>
      <c r="K375" s="94" t="n">
        <v>0</v>
      </c>
      <c r="L375" s="94" t="n">
        <v>0</v>
      </c>
      <c r="M375" s="94" t="n">
        <v>0</v>
      </c>
      <c r="N375" s="94" t="n">
        <v>0</v>
      </c>
      <c r="O375" s="94" t="n">
        <v>0</v>
      </c>
      <c r="P375" s="94" t="n">
        <v>0</v>
      </c>
      <c r="Q375" s="94" t="n">
        <v>0</v>
      </c>
      <c r="R375" s="94" t="n">
        <v>0</v>
      </c>
      <c r="S375" s="94" t="n">
        <v>0</v>
      </c>
      <c r="T375" s="94" t="n">
        <v>0</v>
      </c>
      <c r="U375" s="94" t="n">
        <v>0</v>
      </c>
      <c r="V375" s="94" t="n">
        <v>0</v>
      </c>
      <c r="W375" s="94" t="n">
        <v>0.00268952516894616</v>
      </c>
      <c r="X375" s="94" t="n">
        <v>0</v>
      </c>
      <c r="Y375" s="94" t="n">
        <v>0</v>
      </c>
      <c r="Z375" s="94" t="n">
        <v>0</v>
      </c>
      <c r="AA375" s="94" t="n">
        <v>0</v>
      </c>
      <c r="AB375" s="94" t="n">
        <v>0</v>
      </c>
      <c r="AC375" s="94" t="n">
        <v>0</v>
      </c>
      <c r="AD375" s="94" t="n">
        <v>0</v>
      </c>
      <c r="AE375" s="94" t="n">
        <v>0</v>
      </c>
      <c r="AF375" s="94" t="n">
        <v>0</v>
      </c>
      <c r="AG375" s="94" t="n">
        <v>0</v>
      </c>
      <c r="AH375" s="94" t="n">
        <v>0</v>
      </c>
      <c r="AI375" s="94" t="n">
        <v>0</v>
      </c>
      <c r="AJ375" s="94" t="n">
        <v>0</v>
      </c>
      <c r="AK375" s="94" t="n">
        <v>0</v>
      </c>
    </row>
    <row r="376" customFormat="false" ht="12.75" hidden="false" customHeight="false" outlineLevel="0" collapsed="false">
      <c r="C376" s="89" t="s">
        <v>152</v>
      </c>
      <c r="D376" s="94" t="n">
        <v>0</v>
      </c>
      <c r="E376" s="94" t="n">
        <v>0</v>
      </c>
      <c r="F376" s="94" t="n">
        <v>0</v>
      </c>
      <c r="G376" s="94" t="n">
        <v>0</v>
      </c>
      <c r="H376" s="94" t="n">
        <v>0</v>
      </c>
      <c r="I376" s="94" t="n">
        <v>0</v>
      </c>
      <c r="J376" s="94" t="n">
        <v>0</v>
      </c>
      <c r="K376" s="94" t="n">
        <v>0</v>
      </c>
      <c r="L376" s="94" t="n">
        <v>0</v>
      </c>
      <c r="M376" s="94" t="n">
        <v>0</v>
      </c>
      <c r="N376" s="94" t="n">
        <v>0</v>
      </c>
      <c r="O376" s="94" t="n">
        <v>0</v>
      </c>
      <c r="P376" s="94" t="n">
        <v>0</v>
      </c>
      <c r="Q376" s="94" t="n">
        <v>0</v>
      </c>
      <c r="R376" s="94" t="n">
        <v>0</v>
      </c>
      <c r="S376" s="94" t="n">
        <v>0</v>
      </c>
      <c r="T376" s="94" t="n">
        <v>0</v>
      </c>
      <c r="U376" s="94" t="n">
        <v>0</v>
      </c>
      <c r="V376" s="94" t="n">
        <v>0</v>
      </c>
      <c r="W376" s="94" t="n">
        <v>0</v>
      </c>
      <c r="X376" s="94" t="n">
        <v>0.00059282227828641</v>
      </c>
      <c r="Y376" s="94" t="n">
        <v>0</v>
      </c>
      <c r="Z376" s="94" t="n">
        <v>0</v>
      </c>
      <c r="AA376" s="94" t="n">
        <v>0</v>
      </c>
      <c r="AB376" s="94" t="n">
        <v>0</v>
      </c>
      <c r="AC376" s="94" t="n">
        <v>0</v>
      </c>
      <c r="AD376" s="94" t="n">
        <v>0</v>
      </c>
      <c r="AE376" s="94" t="n">
        <v>0</v>
      </c>
      <c r="AF376" s="94" t="n">
        <v>0</v>
      </c>
      <c r="AG376" s="94" t="n">
        <v>0</v>
      </c>
      <c r="AH376" s="94" t="n">
        <v>0</v>
      </c>
      <c r="AI376" s="94" t="n">
        <v>0</v>
      </c>
      <c r="AJ376" s="94" t="n">
        <v>0</v>
      </c>
      <c r="AK376" s="94" t="n">
        <v>0</v>
      </c>
    </row>
    <row r="377" customFormat="false" ht="12.75" hidden="false" customHeight="false" outlineLevel="0" collapsed="false">
      <c r="C377" s="89" t="s">
        <v>154</v>
      </c>
      <c r="D377" s="94" t="n">
        <v>0</v>
      </c>
      <c r="E377" s="94" t="n">
        <v>0</v>
      </c>
      <c r="F377" s="94" t="n">
        <v>0</v>
      </c>
      <c r="G377" s="94" t="n">
        <v>0</v>
      </c>
      <c r="H377" s="94" t="n">
        <v>0</v>
      </c>
      <c r="I377" s="94" t="n">
        <v>0</v>
      </c>
      <c r="J377" s="94" t="n">
        <v>0</v>
      </c>
      <c r="K377" s="94" t="n">
        <v>0</v>
      </c>
      <c r="L377" s="94" t="n">
        <v>0</v>
      </c>
      <c r="M377" s="94" t="n">
        <v>0</v>
      </c>
      <c r="N377" s="94" t="n">
        <v>0</v>
      </c>
      <c r="O377" s="94" t="n">
        <v>0</v>
      </c>
      <c r="P377" s="94" t="n">
        <v>0</v>
      </c>
      <c r="Q377" s="94" t="n">
        <v>0</v>
      </c>
      <c r="R377" s="94" t="n">
        <v>0</v>
      </c>
      <c r="S377" s="94" t="n">
        <v>0</v>
      </c>
      <c r="T377" s="94" t="n">
        <v>0</v>
      </c>
      <c r="U377" s="94" t="n">
        <v>0</v>
      </c>
      <c r="V377" s="94" t="n">
        <v>0</v>
      </c>
      <c r="W377" s="94" t="n">
        <v>0</v>
      </c>
      <c r="X377" s="94" t="n">
        <v>0</v>
      </c>
      <c r="Y377" s="94" t="n">
        <v>0.00323514155800003</v>
      </c>
      <c r="Z377" s="94" t="n">
        <v>0</v>
      </c>
      <c r="AA377" s="94" t="n">
        <v>0</v>
      </c>
      <c r="AB377" s="94" t="n">
        <v>0</v>
      </c>
      <c r="AC377" s="94" t="n">
        <v>0</v>
      </c>
      <c r="AD377" s="94" t="n">
        <v>0</v>
      </c>
      <c r="AE377" s="94" t="n">
        <v>0</v>
      </c>
      <c r="AF377" s="94" t="n">
        <v>0</v>
      </c>
      <c r="AG377" s="94" t="n">
        <v>0</v>
      </c>
      <c r="AH377" s="94" t="n">
        <v>0</v>
      </c>
      <c r="AI377" s="94" t="n">
        <v>0</v>
      </c>
      <c r="AJ377" s="94" t="n">
        <v>0</v>
      </c>
      <c r="AK377" s="94" t="n">
        <v>0</v>
      </c>
    </row>
    <row r="378" customFormat="false" ht="12.75" hidden="false" customHeight="false" outlineLevel="0" collapsed="false">
      <c r="C378" s="89" t="s">
        <v>156</v>
      </c>
      <c r="D378" s="94" t="n">
        <v>0</v>
      </c>
      <c r="E378" s="94" t="n">
        <v>0</v>
      </c>
      <c r="F378" s="94" t="n">
        <v>0</v>
      </c>
      <c r="G378" s="94" t="n">
        <v>0</v>
      </c>
      <c r="H378" s="94" t="n">
        <v>0</v>
      </c>
      <c r="I378" s="94" t="n">
        <v>0</v>
      </c>
      <c r="J378" s="94" t="n">
        <v>0</v>
      </c>
      <c r="K378" s="94" t="n">
        <v>0</v>
      </c>
      <c r="L378" s="94" t="n">
        <v>0</v>
      </c>
      <c r="M378" s="94" t="n">
        <v>0</v>
      </c>
      <c r="N378" s="94" t="n">
        <v>0</v>
      </c>
      <c r="O378" s="94" t="n">
        <v>0</v>
      </c>
      <c r="P378" s="94" t="n">
        <v>0</v>
      </c>
      <c r="Q378" s="94" t="n">
        <v>0</v>
      </c>
      <c r="R378" s="94" t="n">
        <v>0</v>
      </c>
      <c r="S378" s="94" t="n">
        <v>0</v>
      </c>
      <c r="T378" s="94" t="n">
        <v>0</v>
      </c>
      <c r="U378" s="94" t="n">
        <v>0</v>
      </c>
      <c r="V378" s="94" t="n">
        <v>0</v>
      </c>
      <c r="W378" s="94" t="n">
        <v>0</v>
      </c>
      <c r="X378" s="94" t="n">
        <v>0</v>
      </c>
      <c r="Y378" s="94" t="n">
        <v>0</v>
      </c>
      <c r="Z378" s="94" t="n">
        <v>0.00202025726729746</v>
      </c>
      <c r="AA378" s="94" t="n">
        <v>0</v>
      </c>
      <c r="AB378" s="94" t="n">
        <v>0</v>
      </c>
      <c r="AC378" s="94" t="n">
        <v>0</v>
      </c>
      <c r="AD378" s="94" t="n">
        <v>0</v>
      </c>
      <c r="AE378" s="94" t="n">
        <v>0</v>
      </c>
      <c r="AF378" s="94" t="n">
        <v>0</v>
      </c>
      <c r="AG378" s="94" t="n">
        <v>0</v>
      </c>
      <c r="AH378" s="94" t="n">
        <v>0</v>
      </c>
      <c r="AI378" s="94" t="n">
        <v>0</v>
      </c>
      <c r="AJ378" s="94" t="n">
        <v>0</v>
      </c>
      <c r="AK378" s="94" t="n">
        <v>0</v>
      </c>
    </row>
    <row r="379" customFormat="false" ht="12.75" hidden="false" customHeight="false" outlineLevel="0" collapsed="false">
      <c r="C379" s="89" t="s">
        <v>158</v>
      </c>
      <c r="D379" s="94" t="n">
        <v>0</v>
      </c>
      <c r="E379" s="94" t="n">
        <v>0</v>
      </c>
      <c r="F379" s="94" t="n">
        <v>0</v>
      </c>
      <c r="G379" s="94" t="n">
        <v>0</v>
      </c>
      <c r="H379" s="94" t="n">
        <v>0</v>
      </c>
      <c r="I379" s="94" t="n">
        <v>0</v>
      </c>
      <c r="J379" s="94" t="n">
        <v>0</v>
      </c>
      <c r="K379" s="94" t="n">
        <v>0</v>
      </c>
      <c r="L379" s="94" t="n">
        <v>0</v>
      </c>
      <c r="M379" s="94" t="n">
        <v>0</v>
      </c>
      <c r="N379" s="94" t="n">
        <v>0</v>
      </c>
      <c r="O379" s="94" t="n">
        <v>0</v>
      </c>
      <c r="P379" s="94" t="n">
        <v>0</v>
      </c>
      <c r="Q379" s="94" t="n">
        <v>0</v>
      </c>
      <c r="R379" s="94" t="n">
        <v>0</v>
      </c>
      <c r="S379" s="94" t="n">
        <v>0</v>
      </c>
      <c r="T379" s="94" t="n">
        <v>0</v>
      </c>
      <c r="U379" s="94" t="n">
        <v>0</v>
      </c>
      <c r="V379" s="94" t="n">
        <v>0</v>
      </c>
      <c r="W379" s="94" t="n">
        <v>0</v>
      </c>
      <c r="X379" s="94" t="n">
        <v>0</v>
      </c>
      <c r="Y379" s="94" t="n">
        <v>0</v>
      </c>
      <c r="Z379" s="94" t="n">
        <v>0</v>
      </c>
      <c r="AA379" s="94" t="n">
        <v>0.216218937496968</v>
      </c>
      <c r="AB379" s="94" t="n">
        <v>0</v>
      </c>
      <c r="AC379" s="94" t="n">
        <v>0</v>
      </c>
      <c r="AD379" s="94" t="n">
        <v>0</v>
      </c>
      <c r="AE379" s="94" t="n">
        <v>0</v>
      </c>
      <c r="AF379" s="94" t="n">
        <v>0</v>
      </c>
      <c r="AG379" s="94" t="n">
        <v>0</v>
      </c>
      <c r="AH379" s="94" t="n">
        <v>0</v>
      </c>
      <c r="AI379" s="94" t="n">
        <v>0</v>
      </c>
      <c r="AJ379" s="94" t="n">
        <v>0</v>
      </c>
      <c r="AK379" s="94" t="n">
        <v>0</v>
      </c>
    </row>
    <row r="380" customFormat="false" ht="12.75" hidden="false" customHeight="false" outlineLevel="0" collapsed="false">
      <c r="C380" s="89" t="s">
        <v>160</v>
      </c>
      <c r="D380" s="94" t="n">
        <v>0</v>
      </c>
      <c r="E380" s="94" t="n">
        <v>0</v>
      </c>
      <c r="F380" s="94" t="n">
        <v>0</v>
      </c>
      <c r="G380" s="94" t="n">
        <v>0</v>
      </c>
      <c r="H380" s="94" t="n">
        <v>0</v>
      </c>
      <c r="I380" s="94" t="n">
        <v>0</v>
      </c>
      <c r="J380" s="94" t="n">
        <v>0</v>
      </c>
      <c r="K380" s="94" t="n">
        <v>0</v>
      </c>
      <c r="L380" s="94" t="n">
        <v>0</v>
      </c>
      <c r="M380" s="94" t="n">
        <v>0</v>
      </c>
      <c r="N380" s="94" t="n">
        <v>0</v>
      </c>
      <c r="O380" s="94" t="n">
        <v>0</v>
      </c>
      <c r="P380" s="94" t="n">
        <v>0</v>
      </c>
      <c r="Q380" s="94" t="n">
        <v>0</v>
      </c>
      <c r="R380" s="94" t="n">
        <v>0</v>
      </c>
      <c r="S380" s="94" t="n">
        <v>0</v>
      </c>
      <c r="T380" s="94" t="n">
        <v>0</v>
      </c>
      <c r="U380" s="94" t="n">
        <v>0</v>
      </c>
      <c r="V380" s="94" t="n">
        <v>0</v>
      </c>
      <c r="W380" s="94" t="n">
        <v>0</v>
      </c>
      <c r="X380" s="94" t="n">
        <v>0</v>
      </c>
      <c r="Y380" s="94" t="n">
        <v>0</v>
      </c>
      <c r="Z380" s="94" t="n">
        <v>0</v>
      </c>
      <c r="AA380" s="94" t="n">
        <v>0</v>
      </c>
      <c r="AB380" s="94" t="n">
        <v>0.0389233357269011</v>
      </c>
      <c r="AC380" s="94" t="n">
        <v>0</v>
      </c>
      <c r="AD380" s="94" t="n">
        <v>0</v>
      </c>
      <c r="AE380" s="94" t="n">
        <v>0</v>
      </c>
      <c r="AF380" s="94" t="n">
        <v>0</v>
      </c>
      <c r="AG380" s="94" t="n">
        <v>0</v>
      </c>
      <c r="AH380" s="94" t="n">
        <v>0</v>
      </c>
      <c r="AI380" s="94" t="n">
        <v>0</v>
      </c>
      <c r="AJ380" s="94" t="n">
        <v>0</v>
      </c>
      <c r="AK380" s="94" t="n">
        <v>0</v>
      </c>
    </row>
    <row r="381" customFormat="false" ht="12.75" hidden="false" customHeight="false" outlineLevel="0" collapsed="false">
      <c r="C381" s="89" t="s">
        <v>162</v>
      </c>
      <c r="D381" s="94" t="n">
        <v>0</v>
      </c>
      <c r="E381" s="94" t="n">
        <v>0</v>
      </c>
      <c r="F381" s="94" t="n">
        <v>0</v>
      </c>
      <c r="G381" s="94" t="n">
        <v>0</v>
      </c>
      <c r="H381" s="94" t="n">
        <v>0</v>
      </c>
      <c r="I381" s="94" t="n">
        <v>0</v>
      </c>
      <c r="J381" s="94" t="n">
        <v>0</v>
      </c>
      <c r="K381" s="94" t="n">
        <v>0</v>
      </c>
      <c r="L381" s="94" t="n">
        <v>0</v>
      </c>
      <c r="M381" s="94" t="n">
        <v>0</v>
      </c>
      <c r="N381" s="94" t="n">
        <v>0</v>
      </c>
      <c r="O381" s="94" t="n">
        <v>0</v>
      </c>
      <c r="P381" s="94" t="n">
        <v>0</v>
      </c>
      <c r="Q381" s="94" t="n">
        <v>0</v>
      </c>
      <c r="R381" s="94" t="n">
        <v>0</v>
      </c>
      <c r="S381" s="94" t="n">
        <v>0</v>
      </c>
      <c r="T381" s="94" t="n">
        <v>0</v>
      </c>
      <c r="U381" s="94" t="n">
        <v>0</v>
      </c>
      <c r="V381" s="94" t="n">
        <v>0</v>
      </c>
      <c r="W381" s="94" t="n">
        <v>0</v>
      </c>
      <c r="X381" s="94" t="n">
        <v>0</v>
      </c>
      <c r="Y381" s="94" t="n">
        <v>0</v>
      </c>
      <c r="Z381" s="94" t="n">
        <v>0</v>
      </c>
      <c r="AA381" s="94" t="n">
        <v>0</v>
      </c>
      <c r="AB381" s="94" t="n">
        <v>0</v>
      </c>
      <c r="AC381" s="94" t="n">
        <v>0.00662379197852675</v>
      </c>
      <c r="AD381" s="94" t="n">
        <v>0</v>
      </c>
      <c r="AE381" s="94" t="n">
        <v>0</v>
      </c>
      <c r="AF381" s="94" t="n">
        <v>0</v>
      </c>
      <c r="AG381" s="94" t="n">
        <v>0</v>
      </c>
      <c r="AH381" s="94" t="n">
        <v>0</v>
      </c>
      <c r="AI381" s="94" t="n">
        <v>0</v>
      </c>
      <c r="AJ381" s="94" t="n">
        <v>0</v>
      </c>
      <c r="AK381" s="94" t="n">
        <v>0</v>
      </c>
    </row>
    <row r="382" customFormat="false" ht="12.75" hidden="false" customHeight="false" outlineLevel="0" collapsed="false">
      <c r="C382" s="89" t="s">
        <v>164</v>
      </c>
      <c r="D382" s="94" t="n">
        <v>0</v>
      </c>
      <c r="E382" s="94" t="n">
        <v>0</v>
      </c>
      <c r="F382" s="94" t="n">
        <v>0</v>
      </c>
      <c r="G382" s="94" t="n">
        <v>0</v>
      </c>
      <c r="H382" s="94" t="n">
        <v>0</v>
      </c>
      <c r="I382" s="94" t="n">
        <v>0</v>
      </c>
      <c r="J382" s="94" t="n">
        <v>0</v>
      </c>
      <c r="K382" s="94" t="n">
        <v>0</v>
      </c>
      <c r="L382" s="94" t="n">
        <v>0</v>
      </c>
      <c r="M382" s="94" t="n">
        <v>0</v>
      </c>
      <c r="N382" s="94" t="n">
        <v>0</v>
      </c>
      <c r="O382" s="94" t="n">
        <v>0</v>
      </c>
      <c r="P382" s="94" t="n">
        <v>0</v>
      </c>
      <c r="Q382" s="94" t="n">
        <v>0</v>
      </c>
      <c r="R382" s="94" t="n">
        <v>0</v>
      </c>
      <c r="S382" s="94" t="n">
        <v>0</v>
      </c>
      <c r="T382" s="94" t="n">
        <v>0</v>
      </c>
      <c r="U382" s="94" t="n">
        <v>0</v>
      </c>
      <c r="V382" s="94" t="n">
        <v>0</v>
      </c>
      <c r="W382" s="94" t="n">
        <v>0</v>
      </c>
      <c r="X382" s="94" t="n">
        <v>0</v>
      </c>
      <c r="Y382" s="94" t="n">
        <v>0</v>
      </c>
      <c r="Z382" s="94" t="n">
        <v>0</v>
      </c>
      <c r="AA382" s="94" t="n">
        <v>0</v>
      </c>
      <c r="AB382" s="94" t="n">
        <v>0</v>
      </c>
      <c r="AC382" s="94" t="n">
        <v>0</v>
      </c>
      <c r="AD382" s="94" t="n">
        <v>0.00192918327392282</v>
      </c>
      <c r="AE382" s="94" t="n">
        <v>0</v>
      </c>
      <c r="AF382" s="94" t="n">
        <v>0</v>
      </c>
      <c r="AG382" s="94" t="n">
        <v>0</v>
      </c>
      <c r="AH382" s="94" t="n">
        <v>0</v>
      </c>
      <c r="AI382" s="94" t="n">
        <v>0</v>
      </c>
      <c r="AJ382" s="94" t="n">
        <v>0</v>
      </c>
      <c r="AK382" s="94" t="n">
        <v>0</v>
      </c>
    </row>
    <row r="383" customFormat="false" ht="12.75" hidden="false" customHeight="false" outlineLevel="0" collapsed="false">
      <c r="C383" s="89" t="s">
        <v>166</v>
      </c>
      <c r="D383" s="94" t="n">
        <v>0</v>
      </c>
      <c r="E383" s="94" t="n">
        <v>0</v>
      </c>
      <c r="F383" s="94" t="n">
        <v>0</v>
      </c>
      <c r="G383" s="94" t="n">
        <v>0</v>
      </c>
      <c r="H383" s="94" t="n">
        <v>0</v>
      </c>
      <c r="I383" s="94" t="n">
        <v>0</v>
      </c>
      <c r="J383" s="94" t="n">
        <v>0</v>
      </c>
      <c r="K383" s="94" t="n">
        <v>0</v>
      </c>
      <c r="L383" s="94" t="n">
        <v>0</v>
      </c>
      <c r="M383" s="94" t="n">
        <v>0</v>
      </c>
      <c r="N383" s="94" t="n">
        <v>0</v>
      </c>
      <c r="O383" s="94" t="n">
        <v>0</v>
      </c>
      <c r="P383" s="94" t="n">
        <v>0</v>
      </c>
      <c r="Q383" s="94" t="n">
        <v>0</v>
      </c>
      <c r="R383" s="94" t="n">
        <v>0</v>
      </c>
      <c r="S383" s="94" t="n">
        <v>0</v>
      </c>
      <c r="T383" s="94" t="n">
        <v>0</v>
      </c>
      <c r="U383" s="94" t="n">
        <v>0</v>
      </c>
      <c r="V383" s="94" t="n">
        <v>0</v>
      </c>
      <c r="W383" s="94" t="n">
        <v>0</v>
      </c>
      <c r="X383" s="94" t="n">
        <v>0</v>
      </c>
      <c r="Y383" s="94" t="n">
        <v>0</v>
      </c>
      <c r="Z383" s="94" t="n">
        <v>0</v>
      </c>
      <c r="AA383" s="94" t="n">
        <v>0</v>
      </c>
      <c r="AB383" s="94" t="n">
        <v>0</v>
      </c>
      <c r="AC383" s="94" t="n">
        <v>0</v>
      </c>
      <c r="AD383" s="94" t="n">
        <v>0</v>
      </c>
      <c r="AE383" s="94" t="n">
        <v>0.000627877967132082</v>
      </c>
      <c r="AF383" s="94" t="n">
        <v>0</v>
      </c>
      <c r="AG383" s="94" t="n">
        <v>0</v>
      </c>
      <c r="AH383" s="94" t="n">
        <v>0</v>
      </c>
      <c r="AI383" s="94" t="n">
        <v>0</v>
      </c>
      <c r="AJ383" s="94" t="n">
        <v>0</v>
      </c>
      <c r="AK383" s="94" t="n">
        <v>0</v>
      </c>
    </row>
    <row r="384" customFormat="false" ht="12.75" hidden="false" customHeight="false" outlineLevel="0" collapsed="false">
      <c r="C384" s="89" t="s">
        <v>168</v>
      </c>
      <c r="D384" s="94" t="n">
        <v>0</v>
      </c>
      <c r="E384" s="94" t="n">
        <v>0</v>
      </c>
      <c r="F384" s="94" t="n">
        <v>0</v>
      </c>
      <c r="G384" s="94" t="n">
        <v>0</v>
      </c>
      <c r="H384" s="94" t="n">
        <v>0</v>
      </c>
      <c r="I384" s="94" t="n">
        <v>0</v>
      </c>
      <c r="J384" s="94" t="n">
        <v>0</v>
      </c>
      <c r="K384" s="94" t="n">
        <v>0</v>
      </c>
      <c r="L384" s="94" t="n">
        <v>0</v>
      </c>
      <c r="M384" s="94" t="n">
        <v>0</v>
      </c>
      <c r="N384" s="94" t="n">
        <v>0</v>
      </c>
      <c r="O384" s="94" t="n">
        <v>0</v>
      </c>
      <c r="P384" s="94" t="n">
        <v>0</v>
      </c>
      <c r="Q384" s="94" t="n">
        <v>0</v>
      </c>
      <c r="R384" s="94" t="n">
        <v>0</v>
      </c>
      <c r="S384" s="94" t="n">
        <v>0</v>
      </c>
      <c r="T384" s="94" t="n">
        <v>0</v>
      </c>
      <c r="U384" s="94" t="n">
        <v>0</v>
      </c>
      <c r="V384" s="94" t="n">
        <v>0</v>
      </c>
      <c r="W384" s="94" t="n">
        <v>0</v>
      </c>
      <c r="X384" s="94" t="n">
        <v>0</v>
      </c>
      <c r="Y384" s="94" t="n">
        <v>0</v>
      </c>
      <c r="Z384" s="94" t="n">
        <v>0</v>
      </c>
      <c r="AA384" s="94" t="n">
        <v>0</v>
      </c>
      <c r="AB384" s="94" t="n">
        <v>0</v>
      </c>
      <c r="AC384" s="94" t="n">
        <v>0</v>
      </c>
      <c r="AD384" s="94" t="n">
        <v>0</v>
      </c>
      <c r="AE384" s="94" t="n">
        <v>0</v>
      </c>
      <c r="AF384" s="94" t="n">
        <v>0.00365321342937113</v>
      </c>
      <c r="AG384" s="94" t="n">
        <v>0</v>
      </c>
      <c r="AH384" s="94" t="n">
        <v>0</v>
      </c>
      <c r="AI384" s="94" t="n">
        <v>0</v>
      </c>
      <c r="AJ384" s="94" t="n">
        <v>0</v>
      </c>
      <c r="AK384" s="94" t="n">
        <v>0</v>
      </c>
    </row>
    <row r="385" customFormat="false" ht="12.75" hidden="false" customHeight="false" outlineLevel="0" collapsed="false">
      <c r="C385" s="89" t="s">
        <v>170</v>
      </c>
      <c r="D385" s="94" t="n">
        <v>0</v>
      </c>
      <c r="E385" s="94" t="n">
        <v>0</v>
      </c>
      <c r="F385" s="94" t="n">
        <v>0</v>
      </c>
      <c r="G385" s="94" t="n">
        <v>0</v>
      </c>
      <c r="H385" s="94" t="n">
        <v>0</v>
      </c>
      <c r="I385" s="94" t="n">
        <v>0</v>
      </c>
      <c r="J385" s="94" t="n">
        <v>0</v>
      </c>
      <c r="K385" s="94" t="n">
        <v>0</v>
      </c>
      <c r="L385" s="94" t="n">
        <v>0</v>
      </c>
      <c r="M385" s="94" t="n">
        <v>0</v>
      </c>
      <c r="N385" s="94" t="n">
        <v>0</v>
      </c>
      <c r="O385" s="94" t="n">
        <v>0</v>
      </c>
      <c r="P385" s="94" t="n">
        <v>0</v>
      </c>
      <c r="Q385" s="94" t="n">
        <v>0</v>
      </c>
      <c r="R385" s="94" t="n">
        <v>0</v>
      </c>
      <c r="S385" s="94" t="n">
        <v>0</v>
      </c>
      <c r="T385" s="94" t="n">
        <v>0</v>
      </c>
      <c r="U385" s="94" t="n">
        <v>0</v>
      </c>
      <c r="V385" s="94" t="n">
        <v>0</v>
      </c>
      <c r="W385" s="94" t="n">
        <v>0</v>
      </c>
      <c r="X385" s="94" t="n">
        <v>0</v>
      </c>
      <c r="Y385" s="94" t="n">
        <v>0</v>
      </c>
      <c r="Z385" s="94" t="n">
        <v>0</v>
      </c>
      <c r="AA385" s="94" t="n">
        <v>0</v>
      </c>
      <c r="AB385" s="94" t="n">
        <v>0</v>
      </c>
      <c r="AC385" s="94" t="n">
        <v>0</v>
      </c>
      <c r="AD385" s="94" t="n">
        <v>0</v>
      </c>
      <c r="AE385" s="94" t="n">
        <v>0</v>
      </c>
      <c r="AF385" s="94" t="n">
        <v>0</v>
      </c>
      <c r="AG385" s="94" t="n">
        <v>0.00485728520159878</v>
      </c>
      <c r="AH385" s="94" t="n">
        <v>0</v>
      </c>
      <c r="AI385" s="94" t="n">
        <v>0</v>
      </c>
      <c r="AJ385" s="94" t="n">
        <v>0</v>
      </c>
      <c r="AK385" s="94" t="n">
        <v>0</v>
      </c>
    </row>
    <row r="386" customFormat="false" ht="12.75" hidden="false" customHeight="false" outlineLevel="0" collapsed="false">
      <c r="C386" s="89" t="s">
        <v>172</v>
      </c>
      <c r="D386" s="94" t="n">
        <v>0</v>
      </c>
      <c r="E386" s="94" t="n">
        <v>0</v>
      </c>
      <c r="F386" s="94" t="n">
        <v>0</v>
      </c>
      <c r="G386" s="94" t="n">
        <v>0</v>
      </c>
      <c r="H386" s="94" t="n">
        <v>0</v>
      </c>
      <c r="I386" s="94" t="n">
        <v>0</v>
      </c>
      <c r="J386" s="94" t="n">
        <v>0</v>
      </c>
      <c r="K386" s="94" t="n">
        <v>0</v>
      </c>
      <c r="L386" s="94" t="n">
        <v>0</v>
      </c>
      <c r="M386" s="94" t="n">
        <v>0</v>
      </c>
      <c r="N386" s="94" t="n">
        <v>0</v>
      </c>
      <c r="O386" s="94" t="n">
        <v>0</v>
      </c>
      <c r="P386" s="94" t="n">
        <v>0</v>
      </c>
      <c r="Q386" s="94" t="n">
        <v>0</v>
      </c>
      <c r="R386" s="94" t="n">
        <v>0</v>
      </c>
      <c r="S386" s="94" t="n">
        <v>0</v>
      </c>
      <c r="T386" s="94" t="n">
        <v>0</v>
      </c>
      <c r="U386" s="94" t="n">
        <v>0</v>
      </c>
      <c r="V386" s="94" t="n">
        <v>0</v>
      </c>
      <c r="W386" s="94" t="n">
        <v>0</v>
      </c>
      <c r="X386" s="94" t="n">
        <v>0</v>
      </c>
      <c r="Y386" s="94" t="n">
        <v>0</v>
      </c>
      <c r="Z386" s="94" t="n">
        <v>0</v>
      </c>
      <c r="AA386" s="94" t="n">
        <v>0</v>
      </c>
      <c r="AB386" s="94" t="n">
        <v>0</v>
      </c>
      <c r="AC386" s="94" t="n">
        <v>0</v>
      </c>
      <c r="AD386" s="94" t="n">
        <v>0</v>
      </c>
      <c r="AE386" s="94" t="n">
        <v>0</v>
      </c>
      <c r="AF386" s="94" t="n">
        <v>0</v>
      </c>
      <c r="AG386" s="94" t="n">
        <v>0</v>
      </c>
      <c r="AH386" s="94" t="n">
        <v>0.00164088050234093</v>
      </c>
      <c r="AI386" s="94" t="n">
        <v>0</v>
      </c>
      <c r="AJ386" s="94" t="n">
        <v>0</v>
      </c>
      <c r="AK386" s="94" t="n">
        <v>0</v>
      </c>
    </row>
    <row r="387" customFormat="false" ht="12.75" hidden="false" customHeight="false" outlineLevel="0" collapsed="false">
      <c r="C387" s="89" t="s">
        <v>174</v>
      </c>
      <c r="D387" s="94" t="n">
        <v>0</v>
      </c>
      <c r="E387" s="94" t="n">
        <v>0</v>
      </c>
      <c r="F387" s="94" t="n">
        <v>0</v>
      </c>
      <c r="G387" s="94" t="n">
        <v>0</v>
      </c>
      <c r="H387" s="94" t="n">
        <v>0</v>
      </c>
      <c r="I387" s="94" t="n">
        <v>0</v>
      </c>
      <c r="J387" s="94" t="n">
        <v>0</v>
      </c>
      <c r="K387" s="94" t="n">
        <v>0</v>
      </c>
      <c r="L387" s="94" t="n">
        <v>0</v>
      </c>
      <c r="M387" s="94" t="n">
        <v>0</v>
      </c>
      <c r="N387" s="94" t="n">
        <v>0</v>
      </c>
      <c r="O387" s="94" t="n">
        <v>0</v>
      </c>
      <c r="P387" s="94" t="n">
        <v>0</v>
      </c>
      <c r="Q387" s="94" t="n">
        <v>0</v>
      </c>
      <c r="R387" s="94" t="n">
        <v>0</v>
      </c>
      <c r="S387" s="94" t="n">
        <v>0</v>
      </c>
      <c r="T387" s="94" t="n">
        <v>0</v>
      </c>
      <c r="U387" s="94" t="n">
        <v>0</v>
      </c>
      <c r="V387" s="94" t="n">
        <v>0</v>
      </c>
      <c r="W387" s="94" t="n">
        <v>0</v>
      </c>
      <c r="X387" s="94" t="n">
        <v>0</v>
      </c>
      <c r="Y387" s="94" t="n">
        <v>0</v>
      </c>
      <c r="Z387" s="94" t="n">
        <v>0</v>
      </c>
      <c r="AA387" s="94" t="n">
        <v>0</v>
      </c>
      <c r="AB387" s="94" t="n">
        <v>0</v>
      </c>
      <c r="AC387" s="94" t="n">
        <v>0</v>
      </c>
      <c r="AD387" s="94" t="n">
        <v>0</v>
      </c>
      <c r="AE387" s="94" t="n">
        <v>0</v>
      </c>
      <c r="AF387" s="94" t="n">
        <v>0</v>
      </c>
      <c r="AG387" s="94" t="n">
        <v>0</v>
      </c>
      <c r="AH387" s="94" t="n">
        <v>0</v>
      </c>
      <c r="AI387" s="94" t="n">
        <v>0.00168620137807155</v>
      </c>
      <c r="AJ387" s="94" t="n">
        <v>0</v>
      </c>
      <c r="AK387" s="94" t="n">
        <v>0</v>
      </c>
    </row>
    <row r="388" customFormat="false" ht="12.75" hidden="false" customHeight="false" outlineLevel="0" collapsed="false">
      <c r="C388" s="89" t="s">
        <v>176</v>
      </c>
      <c r="D388" s="94" t="n">
        <v>0</v>
      </c>
      <c r="E388" s="94" t="n">
        <v>0</v>
      </c>
      <c r="F388" s="94" t="n">
        <v>0</v>
      </c>
      <c r="G388" s="94" t="n">
        <v>0</v>
      </c>
      <c r="H388" s="94" t="n">
        <v>0</v>
      </c>
      <c r="I388" s="94" t="n">
        <v>0</v>
      </c>
      <c r="J388" s="94" t="n">
        <v>0</v>
      </c>
      <c r="K388" s="94" t="n">
        <v>0</v>
      </c>
      <c r="L388" s="94" t="n">
        <v>0</v>
      </c>
      <c r="M388" s="94" t="n">
        <v>0</v>
      </c>
      <c r="N388" s="94" t="n">
        <v>0</v>
      </c>
      <c r="O388" s="94" t="n">
        <v>0</v>
      </c>
      <c r="P388" s="94" t="n">
        <v>0</v>
      </c>
      <c r="Q388" s="94" t="n">
        <v>0</v>
      </c>
      <c r="R388" s="94" t="n">
        <v>0</v>
      </c>
      <c r="S388" s="94" t="n">
        <v>0</v>
      </c>
      <c r="T388" s="94" t="n">
        <v>0</v>
      </c>
      <c r="U388" s="94" t="n">
        <v>0</v>
      </c>
      <c r="V388" s="94" t="n">
        <v>0</v>
      </c>
      <c r="W388" s="94" t="n">
        <v>0</v>
      </c>
      <c r="X388" s="94" t="n">
        <v>0</v>
      </c>
      <c r="Y388" s="94" t="n">
        <v>0</v>
      </c>
      <c r="Z388" s="94" t="n">
        <v>0</v>
      </c>
      <c r="AA388" s="94" t="n">
        <v>0</v>
      </c>
      <c r="AB388" s="94" t="n">
        <v>0</v>
      </c>
      <c r="AC388" s="94" t="n">
        <v>0</v>
      </c>
      <c r="AD388" s="94" t="n">
        <v>0</v>
      </c>
      <c r="AE388" s="94" t="n">
        <v>0</v>
      </c>
      <c r="AF388" s="94" t="n">
        <v>0</v>
      </c>
      <c r="AG388" s="94" t="n">
        <v>0</v>
      </c>
      <c r="AH388" s="94" t="n">
        <v>0</v>
      </c>
      <c r="AI388" s="94" t="n">
        <v>0</v>
      </c>
      <c r="AJ388" s="94" t="n">
        <v>0.00300371554129421</v>
      </c>
      <c r="AK388" s="94" t="n">
        <v>0</v>
      </c>
    </row>
    <row r="389" customFormat="false" ht="12.75" hidden="false" customHeight="false" outlineLevel="0" collapsed="false">
      <c r="C389" s="89" t="s">
        <v>178</v>
      </c>
      <c r="D389" s="94" t="n">
        <v>0</v>
      </c>
      <c r="E389" s="94" t="n">
        <v>0</v>
      </c>
      <c r="F389" s="94" t="n">
        <v>0</v>
      </c>
      <c r="G389" s="94" t="n">
        <v>0</v>
      </c>
      <c r="H389" s="94" t="n">
        <v>0</v>
      </c>
      <c r="I389" s="94" t="n">
        <v>0</v>
      </c>
      <c r="J389" s="94" t="n">
        <v>0</v>
      </c>
      <c r="K389" s="94" t="n">
        <v>0</v>
      </c>
      <c r="L389" s="94" t="n">
        <v>0</v>
      </c>
      <c r="M389" s="94" t="n">
        <v>0</v>
      </c>
      <c r="N389" s="94" t="n">
        <v>0</v>
      </c>
      <c r="O389" s="94" t="n">
        <v>0</v>
      </c>
      <c r="P389" s="94" t="n">
        <v>0</v>
      </c>
      <c r="Q389" s="94" t="n">
        <v>0</v>
      </c>
      <c r="R389" s="94" t="n">
        <v>0</v>
      </c>
      <c r="S389" s="94" t="n">
        <v>0</v>
      </c>
      <c r="T389" s="94" t="n">
        <v>0</v>
      </c>
      <c r="U389" s="94" t="n">
        <v>0</v>
      </c>
      <c r="V389" s="94" t="n">
        <v>0</v>
      </c>
      <c r="W389" s="94" t="n">
        <v>0</v>
      </c>
      <c r="X389" s="94" t="n">
        <v>0</v>
      </c>
      <c r="Y389" s="94" t="n">
        <v>0</v>
      </c>
      <c r="Z389" s="94" t="n">
        <v>0</v>
      </c>
      <c r="AA389" s="94" t="n">
        <v>0</v>
      </c>
      <c r="AB389" s="94" t="n">
        <v>0</v>
      </c>
      <c r="AC389" s="94" t="n">
        <v>0</v>
      </c>
      <c r="AD389" s="94" t="n">
        <v>0</v>
      </c>
      <c r="AE389" s="94" t="n">
        <v>0</v>
      </c>
      <c r="AF389" s="94" t="n">
        <v>0</v>
      </c>
      <c r="AG389" s="94" t="n">
        <v>0</v>
      </c>
      <c r="AH389" s="94" t="n">
        <v>0</v>
      </c>
      <c r="AI389" s="94" t="n">
        <v>0</v>
      </c>
      <c r="AJ389" s="94" t="n">
        <v>0</v>
      </c>
      <c r="AK389" s="94" t="n">
        <v>0.00435131143015372</v>
      </c>
    </row>
    <row r="391" customFormat="false" ht="12.75" hidden="false" customHeight="false" outlineLevel="0" collapsed="false">
      <c r="B391" s="30" t="s">
        <v>359</v>
      </c>
    </row>
    <row r="393" customFormat="false" ht="12.75" hidden="false" customHeight="false" outlineLevel="0" collapsed="false">
      <c r="D393" s="89" t="s">
        <v>112</v>
      </c>
      <c r="E393" s="89" t="s">
        <v>114</v>
      </c>
      <c r="F393" s="89" t="s">
        <v>116</v>
      </c>
      <c r="G393" s="89" t="s">
        <v>118</v>
      </c>
      <c r="H393" s="89" t="s">
        <v>120</v>
      </c>
      <c r="I393" s="89" t="s">
        <v>122</v>
      </c>
      <c r="J393" s="89" t="s">
        <v>124</v>
      </c>
      <c r="K393" s="89" t="s">
        <v>126</v>
      </c>
      <c r="L393" s="89" t="s">
        <v>128</v>
      </c>
      <c r="M393" s="89" t="s">
        <v>130</v>
      </c>
      <c r="N393" s="89" t="s">
        <v>132</v>
      </c>
      <c r="O393" s="89" t="s">
        <v>134</v>
      </c>
      <c r="P393" s="89" t="s">
        <v>136</v>
      </c>
      <c r="Q393" s="89" t="s">
        <v>138</v>
      </c>
      <c r="R393" s="89" t="s">
        <v>140</v>
      </c>
      <c r="S393" s="89" t="s">
        <v>142</v>
      </c>
      <c r="T393" s="89" t="s">
        <v>144</v>
      </c>
      <c r="U393" s="89" t="s">
        <v>146</v>
      </c>
      <c r="V393" s="89" t="s">
        <v>148</v>
      </c>
      <c r="W393" s="89" t="s">
        <v>150</v>
      </c>
      <c r="X393" s="89" t="s">
        <v>152</v>
      </c>
      <c r="Y393" s="89" t="s">
        <v>154</v>
      </c>
      <c r="Z393" s="89" t="s">
        <v>156</v>
      </c>
      <c r="AA393" s="89" t="s">
        <v>158</v>
      </c>
      <c r="AB393" s="89" t="s">
        <v>160</v>
      </c>
      <c r="AC393" s="89" t="s">
        <v>162</v>
      </c>
      <c r="AD393" s="89" t="s">
        <v>164</v>
      </c>
      <c r="AE393" s="89" t="s">
        <v>166</v>
      </c>
      <c r="AF393" s="89" t="s">
        <v>168</v>
      </c>
      <c r="AG393" s="89" t="s">
        <v>170</v>
      </c>
      <c r="AH393" s="89" t="s">
        <v>172</v>
      </c>
      <c r="AI393" s="89" t="s">
        <v>174</v>
      </c>
      <c r="AJ393" s="89" t="s">
        <v>176</v>
      </c>
      <c r="AK393" s="89" t="s">
        <v>178</v>
      </c>
    </row>
    <row r="394" customFormat="false" ht="12.75" hidden="false" customHeight="false" outlineLevel="0" collapsed="false">
      <c r="C394" s="89" t="s">
        <v>112</v>
      </c>
      <c r="D394" s="94" t="n">
        <f aca="false" t="array" ref="D394:AK427">MMULT(Znew,D356:AK389)</f>
        <v>0.451252162864498</v>
      </c>
      <c r="E394" s="94" t="n">
        <v>0.00221617413541719</v>
      </c>
      <c r="F394" s="94" t="n">
        <v>0.179245217764241</v>
      </c>
      <c r="G394" s="94" t="n">
        <v>0.133147386165569</v>
      </c>
      <c r="H394" s="94" t="n">
        <v>0.12146327771202</v>
      </c>
      <c r="I394" s="94" t="n">
        <v>0.0022652573474448</v>
      </c>
      <c r="J394" s="94" t="n">
        <v>0.0019276059427764</v>
      </c>
      <c r="K394" s="94" t="n">
        <v>0.00287853707619722</v>
      </c>
      <c r="L394" s="94" t="n">
        <v>0.0030392634587225</v>
      </c>
      <c r="M394" s="94" t="n">
        <v>0.000720588870270366</v>
      </c>
      <c r="N394" s="94" t="n">
        <v>0.000714649667737305</v>
      </c>
      <c r="O394" s="94" t="n">
        <v>2.6117809222648E-005</v>
      </c>
      <c r="P394" s="94" t="n">
        <v>0</v>
      </c>
      <c r="Q394" s="94" t="n">
        <v>0</v>
      </c>
      <c r="R394" s="94" t="n">
        <v>0</v>
      </c>
      <c r="S394" s="94" t="n">
        <v>0</v>
      </c>
      <c r="T394" s="94" t="n">
        <v>0</v>
      </c>
      <c r="U394" s="94" t="n">
        <v>8.81277747536711E-005</v>
      </c>
      <c r="V394" s="94" t="n">
        <v>0</v>
      </c>
      <c r="W394" s="94" t="n">
        <v>0.00263506056603786</v>
      </c>
      <c r="X394" s="94" t="n">
        <v>8.07822977358742E-005</v>
      </c>
      <c r="Y394" s="94" t="n">
        <v>0.0399283348089905</v>
      </c>
      <c r="Z394" s="94" t="n">
        <v>0</v>
      </c>
      <c r="AA394" s="94" t="n">
        <v>0</v>
      </c>
      <c r="AB394" s="94" t="n">
        <v>0</v>
      </c>
      <c r="AC394" s="94" t="n">
        <v>0</v>
      </c>
      <c r="AD394" s="94" t="n">
        <v>0</v>
      </c>
      <c r="AE394" s="94" t="n">
        <v>0</v>
      </c>
      <c r="AF394" s="94" t="n">
        <v>0.00100525502232843</v>
      </c>
      <c r="AG394" s="94" t="n">
        <v>0.00102923580045598</v>
      </c>
      <c r="AH394" s="94" t="n">
        <v>0.0342752515310735</v>
      </c>
      <c r="AI394" s="94" t="n">
        <v>0.017941122276997</v>
      </c>
      <c r="AJ394" s="94" t="n">
        <v>0.0360410327513355</v>
      </c>
      <c r="AK394" s="94" t="n">
        <v>0.000310229564168506</v>
      </c>
    </row>
    <row r="395" customFormat="false" ht="12.75" hidden="false" customHeight="false" outlineLevel="0" collapsed="false">
      <c r="C395" s="89" t="s">
        <v>114</v>
      </c>
      <c r="D395" s="94" t="n">
        <v>9.33327489489375E-007</v>
      </c>
      <c r="E395" s="94" t="n">
        <v>0.0317303992804627</v>
      </c>
      <c r="F395" s="94" t="n">
        <v>0.00448885153523125</v>
      </c>
      <c r="G395" s="94" t="n">
        <v>0.00237054991837362</v>
      </c>
      <c r="H395" s="94" t="n">
        <v>0.00236143519478075</v>
      </c>
      <c r="I395" s="94" t="n">
        <v>0.000722935429973694</v>
      </c>
      <c r="J395" s="94" t="n">
        <v>0.000588105014249988</v>
      </c>
      <c r="K395" s="94" t="n">
        <v>0.0990585290253169</v>
      </c>
      <c r="L395" s="94" t="n">
        <v>0.0990126744971333</v>
      </c>
      <c r="M395" s="94" t="n">
        <v>0.0246609548721813</v>
      </c>
      <c r="N395" s="94" t="n">
        <v>0.0244576955495809</v>
      </c>
      <c r="O395" s="94" t="n">
        <v>0.00807667662853072</v>
      </c>
      <c r="P395" s="94" t="n">
        <v>0.0287970033599891</v>
      </c>
      <c r="Q395" s="94" t="n">
        <v>0.0285504283852531</v>
      </c>
      <c r="R395" s="94" t="n">
        <v>0.0284919669485238</v>
      </c>
      <c r="S395" s="94" t="n">
        <v>0.0345283123480921</v>
      </c>
      <c r="T395" s="94" t="n">
        <v>0.0617182049534605</v>
      </c>
      <c r="U395" s="94" t="n">
        <v>0.00707735857227023</v>
      </c>
      <c r="V395" s="94" t="n">
        <v>0.00864136366034703</v>
      </c>
      <c r="W395" s="94" t="n">
        <v>0.000258930755104337</v>
      </c>
      <c r="X395" s="94" t="n">
        <v>0.000271936479735759</v>
      </c>
      <c r="Y395" s="94" t="n">
        <v>0.000563188829968638</v>
      </c>
      <c r="Z395" s="94" t="n">
        <v>0.00135014017089815</v>
      </c>
      <c r="AA395" s="94" t="n">
        <v>0.00139437276307094</v>
      </c>
      <c r="AB395" s="94" t="n">
        <v>0.00134184456857837</v>
      </c>
      <c r="AC395" s="94" t="n">
        <v>0.00134284179304587</v>
      </c>
      <c r="AD395" s="94" t="n">
        <v>0.00098652433195429</v>
      </c>
      <c r="AE395" s="94" t="n">
        <v>0</v>
      </c>
      <c r="AF395" s="94" t="n">
        <v>3.6630569329341E-005</v>
      </c>
      <c r="AG395" s="94" t="n">
        <v>3.7504406849434E-005</v>
      </c>
      <c r="AH395" s="94" t="n">
        <v>0.00279199594138527</v>
      </c>
      <c r="AI395" s="94" t="n">
        <v>0.00971782634670099</v>
      </c>
      <c r="AJ395" s="94" t="n">
        <v>0.000128557633368162</v>
      </c>
      <c r="AK395" s="94" t="n">
        <v>0.000647682512097587</v>
      </c>
    </row>
    <row r="396" customFormat="false" ht="12.75" hidden="false" customHeight="false" outlineLevel="0" collapsed="false">
      <c r="C396" s="89" t="s">
        <v>116</v>
      </c>
      <c r="D396" s="94" t="n">
        <v>0.00244055770956992</v>
      </c>
      <c r="E396" s="94" t="n">
        <v>0.00120531785002058</v>
      </c>
      <c r="F396" s="94" t="n">
        <v>0.0934311937685797</v>
      </c>
      <c r="G396" s="94" t="n">
        <v>0.00742587314260567</v>
      </c>
      <c r="H396" s="94" t="n">
        <v>0.00739732078831603</v>
      </c>
      <c r="I396" s="94" t="n">
        <v>0.000117510458959247</v>
      </c>
      <c r="J396" s="94" t="n">
        <v>0.00057964706740492</v>
      </c>
      <c r="K396" s="94" t="n">
        <v>0.0265069750435195</v>
      </c>
      <c r="L396" s="94" t="n">
        <v>0.0264897585373334</v>
      </c>
      <c r="M396" s="94" t="n">
        <v>0.00638488886818608</v>
      </c>
      <c r="N396" s="94" t="n">
        <v>0.00633226364775354</v>
      </c>
      <c r="O396" s="94" t="n">
        <v>0.000772272509685463</v>
      </c>
      <c r="P396" s="94" t="n">
        <v>0.000107051223789687</v>
      </c>
      <c r="Q396" s="94" t="n">
        <v>0.000106134595331113</v>
      </c>
      <c r="R396" s="94" t="n">
        <v>0.00010591726826176</v>
      </c>
      <c r="S396" s="94" t="n">
        <v>0.000184019742708838</v>
      </c>
      <c r="T396" s="94" t="n">
        <v>0.00383628976621222</v>
      </c>
      <c r="U396" s="94" t="n">
        <v>0.0170553129652573</v>
      </c>
      <c r="V396" s="94" t="n">
        <v>0.000162071705426881</v>
      </c>
      <c r="W396" s="94" t="n">
        <v>0.0121104577196797</v>
      </c>
      <c r="X396" s="94" t="n">
        <v>0.0336192859241722</v>
      </c>
      <c r="Y396" s="94" t="n">
        <v>0.0785733020004993</v>
      </c>
      <c r="Z396" s="94" t="n">
        <v>0.00598866458127618</v>
      </c>
      <c r="AA396" s="94" t="n">
        <v>0.0061848621049058</v>
      </c>
      <c r="AB396" s="94" t="n">
        <v>0.00595186871306654</v>
      </c>
      <c r="AC396" s="94" t="n">
        <v>0.00595629198923955</v>
      </c>
      <c r="AD396" s="94" t="n">
        <v>0.00781068919754724</v>
      </c>
      <c r="AE396" s="94" t="n">
        <v>0.000191220477378892</v>
      </c>
      <c r="AF396" s="94" t="n">
        <v>0.0193345668370949</v>
      </c>
      <c r="AG396" s="94" t="n">
        <v>0.0197958009987892</v>
      </c>
      <c r="AH396" s="94" t="n">
        <v>0.0348982181707288</v>
      </c>
      <c r="AI396" s="94" t="n">
        <v>0.0168784676080094</v>
      </c>
      <c r="AJ396" s="94" t="n">
        <v>0.0186065112535883</v>
      </c>
      <c r="AK396" s="94" t="n">
        <v>0.0101544058072174</v>
      </c>
    </row>
    <row r="397" customFormat="false" ht="12.75" hidden="false" customHeight="false" outlineLevel="0" collapsed="false">
      <c r="C397" s="89" t="s">
        <v>118</v>
      </c>
      <c r="D397" s="94" t="n">
        <v>6.27918315514913E-007</v>
      </c>
      <c r="E397" s="94" t="n">
        <v>0.000245099167383247</v>
      </c>
      <c r="F397" s="94" t="n">
        <v>0.000438981106696442</v>
      </c>
      <c r="G397" s="94" t="n">
        <v>0.0260862400092023</v>
      </c>
      <c r="H397" s="94" t="n">
        <v>0.0278367455046149</v>
      </c>
      <c r="I397" s="94" t="n">
        <v>0.00167053517790615</v>
      </c>
      <c r="J397" s="94" t="n">
        <v>0.00213254487577696</v>
      </c>
      <c r="K397" s="94" t="n">
        <v>0.00917063045843107</v>
      </c>
      <c r="L397" s="94" t="n">
        <v>0.00916467405579525</v>
      </c>
      <c r="M397" s="94" t="n">
        <v>0.00088574882234209</v>
      </c>
      <c r="N397" s="94" t="n">
        <v>0.000878448346486375</v>
      </c>
      <c r="O397" s="94" t="n">
        <v>0.000133195829392839</v>
      </c>
      <c r="P397" s="94" t="n">
        <v>0.00292404564718974</v>
      </c>
      <c r="Q397" s="94" t="n">
        <v>0.00289900844201357</v>
      </c>
      <c r="R397" s="94" t="n">
        <v>0.00289307227193853</v>
      </c>
      <c r="S397" s="94" t="n">
        <v>0.00878867310377071</v>
      </c>
      <c r="T397" s="94" t="n">
        <v>0.000357890860077604</v>
      </c>
      <c r="U397" s="94" t="n">
        <v>1.22973115681468E-005</v>
      </c>
      <c r="V397" s="94" t="n">
        <v>0.00013401460474481</v>
      </c>
      <c r="W397" s="94" t="n">
        <v>7.02517215916093E-005</v>
      </c>
      <c r="X397" s="94" t="n">
        <v>0.000131208652963761</v>
      </c>
      <c r="Y397" s="94" t="n">
        <v>0.0031813383678336</v>
      </c>
      <c r="Z397" s="94" t="n">
        <v>0.000141509651956682</v>
      </c>
      <c r="AA397" s="94" t="n">
        <v>0.0001461457177952</v>
      </c>
      <c r="AB397" s="94" t="n">
        <v>0.000140640180902974</v>
      </c>
      <c r="AC397" s="94" t="n">
        <v>0.000140744701078257</v>
      </c>
      <c r="AD397" s="94" t="n">
        <v>0.000148574678537184</v>
      </c>
      <c r="AE397" s="94" t="n">
        <v>7.34669845357102E-007</v>
      </c>
      <c r="AF397" s="94" t="n">
        <v>0.000166358110692228</v>
      </c>
      <c r="AG397" s="94" t="n">
        <v>0.000170326652856771</v>
      </c>
      <c r="AH397" s="94" t="n">
        <v>0.00129517610653529</v>
      </c>
      <c r="AI397" s="94" t="n">
        <v>0.000746664027472587</v>
      </c>
      <c r="AJ397" s="94" t="n">
        <v>0.00169337748323206</v>
      </c>
      <c r="AK397" s="94" t="n">
        <v>0.00171440437989661</v>
      </c>
    </row>
    <row r="398" customFormat="false" ht="12.75" hidden="false" customHeight="false" outlineLevel="0" collapsed="false">
      <c r="C398" s="89" t="s">
        <v>120</v>
      </c>
      <c r="D398" s="94" t="n">
        <v>6.64120563944212E-008</v>
      </c>
      <c r="E398" s="94" t="n">
        <v>2.59230210750164E-005</v>
      </c>
      <c r="F398" s="94" t="n">
        <v>4.64290295308597E-005</v>
      </c>
      <c r="G398" s="94" t="n">
        <v>0.00295552957325158</v>
      </c>
      <c r="H398" s="94" t="n">
        <v>0.00294416561296456</v>
      </c>
      <c r="I398" s="94" t="n">
        <v>0.0001766848867165</v>
      </c>
      <c r="J398" s="94" t="n">
        <v>0.000225549545306057</v>
      </c>
      <c r="K398" s="94" t="n">
        <v>0.000969935757771757</v>
      </c>
      <c r="L398" s="94" t="n">
        <v>0.00096930577623119</v>
      </c>
      <c r="M398" s="94" t="n">
        <v>9.36816131767673E-005</v>
      </c>
      <c r="N398" s="94" t="n">
        <v>9.29094751418401E-005</v>
      </c>
      <c r="O398" s="94" t="n">
        <v>1.40875153894582E-005</v>
      </c>
      <c r="P398" s="94" t="n">
        <v>0.000309262971986705</v>
      </c>
      <c r="Q398" s="94" t="n">
        <v>0.000306614900986014</v>
      </c>
      <c r="R398" s="94" t="n">
        <v>0.000305987059351122</v>
      </c>
      <c r="S398" s="94" t="n">
        <v>0.000929537870417305</v>
      </c>
      <c r="T398" s="94" t="n">
        <v>3.78524839859641E-005</v>
      </c>
      <c r="U398" s="94" t="n">
        <v>1.30063055844106E-006</v>
      </c>
      <c r="V398" s="94" t="n">
        <v>1.41741135241292E-005</v>
      </c>
      <c r="W398" s="94" t="n">
        <v>7.4302041855894E-006</v>
      </c>
      <c r="X398" s="94" t="n">
        <v>1.38773408017565E-005</v>
      </c>
      <c r="Y398" s="94" t="n">
        <v>0.000336475649577198</v>
      </c>
      <c r="Z398" s="94" t="n">
        <v>1.49668304839865E-005</v>
      </c>
      <c r="AA398" s="94" t="n">
        <v>1.54571660233527E-005</v>
      </c>
      <c r="AB398" s="94" t="n">
        <v>1.48748704961579E-005</v>
      </c>
      <c r="AC398" s="94" t="n">
        <v>1.48859251183974E-005</v>
      </c>
      <c r="AD398" s="94" t="n">
        <v>1.57140661229209E-005</v>
      </c>
      <c r="AE398" s="94" t="n">
        <v>7.7702678828737E-008</v>
      </c>
      <c r="AF398" s="94" t="n">
        <v>1.7594938634497E-005</v>
      </c>
      <c r="AG398" s="94" t="n">
        <v>1.80146732393383E-005</v>
      </c>
      <c r="AH398" s="94" t="n">
        <v>0.000136984869691839</v>
      </c>
      <c r="AI398" s="94" t="n">
        <v>7.89712487674957E-005</v>
      </c>
      <c r="AJ398" s="94" t="n">
        <v>0.000179100813170626</v>
      </c>
      <c r="AK398" s="94" t="n">
        <v>0.000181324732130437</v>
      </c>
    </row>
    <row r="399" customFormat="false" ht="12.75" hidden="false" customHeight="false" outlineLevel="0" collapsed="false">
      <c r="C399" s="89" t="s">
        <v>122</v>
      </c>
      <c r="D399" s="94" t="n">
        <v>1.26102220947412E-007</v>
      </c>
      <c r="E399" s="94" t="n">
        <v>2.12028032455064E-005</v>
      </c>
      <c r="F399" s="94" t="n">
        <v>3.71904663467626E-005</v>
      </c>
      <c r="G399" s="94" t="n">
        <v>2.30421491218619E-006</v>
      </c>
      <c r="H399" s="94" t="n">
        <v>2.29535524554918E-006</v>
      </c>
      <c r="I399" s="94" t="n">
        <v>0.00420956908106414</v>
      </c>
      <c r="J399" s="94" t="n">
        <v>0.0038585284560588</v>
      </c>
      <c r="K399" s="94" t="n">
        <v>0.000159159218880602</v>
      </c>
      <c r="L399" s="94" t="n">
        <v>0.000159055843611567</v>
      </c>
      <c r="M399" s="94" t="n">
        <v>0.000176853598571505</v>
      </c>
      <c r="N399" s="94" t="n">
        <v>0.00017539594444451</v>
      </c>
      <c r="O399" s="94" t="n">
        <v>4.21890886968221E-005</v>
      </c>
      <c r="P399" s="94" t="n">
        <v>0.000192693834914705</v>
      </c>
      <c r="Q399" s="94" t="n">
        <v>0.000191043889714438</v>
      </c>
      <c r="R399" s="94" t="n">
        <v>0.000190652697676253</v>
      </c>
      <c r="S399" s="94" t="n">
        <v>0.00355174543811117</v>
      </c>
      <c r="T399" s="94" t="n">
        <v>4.51333357160905E-005</v>
      </c>
      <c r="U399" s="94" t="n">
        <v>0.000177440020544114</v>
      </c>
      <c r="V399" s="94" t="n">
        <v>4.05774202999737E-005</v>
      </c>
      <c r="W399" s="94" t="n">
        <v>0.000122742738542511</v>
      </c>
      <c r="X399" s="94" t="n">
        <v>3.66840324070581E-005</v>
      </c>
      <c r="Y399" s="94" t="n">
        <v>0.000195979049332983</v>
      </c>
      <c r="Z399" s="94" t="n">
        <v>1.49390688548626E-005</v>
      </c>
      <c r="AA399" s="94" t="n">
        <v>1.54284948821311E-005</v>
      </c>
      <c r="AB399" s="94" t="n">
        <v>1.48472794414973E-005</v>
      </c>
      <c r="AC399" s="94" t="n">
        <v>1.48583135587725E-005</v>
      </c>
      <c r="AD399" s="94" t="n">
        <v>2.0354037788081E-005</v>
      </c>
      <c r="AE399" s="94" t="n">
        <v>2.95081372444556E-008</v>
      </c>
      <c r="AF399" s="94" t="n">
        <v>2.40157497675941E-005</v>
      </c>
      <c r="AG399" s="94" t="n">
        <v>2.45886555019116E-005</v>
      </c>
      <c r="AH399" s="94" t="n">
        <v>3.96374882672534E-005</v>
      </c>
      <c r="AI399" s="94" t="n">
        <v>4.46993398788884E-005</v>
      </c>
      <c r="AJ399" s="94" t="n">
        <v>8.32227582238019E-006</v>
      </c>
      <c r="AK399" s="94" t="n">
        <v>0.000192510918611866</v>
      </c>
    </row>
    <row r="400" customFormat="false" ht="12.75" hidden="false" customHeight="false" outlineLevel="0" collapsed="false">
      <c r="C400" s="89" t="s">
        <v>124</v>
      </c>
      <c r="D400" s="94" t="n">
        <v>3.67681810820556E-006</v>
      </c>
      <c r="E400" s="94" t="n">
        <v>0.000602436147497388</v>
      </c>
      <c r="F400" s="94" t="n">
        <v>0.000533621525227091</v>
      </c>
      <c r="G400" s="94" t="n">
        <v>0.000180784935234742</v>
      </c>
      <c r="H400" s="94" t="n">
        <v>0.00018008982027359</v>
      </c>
      <c r="I400" s="94" t="n">
        <v>0.0521097384068333</v>
      </c>
      <c r="J400" s="94" t="n">
        <v>0.0342772475912449</v>
      </c>
      <c r="K400" s="94" t="n">
        <v>0.00215656112763613</v>
      </c>
      <c r="L400" s="94" t="n">
        <v>0.00215516042280529</v>
      </c>
      <c r="M400" s="94" t="n">
        <v>0.00172413918023487</v>
      </c>
      <c r="N400" s="94" t="n">
        <v>0.00170992856415533</v>
      </c>
      <c r="O400" s="94" t="n">
        <v>0.000546186508032026</v>
      </c>
      <c r="P400" s="94" t="n">
        <v>0.00291408414961022</v>
      </c>
      <c r="Q400" s="94" t="n">
        <v>0.00288913223997621</v>
      </c>
      <c r="R400" s="94" t="n">
        <v>0.00288321629295887</v>
      </c>
      <c r="S400" s="94" t="n">
        <v>0.0311518290083047</v>
      </c>
      <c r="T400" s="94" t="n">
        <v>0.000785675597913121</v>
      </c>
      <c r="U400" s="94" t="n">
        <v>0.00155673910425293</v>
      </c>
      <c r="V400" s="94" t="n">
        <v>0.000591505909867885</v>
      </c>
      <c r="W400" s="94" t="n">
        <v>0.00130132225569808</v>
      </c>
      <c r="X400" s="94" t="n">
        <v>0.000764061119485423</v>
      </c>
      <c r="Y400" s="94" t="n">
        <v>0.00237912265939429</v>
      </c>
      <c r="Z400" s="94" t="n">
        <v>0.00015072014828556</v>
      </c>
      <c r="AA400" s="94" t="n">
        <v>0.000155657963628763</v>
      </c>
      <c r="AB400" s="94" t="n">
        <v>0.000149794085615398</v>
      </c>
      <c r="AC400" s="94" t="n">
        <v>0.000149905408737881</v>
      </c>
      <c r="AD400" s="94" t="n">
        <v>0.000244933891790376</v>
      </c>
      <c r="AE400" s="94" t="n">
        <v>5.0271803542228E-005</v>
      </c>
      <c r="AF400" s="94" t="n">
        <v>0.000238984236586839</v>
      </c>
      <c r="AG400" s="94" t="n">
        <v>0.000244685305297041</v>
      </c>
      <c r="AH400" s="94" t="n">
        <v>0.000724605956017208</v>
      </c>
      <c r="AI400" s="94" t="n">
        <v>0.00133116235261537</v>
      </c>
      <c r="AJ400" s="94" t="n">
        <v>0.000389533284626318</v>
      </c>
      <c r="AK400" s="94" t="n">
        <v>0.00240356863874884</v>
      </c>
    </row>
    <row r="401" customFormat="false" ht="12.75" hidden="false" customHeight="false" outlineLevel="0" collapsed="false">
      <c r="C401" s="89" t="s">
        <v>126</v>
      </c>
      <c r="D401" s="94" t="n">
        <v>0.000724517408228387</v>
      </c>
      <c r="E401" s="94" t="n">
        <v>0.0065519290524075</v>
      </c>
      <c r="F401" s="94" t="n">
        <v>0.000297012811517084</v>
      </c>
      <c r="G401" s="94" t="n">
        <v>0.00109989112855301</v>
      </c>
      <c r="H401" s="94" t="n">
        <v>0.00109566206611424</v>
      </c>
      <c r="I401" s="94" t="n">
        <v>0.0027626226170056</v>
      </c>
      <c r="J401" s="94" t="n">
        <v>0.00426256967536364</v>
      </c>
      <c r="K401" s="94" t="n">
        <v>0.00530992798358763</v>
      </c>
      <c r="L401" s="94" t="n">
        <v>0.00530647914011049</v>
      </c>
      <c r="M401" s="94" t="n">
        <v>0.000590634928352631</v>
      </c>
      <c r="N401" s="94" t="n">
        <v>0.000585766825877962</v>
      </c>
      <c r="O401" s="94" t="n">
        <v>0.000899982716113806</v>
      </c>
      <c r="P401" s="94" t="n">
        <v>0.00356601924536061</v>
      </c>
      <c r="Q401" s="94" t="n">
        <v>0.0035354851271282</v>
      </c>
      <c r="R401" s="94" t="n">
        <v>0.00352824567217932</v>
      </c>
      <c r="S401" s="94" t="n">
        <v>0.000702004478425957</v>
      </c>
      <c r="T401" s="94" t="n">
        <v>0.00457501556926537</v>
      </c>
      <c r="U401" s="94" t="n">
        <v>0.00439132411309189</v>
      </c>
      <c r="V401" s="94" t="n">
        <v>0.00409094490905552</v>
      </c>
      <c r="W401" s="94" t="n">
        <v>0.00254472332104214</v>
      </c>
      <c r="X401" s="94" t="n">
        <v>0.00390896171398936</v>
      </c>
      <c r="Y401" s="94" t="n">
        <v>5.21802792332451E-005</v>
      </c>
      <c r="Z401" s="94" t="n">
        <v>0.010307856161206</v>
      </c>
      <c r="AA401" s="94" t="n">
        <v>0.00890663563723898</v>
      </c>
      <c r="AB401" s="94" t="n">
        <v>0.00857110879576729</v>
      </c>
      <c r="AC401" s="94" t="n">
        <v>0.0100660625624511</v>
      </c>
      <c r="AD401" s="94" t="n">
        <v>0.0042729459602719</v>
      </c>
      <c r="AE401" s="94" t="n">
        <v>2.95153442010042E-005</v>
      </c>
      <c r="AF401" s="94" t="n">
        <v>0.00137744914254911</v>
      </c>
      <c r="AG401" s="94" t="n">
        <v>0.00141030876675963</v>
      </c>
      <c r="AH401" s="94" t="n">
        <v>0.001175738673494</v>
      </c>
      <c r="AI401" s="94" t="n">
        <v>5.43920402404862E-005</v>
      </c>
      <c r="AJ401" s="94" t="n">
        <v>0.00122056823911759</v>
      </c>
      <c r="AK401" s="94" t="n">
        <v>0.000863284729229419</v>
      </c>
    </row>
    <row r="402" customFormat="false" ht="12.75" hidden="false" customHeight="false" outlineLevel="0" collapsed="false">
      <c r="C402" s="89" t="s">
        <v>128</v>
      </c>
      <c r="D402" s="94" t="n">
        <v>0.000331392568417762</v>
      </c>
      <c r="E402" s="94" t="n">
        <v>0.0033320249710199</v>
      </c>
      <c r="F402" s="94" t="n">
        <v>0.000135852965496448</v>
      </c>
      <c r="G402" s="94" t="n">
        <v>0.000503087630375049</v>
      </c>
      <c r="H402" s="94" t="n">
        <v>0.00050115326710418</v>
      </c>
      <c r="I402" s="94" t="n">
        <v>0.00126361712530432</v>
      </c>
      <c r="J402" s="94" t="n">
        <v>0.0019496894025397</v>
      </c>
      <c r="K402" s="94" t="n">
        <v>0.00242874864373135</v>
      </c>
      <c r="L402" s="94" t="n">
        <v>0.00242717115078919</v>
      </c>
      <c r="M402" s="94" t="n">
        <v>0.000270155035173867</v>
      </c>
      <c r="N402" s="94" t="n">
        <v>0.000267928376484811</v>
      </c>
      <c r="O402" s="94" t="n">
        <v>0.000411649989962051</v>
      </c>
      <c r="P402" s="94" t="n">
        <v>0.00163108886456832</v>
      </c>
      <c r="Q402" s="94" t="n">
        <v>0.00161712263028533</v>
      </c>
      <c r="R402" s="94" t="n">
        <v>0.00161381132051941</v>
      </c>
      <c r="S402" s="94" t="n">
        <v>0.000321095206967083</v>
      </c>
      <c r="T402" s="94" t="n">
        <v>0.00234638955806274</v>
      </c>
      <c r="U402" s="94" t="n">
        <v>0.00200858138129601</v>
      </c>
      <c r="V402" s="94" t="n">
        <v>0.0022847867613708</v>
      </c>
      <c r="W402" s="94" t="n">
        <v>0.00132632911122337</v>
      </c>
      <c r="X402" s="94" t="n">
        <v>0.00201204153649368</v>
      </c>
      <c r="Y402" s="94" t="n">
        <v>2.3867137710527E-005</v>
      </c>
      <c r="Z402" s="94" t="n">
        <v>0.00441634136149086</v>
      </c>
      <c r="AA402" s="94" t="n">
        <v>0.0051343789460479</v>
      </c>
      <c r="AB402" s="94" t="n">
        <v>0.004940958891512</v>
      </c>
      <c r="AC402" s="94" t="n">
        <v>0.00420841395804632</v>
      </c>
      <c r="AD402" s="94" t="n">
        <v>0.00195443549099434</v>
      </c>
      <c r="AE402" s="94" t="n">
        <v>1.35002494231605E-005</v>
      </c>
      <c r="AF402" s="94" t="n">
        <v>0.000630042016975661</v>
      </c>
      <c r="AG402" s="94" t="n">
        <v>0.000645071932255396</v>
      </c>
      <c r="AH402" s="94" t="n">
        <v>0.000537780120080213</v>
      </c>
      <c r="AI402" s="94" t="n">
        <v>2.48787920235794E-005</v>
      </c>
      <c r="AJ402" s="94" t="n">
        <v>0.000558285058573523</v>
      </c>
      <c r="AK402" s="94" t="n">
        <v>0.000394864416570356</v>
      </c>
    </row>
    <row r="403" customFormat="false" ht="12.75" hidden="false" customHeight="false" outlineLevel="0" collapsed="false">
      <c r="C403" s="89" t="s">
        <v>130</v>
      </c>
      <c r="D403" s="94" t="n">
        <v>3.3066617842572E-005</v>
      </c>
      <c r="E403" s="94" t="n">
        <v>9.08838462837417E-005</v>
      </c>
      <c r="F403" s="94" t="n">
        <v>0.00122771828097616</v>
      </c>
      <c r="G403" s="94" t="n">
        <v>0.000281064229301675</v>
      </c>
      <c r="H403" s="94" t="n">
        <v>0.000279983542182592</v>
      </c>
      <c r="I403" s="94" t="n">
        <v>4.11233002280976E-005</v>
      </c>
      <c r="J403" s="94" t="n">
        <v>8.79024779433251E-005</v>
      </c>
      <c r="K403" s="94" t="n">
        <v>0.000190463154069526</v>
      </c>
      <c r="L403" s="94" t="n">
        <v>0.00019033944662781</v>
      </c>
      <c r="M403" s="94" t="n">
        <v>0.0275676336793024</v>
      </c>
      <c r="N403" s="94" t="n">
        <v>0.0273404170700349</v>
      </c>
      <c r="O403" s="94" t="n">
        <v>2.50617181773776E-005</v>
      </c>
      <c r="P403" s="94" t="n">
        <v>0.0019633693804381</v>
      </c>
      <c r="Q403" s="94" t="n">
        <v>0.0019465579869286</v>
      </c>
      <c r="R403" s="94" t="n">
        <v>0.00194257210710022</v>
      </c>
      <c r="S403" s="94" t="n">
        <v>0.000370620028695308</v>
      </c>
      <c r="T403" s="94" t="n">
        <v>0.00217686709344286</v>
      </c>
      <c r="U403" s="94" t="n">
        <v>0.0143083492811428</v>
      </c>
      <c r="V403" s="94" t="n">
        <v>5.40168607302585E-006</v>
      </c>
      <c r="W403" s="94" t="n">
        <v>0.00312021602615166</v>
      </c>
      <c r="X403" s="94" t="n">
        <v>0.0026416568049158</v>
      </c>
      <c r="Y403" s="94" t="n">
        <v>0.0013850139106023</v>
      </c>
      <c r="Z403" s="94" t="n">
        <v>0.00227332510956901</v>
      </c>
      <c r="AA403" s="94" t="n">
        <v>0.00234780260799115</v>
      </c>
      <c r="AB403" s="94" t="n">
        <v>0.00225935722574551</v>
      </c>
      <c r="AC403" s="94" t="n">
        <v>0.0022610363220873</v>
      </c>
      <c r="AD403" s="94" t="n">
        <v>0.00134748244822877</v>
      </c>
      <c r="AE403" s="94" t="n">
        <v>7.69914987003539E-007</v>
      </c>
      <c r="AF403" s="94" t="n">
        <v>0.00240316198252775</v>
      </c>
      <c r="AG403" s="94" t="n">
        <v>0.00246049041464449</v>
      </c>
      <c r="AH403" s="94" t="n">
        <v>6.82711232587667E-005</v>
      </c>
      <c r="AI403" s="94" t="n">
        <v>9.36427601927116E-005</v>
      </c>
      <c r="AJ403" s="94" t="n">
        <v>2.32651741421574E-005</v>
      </c>
      <c r="AK403" s="94" t="n">
        <v>0.000436447923941993</v>
      </c>
    </row>
    <row r="404" customFormat="false" ht="12.75" hidden="false" customHeight="false" outlineLevel="0" collapsed="false">
      <c r="C404" s="89" t="s">
        <v>132</v>
      </c>
      <c r="D404" s="94" t="n">
        <v>0.000125956838447965</v>
      </c>
      <c r="E404" s="94" t="n">
        <v>0.000346193311889096</v>
      </c>
      <c r="F404" s="94" t="n">
        <v>0.00467660508591348</v>
      </c>
      <c r="G404" s="94" t="n">
        <v>0.00107062542326523</v>
      </c>
      <c r="H404" s="94" t="n">
        <v>0.00106650888695906</v>
      </c>
      <c r="I404" s="94" t="n">
        <v>0.000156646225747617</v>
      </c>
      <c r="J404" s="94" t="n">
        <v>0.000334836730693049</v>
      </c>
      <c r="K404" s="94" t="n">
        <v>0.000725509238399914</v>
      </c>
      <c r="L404" s="94" t="n">
        <v>0.000725038013966707</v>
      </c>
      <c r="M404" s="94" t="n">
        <v>0.087473153242266</v>
      </c>
      <c r="N404" s="94" t="n">
        <v>0.0954484355879122</v>
      </c>
      <c r="O404" s="94" t="n">
        <v>9.54647010687697E-005</v>
      </c>
      <c r="P404" s="94" t="n">
        <v>0.00747883563547085</v>
      </c>
      <c r="Q404" s="94" t="n">
        <v>0.00741479794082545</v>
      </c>
      <c r="R404" s="94" t="n">
        <v>0.00739961499033416</v>
      </c>
      <c r="S404" s="94" t="n">
        <v>0.00141175995991504</v>
      </c>
      <c r="T404" s="94" t="n">
        <v>0.00829208775197033</v>
      </c>
      <c r="U404" s="94" t="n">
        <v>0.0489872346782407</v>
      </c>
      <c r="V404" s="94" t="n">
        <v>2.05760172777871E-005</v>
      </c>
      <c r="W404" s="94" t="n">
        <v>0.011885477607654</v>
      </c>
      <c r="X404" s="94" t="n">
        <v>0.0100625573802521</v>
      </c>
      <c r="Y404" s="94" t="n">
        <v>0.00527577311403527</v>
      </c>
      <c r="Z404" s="94" t="n">
        <v>0.00865951410358751</v>
      </c>
      <c r="AA404" s="94" t="n">
        <v>0.00894321261431592</v>
      </c>
      <c r="AB404" s="94" t="n">
        <v>0.00860630786112888</v>
      </c>
      <c r="AC404" s="94" t="n">
        <v>0.00861270384839518</v>
      </c>
      <c r="AD404" s="94" t="n">
        <v>0.00513280886031552</v>
      </c>
      <c r="AE404" s="94" t="n">
        <v>2.93274800883384E-006</v>
      </c>
      <c r="AF404" s="94" t="n">
        <v>0.00915408666948193</v>
      </c>
      <c r="AG404" s="94" t="n">
        <v>0.00937246122768378</v>
      </c>
      <c r="AH404" s="94" t="n">
        <v>0.000260057284476627</v>
      </c>
      <c r="AI404" s="94" t="n">
        <v>0.000356702523178207</v>
      </c>
      <c r="AJ404" s="94" t="n">
        <v>8.86213339035458E-005</v>
      </c>
      <c r="AK404" s="94" t="n">
        <v>0.00166251053883519</v>
      </c>
    </row>
    <row r="405" customFormat="false" ht="12.75" hidden="false" customHeight="false" outlineLevel="0" collapsed="false">
      <c r="C405" s="89" t="s">
        <v>134</v>
      </c>
      <c r="D405" s="94" t="n">
        <v>0.00176514933846635</v>
      </c>
      <c r="E405" s="94" t="n">
        <v>0.0059644217519342</v>
      </c>
      <c r="F405" s="94" t="n">
        <v>0.00159286629231639</v>
      </c>
      <c r="G405" s="94" t="n">
        <v>0.00575856911762493</v>
      </c>
      <c r="H405" s="94" t="n">
        <v>0.00573642751858463</v>
      </c>
      <c r="I405" s="94" t="n">
        <v>0.00257496026935723</v>
      </c>
      <c r="J405" s="94" t="n">
        <v>0.0054506157472972</v>
      </c>
      <c r="K405" s="94" t="n">
        <v>0.00366881539234693</v>
      </c>
      <c r="L405" s="94" t="n">
        <v>0.00366643246548356</v>
      </c>
      <c r="M405" s="94" t="n">
        <v>0.0152091133711838</v>
      </c>
      <c r="N405" s="94" t="n">
        <v>0.0150837575568124</v>
      </c>
      <c r="O405" s="94" t="n">
        <v>0.393812497079691</v>
      </c>
      <c r="P405" s="94" t="n">
        <v>0.0409228802627204</v>
      </c>
      <c r="Q405" s="94" t="n">
        <v>0.040572477200264</v>
      </c>
      <c r="R405" s="94" t="n">
        <v>0.0404893987512548</v>
      </c>
      <c r="S405" s="94" t="n">
        <v>0.0192072028253208</v>
      </c>
      <c r="T405" s="94" t="n">
        <v>0.00981532645483486</v>
      </c>
      <c r="U405" s="94" t="n">
        <v>0.0201586367593869</v>
      </c>
      <c r="V405" s="94" t="n">
        <v>0.00155948191236441</v>
      </c>
      <c r="W405" s="94" t="n">
        <v>0.00124033279285751</v>
      </c>
      <c r="X405" s="94" t="n">
        <v>0.000641477433428339</v>
      </c>
      <c r="Y405" s="94" t="n">
        <v>0.000538524816437409</v>
      </c>
      <c r="Z405" s="94" t="n">
        <v>0.000588175361854104</v>
      </c>
      <c r="AA405" s="94" t="n">
        <v>0.000607444858064758</v>
      </c>
      <c r="AB405" s="94" t="n">
        <v>0.000584561463829732</v>
      </c>
      <c r="AC405" s="94" t="n">
        <v>0.000584995894916715</v>
      </c>
      <c r="AD405" s="94" t="n">
        <v>0.00132768775007722</v>
      </c>
      <c r="AE405" s="94" t="n">
        <v>6.04065853842772E-006</v>
      </c>
      <c r="AF405" s="94" t="n">
        <v>0.000697056028250376</v>
      </c>
      <c r="AG405" s="94" t="n">
        <v>0.000713684590739157</v>
      </c>
      <c r="AH405" s="94" t="n">
        <v>3.54764052885675E-005</v>
      </c>
      <c r="AI405" s="94" t="n">
        <v>0.000240727865039711</v>
      </c>
      <c r="AJ405" s="94" t="n">
        <v>0.000152544949367743</v>
      </c>
      <c r="AK405" s="94" t="n">
        <v>0.00256937226776386</v>
      </c>
    </row>
    <row r="406" customFormat="false" ht="12.75" hidden="false" customHeight="false" outlineLevel="0" collapsed="false">
      <c r="C406" s="89" t="s">
        <v>136</v>
      </c>
      <c r="D406" s="94" t="n">
        <v>0.000938282450783392</v>
      </c>
      <c r="E406" s="94" t="n">
        <v>0.000833921608937619</v>
      </c>
      <c r="F406" s="94" t="n">
        <v>0.000222406887830449</v>
      </c>
      <c r="G406" s="94" t="n">
        <v>0.000144381557848277</v>
      </c>
      <c r="H406" s="94" t="n">
        <v>0.000143826413245967</v>
      </c>
      <c r="I406" s="94" t="n">
        <v>0.000302132659795197</v>
      </c>
      <c r="J406" s="94" t="n">
        <v>0.000706323630828034</v>
      </c>
      <c r="K406" s="94" t="n">
        <v>0.000398618043986094</v>
      </c>
      <c r="L406" s="94" t="n">
        <v>0.000398359138169457</v>
      </c>
      <c r="M406" s="94" t="n">
        <v>0.000968342992028656</v>
      </c>
      <c r="N406" s="94" t="n">
        <v>0.000960361762525387</v>
      </c>
      <c r="O406" s="94" t="n">
        <v>0.000346844511492103</v>
      </c>
      <c r="P406" s="94" t="n">
        <v>0.00501461342214201</v>
      </c>
      <c r="Q406" s="94" t="n">
        <v>0.00497167568440525</v>
      </c>
      <c r="R406" s="94" t="n">
        <v>0.0049614954062133</v>
      </c>
      <c r="S406" s="94" t="n">
        <v>0.000718189376772133</v>
      </c>
      <c r="T406" s="94" t="n">
        <v>0.00314850561975469</v>
      </c>
      <c r="U406" s="94" t="n">
        <v>0.00179316868360414</v>
      </c>
      <c r="V406" s="94" t="n">
        <v>0.00030472675322636</v>
      </c>
      <c r="W406" s="94" t="n">
        <v>0.000850447564148657</v>
      </c>
      <c r="X406" s="94" t="n">
        <v>0.000863724498744486</v>
      </c>
      <c r="Y406" s="94" t="n">
        <v>0.00108276524213447</v>
      </c>
      <c r="Z406" s="94" t="n">
        <v>0.00244635523952414</v>
      </c>
      <c r="AA406" s="94" t="n">
        <v>0.00283553998870787</v>
      </c>
      <c r="AB406" s="94" t="n">
        <v>0.0027287207794096</v>
      </c>
      <c r="AC406" s="94" t="n">
        <v>0.00233392525198326</v>
      </c>
      <c r="AD406" s="94" t="n">
        <v>0.00432793982827949</v>
      </c>
      <c r="AE406" s="94" t="n">
        <v>1.76175715422504E-005</v>
      </c>
      <c r="AF406" s="94" t="n">
        <v>0.000711395503851226</v>
      </c>
      <c r="AG406" s="94" t="n">
        <v>0.000728366140515416</v>
      </c>
      <c r="AH406" s="94" t="n">
        <v>0.000547486755053491</v>
      </c>
      <c r="AI406" s="94" t="n">
        <v>0.000319359646348287</v>
      </c>
      <c r="AJ406" s="94" t="n">
        <v>0.000326066303669791</v>
      </c>
      <c r="AK406" s="94" t="n">
        <v>0.00177622274492993</v>
      </c>
    </row>
    <row r="407" customFormat="false" ht="12.75" hidden="false" customHeight="false" outlineLevel="0" collapsed="false">
      <c r="C407" s="89" t="s">
        <v>138</v>
      </c>
      <c r="D407" s="94" t="n">
        <v>0.000212030735317941</v>
      </c>
      <c r="E407" s="94" t="n">
        <v>0.000188447531756495</v>
      </c>
      <c r="F407" s="94" t="n">
        <v>5.02589555278295E-005</v>
      </c>
      <c r="G407" s="94" t="n">
        <v>3.2626985457695E-005</v>
      </c>
      <c r="H407" s="94" t="n">
        <v>3.25015352607552E-005</v>
      </c>
      <c r="I407" s="94" t="n">
        <v>6.82751872492717E-005</v>
      </c>
      <c r="J407" s="94" t="n">
        <v>0.000159613257918089</v>
      </c>
      <c r="K407" s="94" t="n">
        <v>9.0078714471111E-005</v>
      </c>
      <c r="L407" s="94" t="n">
        <v>9.00202075784017E-005</v>
      </c>
      <c r="M407" s="94" t="n">
        <v>0.000218823741687151</v>
      </c>
      <c r="N407" s="94" t="n">
        <v>0.000217020163288232</v>
      </c>
      <c r="O407" s="94" t="n">
        <v>7.83790603258771E-005</v>
      </c>
      <c r="P407" s="94" t="n">
        <v>0.00113318987299002</v>
      </c>
      <c r="Q407" s="94" t="n">
        <v>0.00112348690977504</v>
      </c>
      <c r="R407" s="94" t="n">
        <v>0.00112118639582108</v>
      </c>
      <c r="S407" s="94" t="n">
        <v>0.000162294649683996</v>
      </c>
      <c r="T407" s="94" t="n">
        <v>0.000778340728881567</v>
      </c>
      <c r="U407" s="94" t="n">
        <v>0.000405215800653901</v>
      </c>
      <c r="V407" s="94" t="n">
        <v>6.88613940329897E-005</v>
      </c>
      <c r="W407" s="94" t="n">
        <v>0.000192182026025573</v>
      </c>
      <c r="X407" s="94" t="n">
        <v>0.000195182314694271</v>
      </c>
      <c r="Y407" s="94" t="n">
        <v>0.000244680597270899</v>
      </c>
      <c r="Z407" s="94" t="n">
        <v>0.000620441687624493</v>
      </c>
      <c r="AA407" s="94" t="n">
        <v>0.00064076827646855</v>
      </c>
      <c r="AB407" s="94" t="n">
        <v>0.000616629537142573</v>
      </c>
      <c r="AC407" s="94" t="n">
        <v>0.00061708780039916</v>
      </c>
      <c r="AD407" s="94" t="n">
        <v>0.00104252657930974</v>
      </c>
      <c r="AE407" s="94" t="n">
        <v>3.9811750134525E-006</v>
      </c>
      <c r="AF407" s="94" t="n">
        <v>0.000160759387173357</v>
      </c>
      <c r="AG407" s="94" t="n">
        <v>0.000164594369451581</v>
      </c>
      <c r="AH407" s="94" t="n">
        <v>0.000123719695656575</v>
      </c>
      <c r="AI407" s="94" t="n">
        <v>7.21680988380093E-005</v>
      </c>
      <c r="AJ407" s="94" t="n">
        <v>7.3683652584344E-005</v>
      </c>
      <c r="AK407" s="94" t="n">
        <v>0.00040138639956604</v>
      </c>
    </row>
    <row r="408" customFormat="false" ht="12.75" hidden="false" customHeight="false" outlineLevel="0" collapsed="false">
      <c r="C408" s="89" t="s">
        <v>140</v>
      </c>
      <c r="D408" s="94" t="n">
        <v>0.00054381406203226</v>
      </c>
      <c r="E408" s="94" t="n">
        <v>0.000483328124909737</v>
      </c>
      <c r="F408" s="94" t="n">
        <v>0.000128903607857153</v>
      </c>
      <c r="G408" s="94" t="n">
        <v>8.36813279311178E-005</v>
      </c>
      <c r="H408" s="94" t="n">
        <v>8.33595746670059E-005</v>
      </c>
      <c r="I408" s="94" t="n">
        <v>0.000175111437775115</v>
      </c>
      <c r="J408" s="94" t="n">
        <v>0.000409374301383627</v>
      </c>
      <c r="K408" s="94" t="n">
        <v>0.000231032880896838</v>
      </c>
      <c r="L408" s="94" t="n">
        <v>0.000230882823071807</v>
      </c>
      <c r="M408" s="94" t="n">
        <v>0.000561236688905253</v>
      </c>
      <c r="N408" s="94" t="n">
        <v>0.000556610891169654</v>
      </c>
      <c r="O408" s="94" t="n">
        <v>0.000201025738604225</v>
      </c>
      <c r="P408" s="94" t="n">
        <v>0.00290639273103713</v>
      </c>
      <c r="Q408" s="94" t="n">
        <v>0.00288150667934385</v>
      </c>
      <c r="R408" s="94" t="n">
        <v>0.00287560634684633</v>
      </c>
      <c r="S408" s="94" t="n">
        <v>0.000416251505039647</v>
      </c>
      <c r="T408" s="94" t="n">
        <v>0.00199627960910256</v>
      </c>
      <c r="U408" s="94" t="n">
        <v>0.0010392929601589</v>
      </c>
      <c r="V408" s="94" t="n">
        <v>0.000176614934387369</v>
      </c>
      <c r="W408" s="94" t="n">
        <v>0.000492906314105077</v>
      </c>
      <c r="X408" s="94" t="n">
        <v>0.000500601420976009</v>
      </c>
      <c r="Y408" s="94" t="n">
        <v>0.000627554063342943</v>
      </c>
      <c r="Z408" s="94" t="n">
        <v>0.00159130191146715</v>
      </c>
      <c r="AA408" s="94" t="n">
        <v>0.00164343531953165</v>
      </c>
      <c r="AB408" s="94" t="n">
        <v>0.00158152455048435</v>
      </c>
      <c r="AC408" s="94" t="n">
        <v>0.00158269989896705</v>
      </c>
      <c r="AD408" s="94" t="n">
        <v>0.0023933641376769</v>
      </c>
      <c r="AE408" s="94" t="n">
        <v>1.02108732136427E-005</v>
      </c>
      <c r="AF408" s="94" t="n">
        <v>0.000412313880897823</v>
      </c>
      <c r="AG408" s="94" t="n">
        <v>0.0004221498006168</v>
      </c>
      <c r="AH408" s="94" t="n">
        <v>0.00031731489374646</v>
      </c>
      <c r="AI408" s="94" t="n">
        <v>0.000185095933942754</v>
      </c>
      <c r="AJ408" s="94" t="n">
        <v>0.000188983009265992</v>
      </c>
      <c r="AK408" s="94" t="n">
        <v>0.00102947135501464</v>
      </c>
    </row>
    <row r="409" customFormat="false" ht="12.75" hidden="false" customHeight="false" outlineLevel="0" collapsed="false">
      <c r="C409" s="89" t="s">
        <v>142</v>
      </c>
      <c r="D409" s="94" t="n">
        <v>5.60231002383693E-007</v>
      </c>
      <c r="E409" s="94" t="n">
        <v>5.55020350083393E-005</v>
      </c>
      <c r="F409" s="94" t="n">
        <v>0.000477536926760558</v>
      </c>
      <c r="G409" s="94" t="n">
        <v>0.0237106418182441</v>
      </c>
      <c r="H409" s="94" t="n">
        <v>0.0254606432081652</v>
      </c>
      <c r="I409" s="94" t="n">
        <v>0</v>
      </c>
      <c r="J409" s="94" t="n">
        <v>0.00101982288331787</v>
      </c>
      <c r="K409" s="94" t="n">
        <v>0</v>
      </c>
      <c r="L409" s="94" t="n">
        <v>0</v>
      </c>
      <c r="M409" s="94" t="n">
        <v>0.000766353732727859</v>
      </c>
      <c r="N409" s="94" t="n">
        <v>0.000760037329271708</v>
      </c>
      <c r="O409" s="94" t="n">
        <v>5.97395986239384E-005</v>
      </c>
      <c r="P409" s="94" t="n">
        <v>0.000620967394921221</v>
      </c>
      <c r="Q409" s="94" t="n">
        <v>0.000615650347942388</v>
      </c>
      <c r="R409" s="94" t="n">
        <v>0.000614389708228758</v>
      </c>
      <c r="S409" s="94" t="n">
        <v>0.0251149410957202</v>
      </c>
      <c r="T409" s="94" t="n">
        <v>0.000102243410583085</v>
      </c>
      <c r="U409" s="94" t="n">
        <v>0.00143828274582169</v>
      </c>
      <c r="V409" s="94" t="n">
        <v>0.000331112263125884</v>
      </c>
      <c r="W409" s="94" t="n">
        <v>0.000690291975175587</v>
      </c>
      <c r="X409" s="94" t="n">
        <v>0.00025260499016602</v>
      </c>
      <c r="Y409" s="94" t="n">
        <v>0.00137289810558489</v>
      </c>
      <c r="Z409" s="94" t="n">
        <v>0.000634049628862276</v>
      </c>
      <c r="AA409" s="94" t="n">
        <v>0.000654822034020857</v>
      </c>
      <c r="AB409" s="94" t="n">
        <v>0.000630153867751378</v>
      </c>
      <c r="AC409" s="94" t="n">
        <v>0.000630622181943596</v>
      </c>
      <c r="AD409" s="94" t="n">
        <v>0.000593010124229091</v>
      </c>
      <c r="AE409" s="94" t="n">
        <v>8.35730759061433E-006</v>
      </c>
      <c r="AF409" s="94" t="n">
        <v>0.000355736750228502</v>
      </c>
      <c r="AG409" s="94" t="n">
        <v>0.000364222998881393</v>
      </c>
      <c r="AH409" s="94" t="n">
        <v>8.89114282297582E-005</v>
      </c>
      <c r="AI409" s="94" t="n">
        <v>0.000410396042851177</v>
      </c>
      <c r="AJ409" s="94" t="n">
        <v>6.93246651068636E-005</v>
      </c>
      <c r="AK409" s="94" t="n">
        <v>0.00653127554829643</v>
      </c>
    </row>
    <row r="410" customFormat="false" ht="12.75" hidden="false" customHeight="false" outlineLevel="0" collapsed="false">
      <c r="C410" s="89" t="s">
        <v>144</v>
      </c>
      <c r="D410" s="94" t="n">
        <v>0.000148990422218774</v>
      </c>
      <c r="E410" s="94" t="n">
        <v>0.0117914196711194</v>
      </c>
      <c r="F410" s="94" t="n">
        <v>0.0114775807808631</v>
      </c>
      <c r="G410" s="94" t="n">
        <v>0.0126697022401009</v>
      </c>
      <c r="H410" s="94" t="n">
        <v>0.0126209874532797</v>
      </c>
      <c r="I410" s="94" t="n">
        <v>0.0257441724643208</v>
      </c>
      <c r="J410" s="94" t="n">
        <v>0.0537535851981696</v>
      </c>
      <c r="K410" s="94" t="n">
        <v>0.0279991429706886</v>
      </c>
      <c r="L410" s="94" t="n">
        <v>0.0279809572887177</v>
      </c>
      <c r="M410" s="94" t="n">
        <v>0.0195083813351334</v>
      </c>
      <c r="N410" s="94" t="n">
        <v>0.0193475903034901</v>
      </c>
      <c r="O410" s="94" t="n">
        <v>0.00538098728028068</v>
      </c>
      <c r="P410" s="94" t="n">
        <v>0.0701750436399833</v>
      </c>
      <c r="Q410" s="94" t="n">
        <v>0.06957416828513</v>
      </c>
      <c r="R410" s="94" t="n">
        <v>0.0694317043689217</v>
      </c>
      <c r="S410" s="94" t="n">
        <v>0.0118444553806173</v>
      </c>
      <c r="T410" s="94" t="n">
        <v>0.0285995732936657</v>
      </c>
      <c r="U410" s="94" t="n">
        <v>0.00736302151841703</v>
      </c>
      <c r="V410" s="94" t="n">
        <v>0.00391482769655305</v>
      </c>
      <c r="W410" s="94" t="n">
        <v>0.00710774295050505</v>
      </c>
      <c r="X410" s="94" t="n">
        <v>0.00322260360920538</v>
      </c>
      <c r="Y410" s="94" t="n">
        <v>0.0227377714030418</v>
      </c>
      <c r="Z410" s="94" t="n">
        <v>0.00291475093285726</v>
      </c>
      <c r="AA410" s="94" t="n">
        <v>0.00301024249149486</v>
      </c>
      <c r="AB410" s="94" t="n">
        <v>0.00289684196672072</v>
      </c>
      <c r="AC410" s="94" t="n">
        <v>0.00289899482537168</v>
      </c>
      <c r="AD410" s="94" t="n">
        <v>0.00424596375606581</v>
      </c>
      <c r="AE410" s="94" t="n">
        <v>0.000540759444442503</v>
      </c>
      <c r="AF410" s="94" t="n">
        <v>0.0081899863143917</v>
      </c>
      <c r="AG410" s="94" t="n">
        <v>0.00838536185623004</v>
      </c>
      <c r="AH410" s="94" t="n">
        <v>0.0119663115831934</v>
      </c>
      <c r="AI410" s="94" t="n">
        <v>0.0128018987332919</v>
      </c>
      <c r="AJ410" s="94" t="n">
        <v>0.0208522633365096</v>
      </c>
      <c r="AK410" s="94" t="n">
        <v>0.0124464511047097</v>
      </c>
    </row>
    <row r="411" customFormat="false" ht="12.75" hidden="false" customHeight="false" outlineLevel="0" collapsed="false">
      <c r="C411" s="89" t="s">
        <v>146</v>
      </c>
      <c r="D411" s="94" t="n">
        <v>1.3570337517427E-006</v>
      </c>
      <c r="E411" s="94" t="n">
        <v>0.000195597759644827</v>
      </c>
      <c r="F411" s="94" t="n">
        <v>0.00354988495531006</v>
      </c>
      <c r="G411" s="94" t="n">
        <v>0.0058023878387345</v>
      </c>
      <c r="H411" s="94" t="n">
        <v>0.00578007775746651</v>
      </c>
      <c r="I411" s="94" t="n">
        <v>0</v>
      </c>
      <c r="J411" s="94" t="n">
        <v>0.0120520298839559</v>
      </c>
      <c r="K411" s="94" t="n">
        <v>0.000985166208804301</v>
      </c>
      <c r="L411" s="94" t="n">
        <v>0.000984526334955991</v>
      </c>
      <c r="M411" s="94" t="n">
        <v>0.00989773898704454</v>
      </c>
      <c r="N411" s="94" t="n">
        <v>0.00981616032424696</v>
      </c>
      <c r="O411" s="94" t="n">
        <v>0.00166782463365039</v>
      </c>
      <c r="P411" s="94" t="n">
        <v>0.000681126348093851</v>
      </c>
      <c r="Q411" s="94" t="n">
        <v>0.000675294188755126</v>
      </c>
      <c r="R411" s="94" t="n">
        <v>0.000673911419013221</v>
      </c>
      <c r="S411" s="94" t="n">
        <v>0.000585423925534413</v>
      </c>
      <c r="T411" s="94" t="n">
        <v>0.00187296406832988</v>
      </c>
      <c r="U411" s="94" t="n">
        <v>0.152112284382405</v>
      </c>
      <c r="V411" s="94" t="n">
        <v>0</v>
      </c>
      <c r="W411" s="94" t="n">
        <v>0.0157438957436976</v>
      </c>
      <c r="X411" s="94" t="n">
        <v>0.0184359689432952</v>
      </c>
      <c r="Y411" s="94" t="n">
        <v>0.00896392358915318</v>
      </c>
      <c r="Z411" s="94" t="n">
        <v>0.00306548641957568</v>
      </c>
      <c r="AA411" s="94" t="n">
        <v>0.00316591629606629</v>
      </c>
      <c r="AB411" s="94" t="n">
        <v>0.00304665129652577</v>
      </c>
      <c r="AC411" s="94" t="n">
        <v>0.0030489154896283</v>
      </c>
      <c r="AD411" s="94" t="n">
        <v>0.000742564973179659</v>
      </c>
      <c r="AE411" s="94" t="n">
        <v>0.000133370260366477</v>
      </c>
      <c r="AF411" s="94" t="n">
        <v>0.0351007746616354</v>
      </c>
      <c r="AG411" s="94" t="n">
        <v>0.03593811829143</v>
      </c>
      <c r="AH411" s="94" t="n">
        <v>0</v>
      </c>
      <c r="AI411" s="94" t="n">
        <v>0.0262101602908501</v>
      </c>
      <c r="AJ411" s="94" t="n">
        <v>0.00242289517507123</v>
      </c>
      <c r="AK411" s="94" t="n">
        <v>0.0222053937239862</v>
      </c>
    </row>
    <row r="412" customFormat="false" ht="12.75" hidden="false" customHeight="false" outlineLevel="0" collapsed="false">
      <c r="C412" s="89" t="s">
        <v>148</v>
      </c>
      <c r="D412" s="94" t="n">
        <v>0.00253009501183371</v>
      </c>
      <c r="E412" s="94" t="n">
        <v>0.00675984332337907</v>
      </c>
      <c r="F412" s="94" t="n">
        <v>0.000337855008219489</v>
      </c>
      <c r="G412" s="94" t="n">
        <v>0.00185487697826519</v>
      </c>
      <c r="H412" s="94" t="n">
        <v>0.00184774500824227</v>
      </c>
      <c r="I412" s="94" t="n">
        <v>0.00335040235100169</v>
      </c>
      <c r="J412" s="94" t="n">
        <v>0.00521425850074765</v>
      </c>
      <c r="K412" s="94" t="n">
        <v>0.00359057049450147</v>
      </c>
      <c r="L412" s="94" t="n">
        <v>0.00358823838836607</v>
      </c>
      <c r="M412" s="94" t="n">
        <v>0.0026560359956631</v>
      </c>
      <c r="N412" s="94" t="n">
        <v>0.00263414454498412</v>
      </c>
      <c r="O412" s="94" t="n">
        <v>0.000161482887945798</v>
      </c>
      <c r="P412" s="94" t="n">
        <v>0.00265905391724498</v>
      </c>
      <c r="Q412" s="94" t="n">
        <v>0.00263628570958566</v>
      </c>
      <c r="R412" s="94" t="n">
        <v>0.0026308875051128</v>
      </c>
      <c r="S412" s="94" t="n">
        <v>0.000737238890333454</v>
      </c>
      <c r="T412" s="94" t="n">
        <v>0.00210762273123399</v>
      </c>
      <c r="U412" s="94" t="n">
        <v>9.67841388073898E-005</v>
      </c>
      <c r="V412" s="94" t="n">
        <v>0.00297960409116675</v>
      </c>
      <c r="W412" s="94" t="n">
        <v>0.00239097521690791</v>
      </c>
      <c r="X412" s="94" t="n">
        <v>0.00029535418251809</v>
      </c>
      <c r="Y412" s="94" t="n">
        <v>0.00070594211468046</v>
      </c>
      <c r="Z412" s="94" t="n">
        <v>0.00190641097447134</v>
      </c>
      <c r="AA412" s="94" t="n">
        <v>0.00196886782226026</v>
      </c>
      <c r="AB412" s="94" t="n">
        <v>0.00189469750379388</v>
      </c>
      <c r="AC412" s="94" t="n">
        <v>0.00189610559438316</v>
      </c>
      <c r="AD412" s="94" t="n">
        <v>0.00336831614524474</v>
      </c>
      <c r="AE412" s="94" t="n">
        <v>4.31888095449899E-005</v>
      </c>
      <c r="AF412" s="94" t="n">
        <v>0.00106595745703243</v>
      </c>
      <c r="AG412" s="94" t="n">
        <v>0.00109138631707563</v>
      </c>
      <c r="AH412" s="94" t="n">
        <v>0.00255945740955501</v>
      </c>
      <c r="AI412" s="94" t="n">
        <v>0.000301778906951472</v>
      </c>
      <c r="AJ412" s="94" t="n">
        <v>0.00135945092426072</v>
      </c>
      <c r="AK412" s="94" t="n">
        <v>0.00291435527190124</v>
      </c>
    </row>
    <row r="413" customFormat="false" ht="12.75" hidden="false" customHeight="false" outlineLevel="0" collapsed="false">
      <c r="C413" s="89" t="s">
        <v>150</v>
      </c>
      <c r="D413" s="94" t="n">
        <v>0.0277535760585182</v>
      </c>
      <c r="E413" s="94" t="n">
        <v>0.00463514583040049</v>
      </c>
      <c r="F413" s="94" t="n">
        <v>0.030464169144327</v>
      </c>
      <c r="G413" s="94" t="n">
        <v>0.0147530709768037</v>
      </c>
      <c r="H413" s="94" t="n">
        <v>0.0146963456730853</v>
      </c>
      <c r="I413" s="94" t="n">
        <v>0.00254654110489097</v>
      </c>
      <c r="J413" s="94" t="n">
        <v>0.00456392625594048</v>
      </c>
      <c r="K413" s="94" t="n">
        <v>0.0107433051723097</v>
      </c>
      <c r="L413" s="94" t="n">
        <v>0.0107363273040447</v>
      </c>
      <c r="M413" s="94" t="n">
        <v>0.0055221184506951</v>
      </c>
      <c r="N413" s="94" t="n">
        <v>0.00547660431462759</v>
      </c>
      <c r="O413" s="94" t="n">
        <v>0.00854804593374971</v>
      </c>
      <c r="P413" s="94" t="n">
        <v>0.00924800621666447</v>
      </c>
      <c r="Q413" s="94" t="n">
        <v>0.00916881995999991</v>
      </c>
      <c r="R413" s="94" t="n">
        <v>0.00915004537698005</v>
      </c>
      <c r="S413" s="94" t="n">
        <v>0.00526277219041263</v>
      </c>
      <c r="T413" s="94" t="n">
        <v>0.00475502102460963</v>
      </c>
      <c r="U413" s="94" t="n">
        <v>0.00619895692133572</v>
      </c>
      <c r="V413" s="94" t="n">
        <v>0.00109013576090102</v>
      </c>
      <c r="W413" s="94" t="n">
        <v>0.0035091619083089</v>
      </c>
      <c r="X413" s="94" t="n">
        <v>0.00817444537515393</v>
      </c>
      <c r="Y413" s="94" t="n">
        <v>0.0198746263080346</v>
      </c>
      <c r="Z413" s="94" t="n">
        <v>0.00332797348434512</v>
      </c>
      <c r="AA413" s="94" t="n">
        <v>0.00343700282594078</v>
      </c>
      <c r="AB413" s="94" t="n">
        <v>0.00330752557445251</v>
      </c>
      <c r="AC413" s="94" t="n">
        <v>0.00330998364262745</v>
      </c>
      <c r="AD413" s="94" t="n">
        <v>0.00350794003555691</v>
      </c>
      <c r="AE413" s="94" t="n">
        <v>7.30926010099394E-005</v>
      </c>
      <c r="AF413" s="94" t="n">
        <v>0.00455289232173642</v>
      </c>
      <c r="AG413" s="94" t="n">
        <v>0.00466150346834208</v>
      </c>
      <c r="AH413" s="94" t="n">
        <v>0.0100459334209805</v>
      </c>
      <c r="AI413" s="94" t="n">
        <v>0.00532964017716724</v>
      </c>
      <c r="AJ413" s="94" t="n">
        <v>0.00707896767311754</v>
      </c>
      <c r="AK413" s="94" t="n">
        <v>0.00392145317574744</v>
      </c>
    </row>
    <row r="414" customFormat="false" ht="12.75" hidden="false" customHeight="false" outlineLevel="0" collapsed="false">
      <c r="C414" s="89" t="s">
        <v>152</v>
      </c>
      <c r="D414" s="94" t="n">
        <v>0.105970215114605</v>
      </c>
      <c r="E414" s="94" t="n">
        <v>0.0332704994626067</v>
      </c>
      <c r="F414" s="94" t="n">
        <v>0.120389890880013</v>
      </c>
      <c r="G414" s="94" t="n">
        <v>0.0817973885894022</v>
      </c>
      <c r="H414" s="94" t="n">
        <v>0.0814828790396003</v>
      </c>
      <c r="I414" s="94" t="n">
        <v>0.0208713034570803</v>
      </c>
      <c r="J414" s="94" t="n">
        <v>0.0298161880998503</v>
      </c>
      <c r="K414" s="94" t="n">
        <v>0.0634257635841702</v>
      </c>
      <c r="L414" s="94" t="n">
        <v>0.0633845680102012</v>
      </c>
      <c r="M414" s="94" t="n">
        <v>0.0283520991637556</v>
      </c>
      <c r="N414" s="94" t="n">
        <v>0.0281184168712331</v>
      </c>
      <c r="O414" s="94" t="n">
        <v>0.0166181830893615</v>
      </c>
      <c r="P414" s="94" t="n">
        <v>0.0356854159424134</v>
      </c>
      <c r="Q414" s="94" t="n">
        <v>0.0353798587834114</v>
      </c>
      <c r="R414" s="94" t="n">
        <v>0.035307413027157</v>
      </c>
      <c r="S414" s="94" t="n">
        <v>0.0296775661171453</v>
      </c>
      <c r="T414" s="94" t="n">
        <v>0.0289138050708111</v>
      </c>
      <c r="U414" s="94" t="n">
        <v>0.041546822986625</v>
      </c>
      <c r="V414" s="94" t="n">
        <v>0.0190749069912262</v>
      </c>
      <c r="W414" s="94" t="n">
        <v>0.0238593404421233</v>
      </c>
      <c r="X414" s="94" t="n">
        <v>0.0432669320250673</v>
      </c>
      <c r="Y414" s="94" t="n">
        <v>0.0776292487803056</v>
      </c>
      <c r="Z414" s="94" t="n">
        <v>0.03931117376125</v>
      </c>
      <c r="AA414" s="94" t="n">
        <v>0.0480898679735491</v>
      </c>
      <c r="AB414" s="94" t="n">
        <v>0.0462782477203874</v>
      </c>
      <c r="AC414" s="94" t="n">
        <v>0.0463126405271405</v>
      </c>
      <c r="AD414" s="94" t="n">
        <v>0.0260619899243351</v>
      </c>
      <c r="AE414" s="94" t="n">
        <v>0.000340019892197703</v>
      </c>
      <c r="AF414" s="94" t="n">
        <v>0.0235211289885169</v>
      </c>
      <c r="AG414" s="94" t="n">
        <v>0.0240822353377064</v>
      </c>
      <c r="AH414" s="94" t="n">
        <v>0.0429012600757236</v>
      </c>
      <c r="AI414" s="94" t="n">
        <v>0.021827213686411</v>
      </c>
      <c r="AJ414" s="94" t="n">
        <v>0.0320160568338676</v>
      </c>
      <c r="AK414" s="94" t="n">
        <v>0.0177550125507661</v>
      </c>
    </row>
    <row r="415" customFormat="false" ht="12.75" hidden="false" customHeight="false" outlineLevel="0" collapsed="false">
      <c r="C415" s="89" t="s">
        <v>154</v>
      </c>
      <c r="D415" s="94" t="n">
        <v>0.0072752824361161</v>
      </c>
      <c r="E415" s="94" t="n">
        <v>0.00335479476410427</v>
      </c>
      <c r="F415" s="94" t="n">
        <v>0.0235083321221311</v>
      </c>
      <c r="G415" s="94" t="n">
        <v>0.00645107372621976</v>
      </c>
      <c r="H415" s="94" t="n">
        <v>0.00642626945889092</v>
      </c>
      <c r="I415" s="94" t="n">
        <v>0.000514193848431845</v>
      </c>
      <c r="J415" s="94" t="n">
        <v>0.00285037116749374</v>
      </c>
      <c r="K415" s="94" t="n">
        <v>0.0053770857471815</v>
      </c>
      <c r="L415" s="94" t="n">
        <v>0.00537359328416459</v>
      </c>
      <c r="M415" s="94" t="n">
        <v>0.00317131804301442</v>
      </c>
      <c r="N415" s="94" t="n">
        <v>0.00314517955971098</v>
      </c>
      <c r="O415" s="94" t="n">
        <v>0.000310932303804544</v>
      </c>
      <c r="P415" s="94" t="n">
        <v>0.000243818341426696</v>
      </c>
      <c r="Q415" s="94" t="n">
        <v>0.000241730641514801</v>
      </c>
      <c r="R415" s="94" t="n">
        <v>0.000241235660479359</v>
      </c>
      <c r="S415" s="94" t="n">
        <v>0.000499077820009408</v>
      </c>
      <c r="T415" s="94" t="n">
        <v>0.00136443050031249</v>
      </c>
      <c r="U415" s="94" t="n">
        <v>0.00398384554314485</v>
      </c>
      <c r="V415" s="94" t="n">
        <v>0.00186553867348005</v>
      </c>
      <c r="W415" s="94" t="n">
        <v>0.00325401079976975</v>
      </c>
      <c r="X415" s="94" t="n">
        <v>0.00878385498388246</v>
      </c>
      <c r="Y415" s="94" t="n">
        <v>0.0221533238622962</v>
      </c>
      <c r="Z415" s="94" t="n">
        <v>0.00149887327139514</v>
      </c>
      <c r="AA415" s="94" t="n">
        <v>0.00154797858028186</v>
      </c>
      <c r="AB415" s="94" t="n">
        <v>0.00148966381532884</v>
      </c>
      <c r="AC415" s="94" t="n">
        <v>0.00149077089526923</v>
      </c>
      <c r="AD415" s="94" t="n">
        <v>0.00264361638740526</v>
      </c>
      <c r="AE415" s="94" t="n">
        <v>0.000633028739208257</v>
      </c>
      <c r="AF415" s="94" t="n">
        <v>0.00519821161617349</v>
      </c>
      <c r="AG415" s="94" t="n">
        <v>0.0053222171238891</v>
      </c>
      <c r="AH415" s="94" t="n">
        <v>0.0145550856074</v>
      </c>
      <c r="AI415" s="94" t="n">
        <v>0.00520805898699571</v>
      </c>
      <c r="AJ415" s="94" t="n">
        <v>0.00710071148616422</v>
      </c>
      <c r="AK415" s="94" t="n">
        <v>0.00414008246477791</v>
      </c>
    </row>
    <row r="416" customFormat="false" ht="12.75" hidden="false" customHeight="false" outlineLevel="0" collapsed="false">
      <c r="C416" s="89" t="s">
        <v>156</v>
      </c>
      <c r="D416" s="94" t="n">
        <v>0.00771688093591194</v>
      </c>
      <c r="E416" s="94" t="n">
        <v>0.0213092845848175</v>
      </c>
      <c r="F416" s="94" t="n">
        <v>0.0137444387903537</v>
      </c>
      <c r="G416" s="94" t="n">
        <v>0.0279911944932794</v>
      </c>
      <c r="H416" s="94" t="n">
        <v>0.0278835688327257</v>
      </c>
      <c r="I416" s="94" t="n">
        <v>0.0102625520223528</v>
      </c>
      <c r="J416" s="94" t="n">
        <v>0.0146502452969989</v>
      </c>
      <c r="K416" s="94" t="n">
        <v>0.0169564153381452</v>
      </c>
      <c r="L416" s="94" t="n">
        <v>0.0169454020018787</v>
      </c>
      <c r="M416" s="94" t="n">
        <v>0.0227973253301912</v>
      </c>
      <c r="N416" s="94" t="n">
        <v>0.0226094263243443</v>
      </c>
      <c r="O416" s="94" t="n">
        <v>0.00932502771008696</v>
      </c>
      <c r="P416" s="94" t="n">
        <v>0.00323320985852892</v>
      </c>
      <c r="Q416" s="94" t="n">
        <v>0.00320552542799223</v>
      </c>
      <c r="R416" s="94" t="n">
        <v>0.00319896161677851</v>
      </c>
      <c r="S416" s="94" t="n">
        <v>0.0194577711481345</v>
      </c>
      <c r="T416" s="94" t="n">
        <v>0.0187612757657407</v>
      </c>
      <c r="U416" s="94" t="n">
        <v>0.0149620732422999</v>
      </c>
      <c r="V416" s="94" t="n">
        <v>0.00752560338052003</v>
      </c>
      <c r="W416" s="94" t="n">
        <v>0.0112843544993375</v>
      </c>
      <c r="X416" s="94" t="n">
        <v>0.00730039136771116</v>
      </c>
      <c r="Y416" s="94" t="n">
        <v>0.00815791636722726</v>
      </c>
      <c r="Z416" s="94" t="n">
        <v>0.01890607665355</v>
      </c>
      <c r="AA416" s="94" t="n">
        <v>0.0195254677332537</v>
      </c>
      <c r="AB416" s="94" t="n">
        <v>0.0187899129420142</v>
      </c>
      <c r="AC416" s="94" t="n">
        <v>0.0188038771233858</v>
      </c>
      <c r="AD416" s="94" t="n">
        <v>0.0103976010958699</v>
      </c>
      <c r="AE416" s="94" t="n">
        <v>0.000135776047416429</v>
      </c>
      <c r="AF416" s="94" t="n">
        <v>0.00481409603075333</v>
      </c>
      <c r="AG416" s="94" t="n">
        <v>0.00492893830085791</v>
      </c>
      <c r="AH416" s="94" t="n">
        <v>0.0064701455895914</v>
      </c>
      <c r="AI416" s="94" t="n">
        <v>0.00341268740784287</v>
      </c>
      <c r="AJ416" s="94" t="n">
        <v>0.00845205454014648</v>
      </c>
      <c r="AK416" s="94" t="n">
        <v>0.00999425244781276</v>
      </c>
    </row>
    <row r="417" customFormat="false" ht="12.75" hidden="false" customHeight="false" outlineLevel="0" collapsed="false">
      <c r="C417" s="89" t="s">
        <v>158</v>
      </c>
      <c r="D417" s="94" t="n">
        <v>6.70912728091604E-005</v>
      </c>
      <c r="E417" s="94" t="n">
        <v>0.000185264880632642</v>
      </c>
      <c r="F417" s="94" t="n">
        <v>0.000119495415330449</v>
      </c>
      <c r="G417" s="94" t="n">
        <v>0.000243358020111909</v>
      </c>
      <c r="H417" s="94" t="n">
        <v>0.000242422312717505</v>
      </c>
      <c r="I417" s="94" t="n">
        <v>8.9223571436185E-005</v>
      </c>
      <c r="J417" s="94" t="n">
        <v>0.000127370580433339</v>
      </c>
      <c r="K417" s="94" t="n">
        <v>0.000147420634938496</v>
      </c>
      <c r="L417" s="94" t="n">
        <v>0.000147324883979771</v>
      </c>
      <c r="M417" s="94" t="n">
        <v>0.000198202043772532</v>
      </c>
      <c r="N417" s="94" t="n">
        <v>0.000196568432529008</v>
      </c>
      <c r="O417" s="94" t="n">
        <v>8.10726488131943E-005</v>
      </c>
      <c r="P417" s="94" t="n">
        <v>2.81098239650622E-005</v>
      </c>
      <c r="Q417" s="94" t="n">
        <v>2.78691329790114E-005</v>
      </c>
      <c r="R417" s="94" t="n">
        <v>2.78120666004491E-005</v>
      </c>
      <c r="S417" s="94" t="n">
        <v>0.000169167652475051</v>
      </c>
      <c r="T417" s="94" t="n">
        <v>0.000163112257543008</v>
      </c>
      <c r="U417" s="94" t="n">
        <v>0.000130081641277928</v>
      </c>
      <c r="V417" s="94" t="n">
        <v>6.54282881450652E-005</v>
      </c>
      <c r="W417" s="94" t="n">
        <v>0.000119277325745279</v>
      </c>
      <c r="X417" s="94" t="n">
        <v>6.3470274186221E-005</v>
      </c>
      <c r="Y417" s="94" t="n">
        <v>7.09256754242347E-005</v>
      </c>
      <c r="Z417" s="94" t="n">
        <v>0.00016437116978329</v>
      </c>
      <c r="AA417" s="94" t="n">
        <v>0.000169756212814157</v>
      </c>
      <c r="AB417" s="94" t="n">
        <v>0.000163361231788147</v>
      </c>
      <c r="AC417" s="94" t="n">
        <v>0.000163482637665695</v>
      </c>
      <c r="AD417" s="94" t="n">
        <v>9.03977005058448E-005</v>
      </c>
      <c r="AE417" s="94" t="n">
        <v>1.1804494476224E-006</v>
      </c>
      <c r="AF417" s="94" t="n">
        <v>4.1854193787765E-005</v>
      </c>
      <c r="AG417" s="94" t="n">
        <v>4.28526430495325E-005</v>
      </c>
      <c r="AH417" s="94" t="n">
        <v>5.62520410087113E-005</v>
      </c>
      <c r="AI417" s="94" t="n">
        <v>2.96702182907158E-005</v>
      </c>
      <c r="AJ417" s="94" t="n">
        <v>7.348293976028E-005</v>
      </c>
      <c r="AK417" s="94" t="n">
        <v>8.68909502515975E-005</v>
      </c>
    </row>
    <row r="418" customFormat="false" ht="12.75" hidden="false" customHeight="false" outlineLevel="0" collapsed="false">
      <c r="C418" s="89" t="s">
        <v>160</v>
      </c>
      <c r="D418" s="94" t="n">
        <v>0.000399573303228691</v>
      </c>
      <c r="E418" s="94" t="n">
        <v>0.00110337600148415</v>
      </c>
      <c r="F418" s="94" t="n">
        <v>0.000711674944073395</v>
      </c>
      <c r="G418" s="94" t="n">
        <v>0.00144935941579028</v>
      </c>
      <c r="H418" s="94" t="n">
        <v>0.00144378665380823</v>
      </c>
      <c r="I418" s="94" t="n">
        <v>0.000531385911637527</v>
      </c>
      <c r="J418" s="94" t="n">
        <v>0.000758576807786487</v>
      </c>
      <c r="K418" s="94" t="n">
        <v>0.000877988262855016</v>
      </c>
      <c r="L418" s="94" t="n">
        <v>0.000877418001995987</v>
      </c>
      <c r="M418" s="94" t="n">
        <v>0.00118042544165379</v>
      </c>
      <c r="N418" s="94" t="n">
        <v>0.00117069619650111</v>
      </c>
      <c r="O418" s="94" t="n">
        <v>0.000482841727864265</v>
      </c>
      <c r="P418" s="94" t="n">
        <v>0.000167412760924151</v>
      </c>
      <c r="Q418" s="94" t="n">
        <v>0.000165979285476053</v>
      </c>
      <c r="R418" s="94" t="n">
        <v>0.00016563941710822</v>
      </c>
      <c r="S418" s="94" t="n">
        <v>0.0010075062652511</v>
      </c>
      <c r="T418" s="94" t="n">
        <v>0.000971442347336869</v>
      </c>
      <c r="U418" s="94" t="n">
        <v>0.000774722984354154</v>
      </c>
      <c r="V418" s="94" t="n">
        <v>0.000389669119754021</v>
      </c>
      <c r="W418" s="94" t="n">
        <v>0.000710376075050689</v>
      </c>
      <c r="X418" s="94" t="n">
        <v>0.000378007839940046</v>
      </c>
      <c r="Y418" s="94" t="n">
        <v>0.000422409729706575</v>
      </c>
      <c r="Z418" s="94" t="n">
        <v>0.000978940009868264</v>
      </c>
      <c r="AA418" s="94" t="n">
        <v>0.00101101153484875</v>
      </c>
      <c r="AB418" s="94" t="n">
        <v>0.00097292515512071</v>
      </c>
      <c r="AC418" s="94" t="n">
        <v>0.000973648208142245</v>
      </c>
      <c r="AD418" s="94" t="n">
        <v>0.000538378633807446</v>
      </c>
      <c r="AE418" s="94" t="n">
        <v>7.03036423861924E-006</v>
      </c>
      <c r="AF418" s="94" t="n">
        <v>0.0002492696555828</v>
      </c>
      <c r="AG418" s="94" t="n">
        <v>0.000255216087256045</v>
      </c>
      <c r="AH418" s="94" t="n">
        <v>0.00033501844424895</v>
      </c>
      <c r="AI418" s="94" t="n">
        <v>0.0001767059504693</v>
      </c>
      <c r="AJ418" s="94" t="n">
        <v>0.000437639945429106</v>
      </c>
      <c r="AK418" s="94" t="n">
        <v>0.000517493595798502</v>
      </c>
    </row>
    <row r="419" customFormat="false" ht="12.75" hidden="false" customHeight="false" outlineLevel="0" collapsed="false">
      <c r="C419" s="89" t="s">
        <v>162</v>
      </c>
      <c r="D419" s="94" t="n">
        <v>0.00234910174418876</v>
      </c>
      <c r="E419" s="94" t="n">
        <v>0.00648677593983039</v>
      </c>
      <c r="F419" s="94" t="n">
        <v>0.00418395533162388</v>
      </c>
      <c r="G419" s="94" t="n">
        <v>0.00852082134636678</v>
      </c>
      <c r="H419" s="94" t="n">
        <v>0.00848805893509905</v>
      </c>
      <c r="I419" s="94" t="n">
        <v>0.00312403146501156</v>
      </c>
      <c r="J419" s="94" t="n">
        <v>0.0044596925967611</v>
      </c>
      <c r="K419" s="94" t="n">
        <v>0.00516171561759604</v>
      </c>
      <c r="L419" s="94" t="n">
        <v>0.0051583630393137</v>
      </c>
      <c r="M419" s="94" t="n">
        <v>0.00693975158367037</v>
      </c>
      <c r="N419" s="94" t="n">
        <v>0.00688255310075584</v>
      </c>
      <c r="O419" s="94" t="n">
        <v>0.00283863895792828</v>
      </c>
      <c r="P419" s="94" t="n">
        <v>0.000984223934653848</v>
      </c>
      <c r="Q419" s="94" t="n">
        <v>0.000975796495562769</v>
      </c>
      <c r="R419" s="94" t="n">
        <v>0.000973798400671993</v>
      </c>
      <c r="S419" s="94" t="n">
        <v>0.00592315529055221</v>
      </c>
      <c r="T419" s="94" t="n">
        <v>0.00571113458799265</v>
      </c>
      <c r="U419" s="94" t="n">
        <v>0.0045546163847885</v>
      </c>
      <c r="V419" s="94" t="n">
        <v>0.00229087479437224</v>
      </c>
      <c r="W419" s="94" t="n">
        <v>0.00417631924717558</v>
      </c>
      <c r="X419" s="94" t="n">
        <v>0.00222231782990756</v>
      </c>
      <c r="Y419" s="94" t="n">
        <v>0.00248335768380426</v>
      </c>
      <c r="Z419" s="94" t="n">
        <v>0.00575521353918263</v>
      </c>
      <c r="AA419" s="94" t="n">
        <v>0.00594376286082569</v>
      </c>
      <c r="AB419" s="94" t="n">
        <v>0.00571985205315655</v>
      </c>
      <c r="AC419" s="94" t="n">
        <v>0.00572410290049866</v>
      </c>
      <c r="AD419" s="94" t="n">
        <v>0.00316514185880728</v>
      </c>
      <c r="AE419" s="94" t="n">
        <v>4.13316924873994E-005</v>
      </c>
      <c r="AF419" s="94" t="n">
        <v>0.00146546272729273</v>
      </c>
      <c r="AG419" s="94" t="n">
        <v>0.00150042195230212</v>
      </c>
      <c r="AH419" s="94" t="n">
        <v>0.0019695820650715</v>
      </c>
      <c r="AI419" s="94" t="n">
        <v>0.0010388588354172</v>
      </c>
      <c r="AJ419" s="94" t="n">
        <v>0.00257289651442449</v>
      </c>
      <c r="AK419" s="94" t="n">
        <v>0.00304235818227578</v>
      </c>
    </row>
    <row r="420" customFormat="false" ht="12.75" hidden="false" customHeight="false" outlineLevel="0" collapsed="false">
      <c r="C420" s="89" t="s">
        <v>164</v>
      </c>
      <c r="D420" s="94" t="n">
        <v>0.00368476269821822</v>
      </c>
      <c r="E420" s="94" t="n">
        <v>0.0119751213582275</v>
      </c>
      <c r="F420" s="94" t="n">
        <v>0.0156047943822082</v>
      </c>
      <c r="G420" s="94" t="n">
        <v>0.0257668673884067</v>
      </c>
      <c r="H420" s="94" t="n">
        <v>0.0256677942272473</v>
      </c>
      <c r="I420" s="94" t="n">
        <v>0.00496004362118924</v>
      </c>
      <c r="J420" s="94" t="n">
        <v>0.00967701049135331</v>
      </c>
      <c r="K420" s="94" t="n">
        <v>0.0208768229226458</v>
      </c>
      <c r="L420" s="94" t="n">
        <v>0.0208632632482432</v>
      </c>
      <c r="M420" s="94" t="n">
        <v>0.0505902246756452</v>
      </c>
      <c r="N420" s="94" t="n">
        <v>0.0406602539873788</v>
      </c>
      <c r="O420" s="94" t="n">
        <v>0.00427468486950248</v>
      </c>
      <c r="P420" s="94" t="n">
        <v>0.0038208736270245</v>
      </c>
      <c r="Q420" s="94" t="n">
        <v>0.00378815731254288</v>
      </c>
      <c r="R420" s="94" t="n">
        <v>0.0037804004720479</v>
      </c>
      <c r="S420" s="94" t="n">
        <v>0.0107208483786238</v>
      </c>
      <c r="T420" s="94" t="n">
        <v>0.00987841781171169</v>
      </c>
      <c r="U420" s="94" t="n">
        <v>0.0169521284238472</v>
      </c>
      <c r="V420" s="94" t="n">
        <v>0.00398272696699967</v>
      </c>
      <c r="W420" s="94" t="n">
        <v>0.0135506541824344</v>
      </c>
      <c r="X420" s="94" t="n">
        <v>0.00691335028760148</v>
      </c>
      <c r="Y420" s="94" t="n">
        <v>0.00918245562828438</v>
      </c>
      <c r="Z420" s="94" t="n">
        <v>0.0130947693422101</v>
      </c>
      <c r="AA420" s="94" t="n">
        <v>0.0135237733851943</v>
      </c>
      <c r="AB420" s="94" t="n">
        <v>0.0130143117710084</v>
      </c>
      <c r="AC420" s="94" t="n">
        <v>0.0130239836737233</v>
      </c>
      <c r="AD420" s="94" t="n">
        <v>0.0372450500093996</v>
      </c>
      <c r="AE420" s="94" t="n">
        <v>0.00032879706762553</v>
      </c>
      <c r="AF420" s="94" t="n">
        <v>0.0294140639261365</v>
      </c>
      <c r="AG420" s="94" t="n">
        <v>0.030115748697836</v>
      </c>
      <c r="AH420" s="94" t="n">
        <v>0.0283065860336923</v>
      </c>
      <c r="AI420" s="94" t="n">
        <v>0.00260190819811542</v>
      </c>
      <c r="AJ420" s="94" t="n">
        <v>0.00615863464357202</v>
      </c>
      <c r="AK420" s="94" t="n">
        <v>0.0358241553479339</v>
      </c>
    </row>
    <row r="421" customFormat="false" ht="12.75" hidden="false" customHeight="false" outlineLevel="0" collapsed="false">
      <c r="C421" s="89" t="s">
        <v>166</v>
      </c>
      <c r="D421" s="94" t="n">
        <v>8.71414768362682E-005</v>
      </c>
      <c r="E421" s="94" t="n">
        <v>0.00269823889627839</v>
      </c>
      <c r="F421" s="94" t="n">
        <v>0.01797671213481</v>
      </c>
      <c r="G421" s="94" t="n">
        <v>0.00149278217173349</v>
      </c>
      <c r="H421" s="94" t="n">
        <v>0.00148704245000299</v>
      </c>
      <c r="I421" s="94" t="n">
        <v>0.00233390073572212</v>
      </c>
      <c r="J421" s="94" t="n">
        <v>0.0121133635876446</v>
      </c>
      <c r="K421" s="94" t="n">
        <v>0.00321737521225626</v>
      </c>
      <c r="L421" s="94" t="n">
        <v>0.00321528549963709</v>
      </c>
      <c r="M421" s="94" t="n">
        <v>0.00337636055149348</v>
      </c>
      <c r="N421" s="94" t="n">
        <v>0.00334853207680106</v>
      </c>
      <c r="O421" s="94" t="n">
        <v>0.000100909683996176</v>
      </c>
      <c r="P421" s="94" t="n">
        <v>0.00592289544439904</v>
      </c>
      <c r="Q421" s="94" t="n">
        <v>0.00587218052186665</v>
      </c>
      <c r="R421" s="94" t="n">
        <v>0.00586015632014856</v>
      </c>
      <c r="S421" s="94" t="n">
        <v>0.00959399715426017</v>
      </c>
      <c r="T421" s="94" t="n">
        <v>0.00916239712598289</v>
      </c>
      <c r="U421" s="94" t="n">
        <v>4.7211292251616E-005</v>
      </c>
      <c r="V421" s="94" t="n">
        <v>0.0146193585204888</v>
      </c>
      <c r="W421" s="94" t="n">
        <v>0.0107636472348238</v>
      </c>
      <c r="X421" s="94" t="n">
        <v>0.0024700301320121</v>
      </c>
      <c r="Y421" s="94" t="n">
        <v>0.0153658268239044</v>
      </c>
      <c r="Z421" s="94" t="n">
        <v>0.0166757051285235</v>
      </c>
      <c r="AA421" s="94" t="n">
        <v>0.0172220259328684</v>
      </c>
      <c r="AB421" s="94" t="n">
        <v>0.0165732453831356</v>
      </c>
      <c r="AC421" s="94" t="n">
        <v>0.0165855621940309</v>
      </c>
      <c r="AD421" s="94" t="n">
        <v>0.0112110488422035</v>
      </c>
      <c r="AE421" s="94" t="n">
        <v>0.820445222435772</v>
      </c>
      <c r="AF421" s="94" t="n">
        <v>0.00966921050717222</v>
      </c>
      <c r="AG421" s="94" t="n">
        <v>0.00989987355952286</v>
      </c>
      <c r="AH421" s="94" t="n">
        <v>0.00645333925170775</v>
      </c>
      <c r="AI421" s="94" t="n">
        <v>0.00503777522373534</v>
      </c>
      <c r="AJ421" s="94" t="n">
        <v>0</v>
      </c>
      <c r="AK421" s="94" t="n">
        <v>0.0306568184252556</v>
      </c>
    </row>
    <row r="422" customFormat="false" ht="12.75" hidden="false" customHeight="false" outlineLevel="0" collapsed="false">
      <c r="C422" s="89" t="s">
        <v>168</v>
      </c>
      <c r="D422" s="94" t="n">
        <v>0.000353274808696394</v>
      </c>
      <c r="E422" s="94" t="n">
        <v>0.066937488564742</v>
      </c>
      <c r="F422" s="94" t="n">
        <v>0.0105769980507003</v>
      </c>
      <c r="G422" s="94" t="n">
        <v>0.0186265928416872</v>
      </c>
      <c r="H422" s="94" t="n">
        <v>0.0185549739131369</v>
      </c>
      <c r="I422" s="94" t="n">
        <v>0.002921175929892</v>
      </c>
      <c r="J422" s="94" t="n">
        <v>0.0467067302352396</v>
      </c>
      <c r="K422" s="94" t="n">
        <v>0.00700358976162463</v>
      </c>
      <c r="L422" s="94" t="n">
        <v>0.00699904087038913</v>
      </c>
      <c r="M422" s="94" t="n">
        <v>0.0251790890974916</v>
      </c>
      <c r="N422" s="94" t="n">
        <v>0.0249715592341842</v>
      </c>
      <c r="O422" s="94" t="n">
        <v>0.00178209893276268</v>
      </c>
      <c r="P422" s="94" t="n">
        <v>0.00626649437425368</v>
      </c>
      <c r="Q422" s="94" t="n">
        <v>0.00621283737832609</v>
      </c>
      <c r="R422" s="94" t="n">
        <v>0.00620011562878168</v>
      </c>
      <c r="S422" s="94" t="n">
        <v>0.00508439678540641</v>
      </c>
      <c r="T422" s="94" t="n">
        <v>0.00184080094734962</v>
      </c>
      <c r="U422" s="94" t="n">
        <v>0.00252756452279474</v>
      </c>
      <c r="V422" s="94" t="n">
        <v>0.00265642923464353</v>
      </c>
      <c r="W422" s="94" t="n">
        <v>0.0170574169371281</v>
      </c>
      <c r="X422" s="94" t="n">
        <v>0.00519697824239433</v>
      </c>
      <c r="Y422" s="94" t="n">
        <v>0.0228193789763197</v>
      </c>
      <c r="Z422" s="94" t="n">
        <v>0.020228187853133</v>
      </c>
      <c r="AA422" s="94" t="n">
        <v>0.0208908932543853</v>
      </c>
      <c r="AB422" s="94" t="n">
        <v>0.0201039007563585</v>
      </c>
      <c r="AC422" s="94" t="n">
        <v>0.0201188414597722</v>
      </c>
      <c r="AD422" s="94" t="n">
        <v>0.00834946076910665</v>
      </c>
      <c r="AE422" s="94" t="n">
        <v>0</v>
      </c>
      <c r="AF422" s="94" t="n">
        <v>0.032244142679932</v>
      </c>
      <c r="AG422" s="94" t="n">
        <v>0.0330133401615119</v>
      </c>
      <c r="AH422" s="94" t="n">
        <v>0.000991713819882203</v>
      </c>
      <c r="AI422" s="94" t="n">
        <v>0.00714417379716144</v>
      </c>
      <c r="AJ422" s="94" t="n">
        <v>0.0167664422687309</v>
      </c>
      <c r="AK422" s="94" t="n">
        <v>0.0339803450335716</v>
      </c>
    </row>
    <row r="423" customFormat="false" ht="12.75" hidden="false" customHeight="false" outlineLevel="0" collapsed="false">
      <c r="C423" s="89" t="s">
        <v>170</v>
      </c>
      <c r="D423" s="94" t="n">
        <v>0.000265230012175442</v>
      </c>
      <c r="E423" s="94" t="n">
        <v>0.0557552954914031</v>
      </c>
      <c r="F423" s="94" t="n">
        <v>0.00794094923472957</v>
      </c>
      <c r="G423" s="94" t="n">
        <v>0.0139843864452658</v>
      </c>
      <c r="H423" s="94" t="n">
        <v>0.013930616720327</v>
      </c>
      <c r="I423" s="94" t="n">
        <v>0.00219314683181308</v>
      </c>
      <c r="J423" s="94" t="n">
        <v>0.0350662609504493</v>
      </c>
      <c r="K423" s="94" t="n">
        <v>0.00525812243619077</v>
      </c>
      <c r="L423" s="94" t="n">
        <v>0.00525470724085818</v>
      </c>
      <c r="M423" s="94" t="n">
        <v>0.0189038390043644</v>
      </c>
      <c r="N423" s="94" t="n">
        <v>0.0187480307021113</v>
      </c>
      <c r="O423" s="94" t="n">
        <v>0.00133795591986493</v>
      </c>
      <c r="P423" s="94" t="n">
        <v>0.00470472940120971</v>
      </c>
      <c r="Q423" s="94" t="n">
        <v>0.0046644450522189</v>
      </c>
      <c r="R423" s="94" t="n">
        <v>0.00465489387646709</v>
      </c>
      <c r="S423" s="94" t="n">
        <v>0.00381723969018426</v>
      </c>
      <c r="T423" s="94" t="n">
        <v>0.00138202794442018</v>
      </c>
      <c r="U423" s="94" t="n">
        <v>0.00189763309653704</v>
      </c>
      <c r="V423" s="94" t="n">
        <v>0.00199438154350035</v>
      </c>
      <c r="W423" s="94" t="n">
        <v>0.0128062878828254</v>
      </c>
      <c r="X423" s="94" t="n">
        <v>0.00390176307105544</v>
      </c>
      <c r="Y423" s="94" t="n">
        <v>0.0171322268521184</v>
      </c>
      <c r="Z423" s="94" t="n">
        <v>0.0151868244734779</v>
      </c>
      <c r="AA423" s="94" t="n">
        <v>0.0156843673418514</v>
      </c>
      <c r="AB423" s="94" t="n">
        <v>0.0150935127869968</v>
      </c>
      <c r="AC423" s="94" t="n">
        <v>0.0151047298985791</v>
      </c>
      <c r="AD423" s="94" t="n">
        <v>0.0062685691901449</v>
      </c>
      <c r="AE423" s="94" t="n">
        <v>0</v>
      </c>
      <c r="AF423" s="94" t="n">
        <v>0.0277854802422737</v>
      </c>
      <c r="AG423" s="94" t="n">
        <v>0.0284483144704619</v>
      </c>
      <c r="AH423" s="94" t="n">
        <v>0.000744554273463536</v>
      </c>
      <c r="AI423" s="94" t="n">
        <v>0.00536366946229969</v>
      </c>
      <c r="AJ423" s="94" t="n">
        <v>0.0125878312792355</v>
      </c>
      <c r="AK423" s="94" t="n">
        <v>0.0255116048614876</v>
      </c>
    </row>
    <row r="424" customFormat="false" ht="12.75" hidden="false" customHeight="false" outlineLevel="0" collapsed="false">
      <c r="C424" s="89" t="s">
        <v>172</v>
      </c>
      <c r="D424" s="94" t="n">
        <v>0</v>
      </c>
      <c r="E424" s="94" t="n">
        <v>0</v>
      </c>
      <c r="F424" s="94" t="n">
        <v>0</v>
      </c>
      <c r="G424" s="94" t="n">
        <v>0</v>
      </c>
      <c r="H424" s="94" t="n">
        <v>0</v>
      </c>
      <c r="I424" s="94" t="n">
        <v>0</v>
      </c>
      <c r="J424" s="94" t="n">
        <v>0</v>
      </c>
      <c r="K424" s="94" t="n">
        <v>0</v>
      </c>
      <c r="L424" s="94" t="n">
        <v>0</v>
      </c>
      <c r="M424" s="94" t="n">
        <v>0.00565578114552866</v>
      </c>
      <c r="N424" s="94" t="n">
        <v>0.00560916534129989</v>
      </c>
      <c r="O424" s="94" t="n">
        <v>0</v>
      </c>
      <c r="P424" s="94" t="n">
        <v>0</v>
      </c>
      <c r="Q424" s="94" t="n">
        <v>0</v>
      </c>
      <c r="R424" s="94" t="n">
        <v>0</v>
      </c>
      <c r="S424" s="94" t="n">
        <v>0</v>
      </c>
      <c r="T424" s="94" t="n">
        <v>0</v>
      </c>
      <c r="U424" s="94" t="n">
        <v>0</v>
      </c>
      <c r="V424" s="94" t="n">
        <v>0</v>
      </c>
      <c r="W424" s="94" t="n">
        <v>0</v>
      </c>
      <c r="X424" s="94" t="n">
        <v>0</v>
      </c>
      <c r="Y424" s="94" t="n">
        <v>0.000428208529200651</v>
      </c>
      <c r="Z424" s="94" t="n">
        <v>3.41426651011745E-006</v>
      </c>
      <c r="AA424" s="94" t="n">
        <v>3.52612293907679E-006</v>
      </c>
      <c r="AB424" s="94" t="n">
        <v>3.39328839407278E-006</v>
      </c>
      <c r="AC424" s="94" t="n">
        <v>3.3958101989756E-006</v>
      </c>
      <c r="AD424" s="94" t="n">
        <v>6.39026269067509E-005</v>
      </c>
      <c r="AE424" s="94" t="n">
        <v>0</v>
      </c>
      <c r="AF424" s="94" t="n">
        <v>0.00320481279562585</v>
      </c>
      <c r="AG424" s="94" t="n">
        <v>0.00328126494247931</v>
      </c>
      <c r="AH424" s="94" t="n">
        <v>0.00178961332609877</v>
      </c>
      <c r="AI424" s="94" t="n">
        <v>0</v>
      </c>
      <c r="AJ424" s="94" t="n">
        <v>0</v>
      </c>
      <c r="AK424" s="94" t="n">
        <v>0.00048345385268578</v>
      </c>
    </row>
    <row r="425" customFormat="false" ht="12.75" hidden="false" customHeight="false" outlineLevel="0" collapsed="false">
      <c r="C425" s="89" t="s">
        <v>174</v>
      </c>
      <c r="D425" s="94" t="n">
        <v>0</v>
      </c>
      <c r="E425" s="94" t="n">
        <v>0</v>
      </c>
      <c r="F425" s="94" t="n">
        <v>0.00196606284793848</v>
      </c>
      <c r="G425" s="94" t="n">
        <v>0</v>
      </c>
      <c r="H425" s="94" t="n">
        <v>0</v>
      </c>
      <c r="I425" s="94" t="n">
        <v>0</v>
      </c>
      <c r="J425" s="94" t="n">
        <v>0</v>
      </c>
      <c r="K425" s="94" t="n">
        <v>0.000990594301728599</v>
      </c>
      <c r="L425" s="94" t="n">
        <v>0.000989950902287672</v>
      </c>
      <c r="M425" s="94" t="n">
        <v>0</v>
      </c>
      <c r="N425" s="94" t="n">
        <v>0</v>
      </c>
      <c r="O425" s="94" t="n">
        <v>0</v>
      </c>
      <c r="P425" s="94" t="n">
        <v>0.0079876031679725</v>
      </c>
      <c r="Q425" s="94" t="n">
        <v>0.00791920914013824</v>
      </c>
      <c r="R425" s="94" t="n">
        <v>0.00790299332936847</v>
      </c>
      <c r="S425" s="94" t="n">
        <v>0.000349082848140104</v>
      </c>
      <c r="T425" s="94" t="n">
        <v>0.00242677064990537</v>
      </c>
      <c r="U425" s="94" t="n">
        <v>0.000124700191531492</v>
      </c>
      <c r="V425" s="94" t="n">
        <v>0</v>
      </c>
      <c r="W425" s="94" t="n">
        <v>0.000250154439990353</v>
      </c>
      <c r="X425" s="94" t="n">
        <v>0.000528512274822166</v>
      </c>
      <c r="Y425" s="94" t="n">
        <v>0.000662294272051762</v>
      </c>
      <c r="Z425" s="94" t="n">
        <v>0.000380739879770919</v>
      </c>
      <c r="AA425" s="94" t="n">
        <v>0.000393213482281848</v>
      </c>
      <c r="AB425" s="94" t="n">
        <v>0.000378400517756558</v>
      </c>
      <c r="AC425" s="94" t="n">
        <v>0.000378681735316073</v>
      </c>
      <c r="AD425" s="94" t="n">
        <v>0.00102016409809339</v>
      </c>
      <c r="AE425" s="94" t="n">
        <v>0.000113610638901959</v>
      </c>
      <c r="AF425" s="94" t="n">
        <v>0.00313185006564155</v>
      </c>
      <c r="AG425" s="94" t="n">
        <v>0.0032065616561183</v>
      </c>
      <c r="AH425" s="94" t="n">
        <v>0.00404965416529826</v>
      </c>
      <c r="AI425" s="94" t="n">
        <v>0.0127346970250403</v>
      </c>
      <c r="AJ425" s="94" t="n">
        <v>0.00215520444729698</v>
      </c>
      <c r="AK425" s="94" t="n">
        <v>0.00389308230371573</v>
      </c>
    </row>
    <row r="426" customFormat="false" ht="12.75" hidden="false" customHeight="false" outlineLevel="0" collapsed="false">
      <c r="C426" s="89" t="s">
        <v>176</v>
      </c>
      <c r="D426" s="94" t="n">
        <v>7.57865542676555E-007</v>
      </c>
      <c r="E426" s="94" t="n">
        <v>0.000409568198669045</v>
      </c>
      <c r="F426" s="94" t="n">
        <v>0.000312685329471435</v>
      </c>
      <c r="G426" s="94" t="n">
        <v>0.000498534146210171</v>
      </c>
      <c r="H426" s="94" t="n">
        <v>0.000496617291007463</v>
      </c>
      <c r="I426" s="94" t="n">
        <v>0</v>
      </c>
      <c r="J426" s="94" t="n">
        <v>0.000418057323870737</v>
      </c>
      <c r="K426" s="94" t="n">
        <v>0.000992495784197148</v>
      </c>
      <c r="L426" s="94" t="n">
        <v>0.000991851149727159</v>
      </c>
      <c r="M426" s="94" t="n">
        <v>0.000370566131937472</v>
      </c>
      <c r="N426" s="94" t="n">
        <v>0.000367511869791231</v>
      </c>
      <c r="O426" s="94" t="n">
        <v>0</v>
      </c>
      <c r="P426" s="94" t="n">
        <v>0.000633983481455455</v>
      </c>
      <c r="Q426" s="94" t="n">
        <v>0.000628554983949355</v>
      </c>
      <c r="R426" s="94" t="n">
        <v>0.000627267919989076</v>
      </c>
      <c r="S426" s="94" t="n">
        <v>0</v>
      </c>
      <c r="T426" s="94" t="n">
        <v>0.000454614293162726</v>
      </c>
      <c r="U426" s="94" t="n">
        <v>0.000252561242724383</v>
      </c>
      <c r="V426" s="94" t="n">
        <v>0.000671879744015598</v>
      </c>
      <c r="W426" s="94" t="n">
        <v>0.000234288884574262</v>
      </c>
      <c r="X426" s="94" t="n">
        <v>3.71576078538342E-005</v>
      </c>
      <c r="Y426" s="94" t="n">
        <v>0.000233520773641115</v>
      </c>
      <c r="Z426" s="94" t="n">
        <v>0.000180027129387793</v>
      </c>
      <c r="AA426" s="94" t="n">
        <v>0.000185925084848928</v>
      </c>
      <c r="AB426" s="94" t="n">
        <v>0.000178920997221397</v>
      </c>
      <c r="AC426" s="94" t="n">
        <v>0.000179053966717536</v>
      </c>
      <c r="AD426" s="94" t="n">
        <v>4.36086878910268E-005</v>
      </c>
      <c r="AE426" s="94" t="n">
        <v>5.32025533209342E-006</v>
      </c>
      <c r="AF426" s="94" t="n">
        <v>0.000274989244604758</v>
      </c>
      <c r="AG426" s="94" t="n">
        <v>0.000281549227808874</v>
      </c>
      <c r="AH426" s="94" t="n">
        <v>0.00285862244109318</v>
      </c>
      <c r="AI426" s="94" t="n">
        <v>0.00847588333894762</v>
      </c>
      <c r="AJ426" s="94" t="n">
        <v>0.00655570744472737</v>
      </c>
      <c r="AK426" s="94" t="n">
        <v>0.00335882096321261</v>
      </c>
    </row>
    <row r="427" customFormat="false" ht="12.75" hidden="false" customHeight="false" outlineLevel="0" collapsed="false">
      <c r="C427" s="89" t="s">
        <v>178</v>
      </c>
      <c r="D427" s="94" t="n">
        <v>6.30870581360871E-007</v>
      </c>
      <c r="E427" s="94" t="n">
        <v>0.00365562532852464</v>
      </c>
      <c r="F427" s="94" t="n">
        <v>0.00145051075261187</v>
      </c>
      <c r="G427" s="94" t="n">
        <v>0.000558594701171263</v>
      </c>
      <c r="H427" s="94" t="n">
        <v>0.00055644691416954</v>
      </c>
      <c r="I427" s="94" t="n">
        <v>0.00378482461287661</v>
      </c>
      <c r="J427" s="94" t="n">
        <v>0.00370534612446644</v>
      </c>
      <c r="K427" s="94" t="n">
        <v>0.00791507291275945</v>
      </c>
      <c r="L427" s="94" t="n">
        <v>0.00790993200544951</v>
      </c>
      <c r="M427" s="94" t="n">
        <v>0.00232854621062848</v>
      </c>
      <c r="N427" s="94" t="n">
        <v>0.00230935398032478</v>
      </c>
      <c r="O427" s="94" t="n">
        <v>0</v>
      </c>
      <c r="P427" s="94" t="n">
        <v>0.00301433699006613</v>
      </c>
      <c r="Q427" s="94" t="n">
        <v>0.00298852666328035</v>
      </c>
      <c r="R427" s="94" t="n">
        <v>0.00298240719074281</v>
      </c>
      <c r="S427" s="94" t="n">
        <v>0.000907191221957887</v>
      </c>
      <c r="T427" s="94" t="n">
        <v>0.00136887390643267</v>
      </c>
      <c r="U427" s="94" t="n">
        <v>0.00445368758388596</v>
      </c>
      <c r="V427" s="94" t="n">
        <v>0.00994299304133013</v>
      </c>
      <c r="W427" s="94" t="n">
        <v>0.0052794868965374</v>
      </c>
      <c r="X427" s="94" t="n">
        <v>0.00178117636563809</v>
      </c>
      <c r="Y427" s="94" t="n">
        <v>0.0149773393305005</v>
      </c>
      <c r="Z427" s="94" t="n">
        <v>0.00267825498594744</v>
      </c>
      <c r="AA427" s="94" t="n">
        <v>0.00276599858700579</v>
      </c>
      <c r="AB427" s="94" t="n">
        <v>0.00266179911065888</v>
      </c>
      <c r="AC427" s="94" t="n">
        <v>0.00266377729148763</v>
      </c>
      <c r="AD427" s="94" t="n">
        <v>0.0044968703996875</v>
      </c>
      <c r="AE427" s="94" t="n">
        <v>0.000122049649338246</v>
      </c>
      <c r="AF427" s="94" t="n">
        <v>0.0252096002127022</v>
      </c>
      <c r="AG427" s="94" t="n">
        <v>0.0258109857476731</v>
      </c>
      <c r="AH427" s="94" t="n">
        <v>0.00152395216388478</v>
      </c>
      <c r="AI427" s="94" t="n">
        <v>0.00482325362461547</v>
      </c>
      <c r="AJ427" s="94" t="n">
        <v>0.00688929481785259</v>
      </c>
      <c r="AK427" s="94" t="n">
        <v>0.0552882775972034</v>
      </c>
    </row>
  </sheetData>
  <mergeCells count="21">
    <mergeCell ref="B5:C6"/>
    <mergeCell ref="D92:H92"/>
    <mergeCell ref="I92:M92"/>
    <mergeCell ref="D93:G93"/>
    <mergeCell ref="I93:L93"/>
    <mergeCell ref="D94:G94"/>
    <mergeCell ref="I94:L94"/>
    <mergeCell ref="D95:G95"/>
    <mergeCell ref="I95:L95"/>
    <mergeCell ref="D96:G96"/>
    <mergeCell ref="I96:L96"/>
    <mergeCell ref="D98:G98"/>
    <mergeCell ref="I98:L98"/>
    <mergeCell ref="D99:G99"/>
    <mergeCell ref="I99:L99"/>
    <mergeCell ref="D100:G100"/>
    <mergeCell ref="I100:L100"/>
    <mergeCell ref="D101:G101"/>
    <mergeCell ref="I101:L101"/>
    <mergeCell ref="D102:G102"/>
    <mergeCell ref="I102:L102"/>
  </mergeCells>
  <conditionalFormatting sqref="BD8:BL41">
    <cfRule type="colorScale" priority="2">
      <colorScale>
        <cfvo type="min" val="0"/>
        <cfvo type="max" val="0"/>
        <color rgb="FFFFFF00"/>
        <color rgb="FFFF0000"/>
      </colorScale>
    </cfRule>
  </conditionalFormatting>
  <conditionalFormatting sqref="D187:AK220">
    <cfRule type="cellIs" priority="3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122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2025-06-18T23:47:34Z</dcterms:created>
  <dc:creator>Renato Vargas</dc:creator>
  <dc:description/>
  <dc:language>en-US</dc:language>
  <cp:lastModifiedBy/>
  <dcterms:modified xsi:type="dcterms:W3CDTF">2026-10-14T15:57:38Z</dcterms:modified>
  <cp:revision>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