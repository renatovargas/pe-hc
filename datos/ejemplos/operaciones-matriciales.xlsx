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ato/github/pe-hc/datos/ejemplos/"/>
    </mc:Choice>
  </mc:AlternateContent>
  <xr:revisionPtr revIDLastSave="0" documentId="13_ncr:1_{294F8ABC-222F-0C4C-A6E7-508039F309D0}" xr6:coauthVersionLast="47" xr6:coauthVersionMax="47" xr10:uidLastSave="{00000000-0000-0000-0000-000000000000}"/>
  <bookViews>
    <workbookView xWindow="2740" yWindow="1140" windowWidth="33200" windowHeight="18280" xr2:uid="{3A331693-311F-4E5D-9D9A-18C0A69FC647}"/>
  </bookViews>
  <sheets>
    <sheet name="Matrix Algebra" sheetId="1" r:id="rId1"/>
    <sheet name="Input-Output Model" sheetId="2" r:id="rId2"/>
    <sheet name="Tool" sheetId="3" r:id="rId3"/>
    <sheet name="KYZ_EEIO_2017" sheetId="4" r:id="rId4"/>
  </sheets>
  <externalReferences>
    <externalReference r:id="rId5"/>
    <externalReference r:id="rId6"/>
    <externalReference r:id="rId7"/>
    <externalReference r:id="rId8"/>
  </externalReferences>
  <definedNames>
    <definedName name="A">'Matrix Algebra'!$D$69:$E$70</definedName>
    <definedName name="AINV">'Matrix Algebra'!$D$75:$E$76</definedName>
    <definedName name="Anew">KYZ_EEIO_2017!$D$148:$AK$181</definedName>
    <definedName name="b">'Matrix Algebra'!$D$72:$D$73</definedName>
    <definedName name="Calculated_Relationship_HS12___HS07" localSheetId="3">'[1]Correlation HS2012-HS2007'!#REF!</definedName>
    <definedName name="Calculated_Relationship_HS12___HS07">'[1]Correlation HS2012-HS2007'!#REF!</definedName>
    <definedName name="CMAT">'Matrix Algebra'!$D$78:$E$79</definedName>
    <definedName name="COEF">KYZ_EEIO_2017!$D$132:$AK$137</definedName>
    <definedName name="fdem">'Input-Output Model'!$E$4:$E$5</definedName>
    <definedName name="fdemnew">'Input-Output Model'!$C$30:$C$31</definedName>
    <definedName name="go_level_top1" localSheetId="3">OFFSET('[2]35-sector'!$E$36,MATCH(#REF!,'[2]35-sector'!$E$37:$E$71,0),2,1,8)</definedName>
    <definedName name="go_level_top1">OFFSET('[2]35-sector'!$E$36,MATCH(#REF!,'[2]35-sector'!$E$37:$E$71,0),2,1,8)</definedName>
    <definedName name="gprime">'Matrix Algebra'!#REF!</definedName>
    <definedName name="GPRIMEHAT">'Matrix Algebra'!$D$106:$F$108</definedName>
    <definedName name="GPRIMEHATINV">'Matrix Algebra'!$D$110:$F$112</definedName>
    <definedName name="HS" localSheetId="3">'[3]HS02_CPC1.1_SITC3_ISIC3.1 (2)'!#REF!</definedName>
    <definedName name="HS">'[3]HS02_CPC1.1_SITC3_ISIC3.1 (2)'!#REF!</definedName>
    <definedName name="I">'Matrix Algebra'!$D$50:$F$52</definedName>
    <definedName name="identity">'Input-Output Model'!$C$21:$D$22</definedName>
    <definedName name="IP">'Matrix Algebra'!$D$57:$E$58</definedName>
    <definedName name="ISUM">'Matrix Algebra'!$D$92:$D$94</definedName>
    <definedName name="ISUM2">'Matrix Algebra'!$D$99:$E$99</definedName>
    <definedName name="L">'Input-Output Model'!$C$24:$D$25</definedName>
    <definedName name="Lnew">KYZ_EEIO_2017!$D$265:$AK$298</definedName>
    <definedName name="M">'Matrix Algebra'!$D$2:$F$3</definedName>
    <definedName name="M1_stone">'[2]2000'!$E$1382:$BV$1451</definedName>
    <definedName name="M2_stone">'[2]2000'!$E$1524:$BV$1593</definedName>
    <definedName name="M3_stone">'[2]2000'!$E$1737:$BV$1806</definedName>
    <definedName name="Matrix1" localSheetId="3">#REF!</definedName>
    <definedName name="Matrix1">#REF!</definedName>
    <definedName name="N">'Matrix Algebra'!$D$5:$F$6</definedName>
    <definedName name="O">'Matrix Algebra'!$D$11:$E$12</definedName>
    <definedName name="Q">'Matrix Algebra'!$D$32:$F$34</definedName>
    <definedName name="rca_trad_2010">'[4]13-sector VAX_G_2010'!$C$141:$P$203</definedName>
    <definedName name="rca_trad_2011">'[4]13-sector VAX_G_2011'!$C$141:$P$203</definedName>
    <definedName name="rca_trad_2012">'[4]13-sector VAX_G_2012'!$C$141:$P$203</definedName>
    <definedName name="rca_trad_2013">'[4]13-sector VAX_G_2013'!$C$141:$P$203</definedName>
    <definedName name="rca_trad_2014">'[4]13-sector VAX_G_2014'!$C$141:$P$203</definedName>
    <definedName name="rca_trad_2015">'[4]13-sector VAX_G_2015'!$C$141:$P$203</definedName>
    <definedName name="rca_trad_2016">'[4]13-sector VAX_G_2016'!$C$141:$P$203</definedName>
    <definedName name="rca_trad_2017">'[4]13-sector VAX_G_2017'!$C$141:$P$203</definedName>
    <definedName name="rca_vax_2010">'[4]13-sector VAX_G_2010'!$C$209:$P$271</definedName>
    <definedName name="rca_vax_2011">'[4]13-sector VAX_G_2011'!$C$209:$P$271</definedName>
    <definedName name="rca_vax_2012">'[4]13-sector VAX_G_2012'!$C$209:$P$271</definedName>
    <definedName name="rca_vax_2013">'[4]13-sector VAX_G_2013'!$C$209:$P$271</definedName>
    <definedName name="rca_vax_2014">'[4]13-sector VAX_G_2014'!$C$209:$P$271</definedName>
    <definedName name="rca_vax_2015">'[4]13-sector VAX_G_2015'!$C$209:$P$271</definedName>
    <definedName name="rca_vax_2016">'[4]13-sector VAX_G_2016'!$C$209:$P$271</definedName>
    <definedName name="rca_vax_2017">'[4]13-sector VAX_G_2017'!$C$209:$P$271</definedName>
    <definedName name="REQ">'Input-Output Model'!$C$18:$D$19</definedName>
    <definedName name="S">'Matrix Algebra'!$D$8:$F$9</definedName>
    <definedName name="sector_list" localSheetId="3">#REF!</definedName>
    <definedName name="sector_list">#REF!</definedName>
    <definedName name="Sectors" localSheetId="3">#REF!</definedName>
    <definedName name="Sectors">#REF!</definedName>
    <definedName name="solver_adj" localSheetId="2" hidden="1">Tool!$E$8,Tool!$E$29,Tool!$E$30</definedName>
    <definedName name="solver_cvg" localSheetId="2" hidden="1">0.0001</definedName>
    <definedName name="solver_drv" localSheetId="2" hidden="1">1</definedName>
    <definedName name="solver_eng" localSheetId="2" hidden="1">2</definedName>
    <definedName name="solver_est" localSheetId="2" hidden="1">1</definedName>
    <definedName name="solver_itr" localSheetId="2" hidden="1">2147483647</definedName>
    <definedName name="solver_lhs1" localSheetId="2" hidden="1">Tool!$E$30</definedName>
    <definedName name="solver_lhs2" localSheetId="2" hidden="1">Tool!$S$8</definedName>
    <definedName name="solver_lhs3" localSheetId="2" hidden="1">Tool!$S$8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Tool!$N$42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3</definedName>
    <definedName name="solver_rel3" localSheetId="2" hidden="1">3</definedName>
    <definedName name="solver_rhs1" localSheetId="2" hidden="1">0.1</definedName>
    <definedName name="solver_rhs2" localSheetId="2" hidden="1">43000</definedName>
    <definedName name="solver_rhs3" localSheetId="2" hidden="1">43000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3</definedName>
    <definedName name="solver_val" localSheetId="2" hidden="1">25000</definedName>
    <definedName name="solver_ver" localSheetId="2" hidden="1">3</definedName>
    <definedName name="SUNBURST" localSheetId="3">'[4]35-sector'!#REF!</definedName>
    <definedName name="SUNBURST">'[4]35-sector'!#REF!</definedName>
    <definedName name="TM">'Matrix Algebra'!$D$43:$F$45</definedName>
    <definedName name="vax_g_2010">'[4]13-sector VAX_G_2010'!$T$5:$AI$67</definedName>
    <definedName name="vax_g_2011">'[4]13-sector VAX_G_2011'!$T$5:$AI$67</definedName>
    <definedName name="vax_g_2012">'[4]13-sector VAX_G_2012'!$T$5:$AI$67</definedName>
    <definedName name="vax_g_2013">'[4]13-sector VAX_G_2013'!$T$5:$AI$67</definedName>
    <definedName name="vax_g_2014">'[4]13-sector VAX_G_2014'!$T$5:$AI$67</definedName>
    <definedName name="vax_g_2015">'[4]13-sector VAX_G_2015'!$T$5:$AI$67</definedName>
    <definedName name="vax_g_2016">'[4]13-sector VAX_G_2016'!$T$5:$AI$67</definedName>
    <definedName name="vax_g_2017">'[4]13-sector VAX_G_2017'!$T$5:$AI$67</definedName>
    <definedName name="x_2010">'[4]13-sector VAX_G_2010'!$C$5:$R$67</definedName>
    <definedName name="x_2011">'[4]13-sector VAX_G_2011'!$C$5:$R$67</definedName>
    <definedName name="x_2012">'[4]13-sector VAX_G_2012'!$C$5:$R$67</definedName>
    <definedName name="x_2013">'[4]13-sector VAX_G_2013'!$C$5:$R$67</definedName>
    <definedName name="x_2014">'[4]13-sector VAX_G_2014'!$C$5:$R$67</definedName>
    <definedName name="x_2015">'[4]13-sector VAX_G_2015'!$C$5:$R$67</definedName>
    <definedName name="x_2016">'[4]13-sector VAX_G_2016'!$C$5:$R$67</definedName>
    <definedName name="x_2017">'[4]13-sector VAX_G_2017'!$C$5:$R$67</definedName>
    <definedName name="xhat">'Input-Output Model'!$C$12:$D$13</definedName>
    <definedName name="xhatinv">'Input-Output Model'!$C$15:$D$16</definedName>
    <definedName name="xnewdiag">'Input-Output Model'!$C$36:$D$37</definedName>
    <definedName name="Z">'Input-Output Model'!$C$4:$D$5</definedName>
    <definedName name="ZETA">'Matrix Algebra'!$D$23:$F$24</definedName>
    <definedName name="Znew">KYZ_EEIO_2017!$D$8:$AK$41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3" i="1" l="1"/>
  <c r="D122" i="1"/>
  <c r="F125" i="1"/>
  <c r="E125" i="1"/>
  <c r="D125" i="1"/>
  <c r="D106" i="1" a="1"/>
  <c r="D81" i="1" a="1"/>
  <c r="D17" i="1" a="1"/>
  <c r="D48" i="2"/>
  <c r="C48" i="2"/>
  <c r="D49" i="2"/>
  <c r="C49" i="2"/>
  <c r="E45" i="2" a="1"/>
  <c r="E45" i="2" s="1"/>
  <c r="C45" i="2" a="1"/>
  <c r="C45" i="2" s="1"/>
  <c r="C46" i="2"/>
  <c r="D46" i="2"/>
  <c r="C39" i="2" a="1"/>
  <c r="C36" i="2" a="1"/>
  <c r="C33" i="2" a="1"/>
  <c r="C33" i="2" s="1"/>
  <c r="AJ351" i="4"/>
  <c r="AI351" i="4"/>
  <c r="AH351" i="4"/>
  <c r="AF351" i="4"/>
  <c r="AE351" i="4"/>
  <c r="AD351" i="4"/>
  <c r="AB351" i="4"/>
  <c r="AA351" i="4"/>
  <c r="Z351" i="4"/>
  <c r="X351" i="4"/>
  <c r="W351" i="4"/>
  <c r="V351" i="4"/>
  <c r="T351" i="4"/>
  <c r="S351" i="4"/>
  <c r="R351" i="4"/>
  <c r="P351" i="4"/>
  <c r="O351" i="4"/>
  <c r="N351" i="4"/>
  <c r="L351" i="4"/>
  <c r="K351" i="4"/>
  <c r="J351" i="4"/>
  <c r="H351" i="4"/>
  <c r="G351" i="4"/>
  <c r="F351" i="4"/>
  <c r="D351" i="4"/>
  <c r="AK350" i="4"/>
  <c r="AJ350" i="4"/>
  <c r="AH350" i="4"/>
  <c r="AG350" i="4"/>
  <c r="AF350" i="4"/>
  <c r="AD350" i="4"/>
  <c r="AC350" i="4"/>
  <c r="AB350" i="4"/>
  <c r="Z350" i="4"/>
  <c r="Y350" i="4"/>
  <c r="X350" i="4"/>
  <c r="V350" i="4"/>
  <c r="U350" i="4"/>
  <c r="T350" i="4"/>
  <c r="R350" i="4"/>
  <c r="Q350" i="4"/>
  <c r="P350" i="4"/>
  <c r="N350" i="4"/>
  <c r="M350" i="4"/>
  <c r="L350" i="4"/>
  <c r="J350" i="4"/>
  <c r="I350" i="4"/>
  <c r="H350" i="4"/>
  <c r="F350" i="4"/>
  <c r="E350" i="4"/>
  <c r="D350" i="4"/>
  <c r="AJ349" i="4"/>
  <c r="AI349" i="4"/>
  <c r="AH349" i="4"/>
  <c r="AF349" i="4"/>
  <c r="AE349" i="4"/>
  <c r="AD349" i="4"/>
  <c r="AB349" i="4"/>
  <c r="AA349" i="4"/>
  <c r="Z349" i="4"/>
  <c r="X349" i="4"/>
  <c r="W349" i="4"/>
  <c r="V349" i="4"/>
  <c r="T349" i="4"/>
  <c r="S349" i="4"/>
  <c r="R349" i="4"/>
  <c r="P349" i="4"/>
  <c r="O349" i="4"/>
  <c r="N349" i="4"/>
  <c r="L349" i="4"/>
  <c r="K349" i="4"/>
  <c r="J349" i="4"/>
  <c r="H349" i="4"/>
  <c r="G349" i="4"/>
  <c r="F349" i="4"/>
  <c r="D349" i="4"/>
  <c r="AK348" i="4"/>
  <c r="AJ348" i="4"/>
  <c r="AH348" i="4"/>
  <c r="AG348" i="4"/>
  <c r="AF348" i="4"/>
  <c r="AD348" i="4"/>
  <c r="AC348" i="4"/>
  <c r="AB348" i="4"/>
  <c r="Z348" i="4"/>
  <c r="Y348" i="4"/>
  <c r="X348" i="4"/>
  <c r="V348" i="4"/>
  <c r="U348" i="4"/>
  <c r="T348" i="4"/>
  <c r="R348" i="4"/>
  <c r="Q348" i="4"/>
  <c r="P348" i="4"/>
  <c r="N348" i="4"/>
  <c r="M348" i="4"/>
  <c r="L348" i="4"/>
  <c r="J348" i="4"/>
  <c r="I348" i="4"/>
  <c r="H348" i="4"/>
  <c r="F348" i="4"/>
  <c r="E348" i="4"/>
  <c r="D348" i="4"/>
  <c r="AJ347" i="4"/>
  <c r="AI347" i="4"/>
  <c r="AH347" i="4"/>
  <c r="AF347" i="4"/>
  <c r="AE347" i="4"/>
  <c r="AD347" i="4"/>
  <c r="AB347" i="4"/>
  <c r="AA347" i="4"/>
  <c r="Z347" i="4"/>
  <c r="X347" i="4"/>
  <c r="W347" i="4"/>
  <c r="V347" i="4"/>
  <c r="T347" i="4"/>
  <c r="S347" i="4"/>
  <c r="R347" i="4"/>
  <c r="P347" i="4"/>
  <c r="O347" i="4"/>
  <c r="N347" i="4"/>
  <c r="L347" i="4"/>
  <c r="K347" i="4"/>
  <c r="J347" i="4"/>
  <c r="H347" i="4"/>
  <c r="G347" i="4"/>
  <c r="F347" i="4"/>
  <c r="D347" i="4"/>
  <c r="AK346" i="4"/>
  <c r="AJ346" i="4"/>
  <c r="AH346" i="4"/>
  <c r="AG346" i="4"/>
  <c r="AF346" i="4"/>
  <c r="AD346" i="4"/>
  <c r="AC346" i="4"/>
  <c r="AB346" i="4"/>
  <c r="Z346" i="4"/>
  <c r="Y346" i="4"/>
  <c r="X346" i="4"/>
  <c r="V346" i="4"/>
  <c r="U346" i="4"/>
  <c r="T346" i="4"/>
  <c r="R346" i="4"/>
  <c r="Q346" i="4"/>
  <c r="P346" i="4"/>
  <c r="N346" i="4"/>
  <c r="M346" i="4"/>
  <c r="L346" i="4"/>
  <c r="J346" i="4"/>
  <c r="I346" i="4"/>
  <c r="H346" i="4"/>
  <c r="F346" i="4"/>
  <c r="E346" i="4"/>
  <c r="D346" i="4"/>
  <c r="AJ345" i="4"/>
  <c r="AI345" i="4"/>
  <c r="AH345" i="4"/>
  <c r="AF345" i="4"/>
  <c r="AE345" i="4"/>
  <c r="AD345" i="4"/>
  <c r="AB345" i="4"/>
  <c r="AA345" i="4"/>
  <c r="Z345" i="4"/>
  <c r="X345" i="4"/>
  <c r="W345" i="4"/>
  <c r="V345" i="4"/>
  <c r="T345" i="4"/>
  <c r="S345" i="4"/>
  <c r="R345" i="4"/>
  <c r="P345" i="4"/>
  <c r="O345" i="4"/>
  <c r="N345" i="4"/>
  <c r="L345" i="4"/>
  <c r="K345" i="4"/>
  <c r="J345" i="4"/>
  <c r="H345" i="4"/>
  <c r="G345" i="4"/>
  <c r="F345" i="4"/>
  <c r="D345" i="4"/>
  <c r="AK344" i="4"/>
  <c r="AJ344" i="4"/>
  <c r="AH344" i="4"/>
  <c r="AG344" i="4"/>
  <c r="AF344" i="4"/>
  <c r="AD344" i="4"/>
  <c r="AC344" i="4"/>
  <c r="AB344" i="4"/>
  <c r="Z344" i="4"/>
  <c r="Y344" i="4"/>
  <c r="X344" i="4"/>
  <c r="V344" i="4"/>
  <c r="U344" i="4"/>
  <c r="T344" i="4"/>
  <c r="R344" i="4"/>
  <c r="Q344" i="4"/>
  <c r="P344" i="4"/>
  <c r="N344" i="4"/>
  <c r="M344" i="4"/>
  <c r="L344" i="4"/>
  <c r="J344" i="4"/>
  <c r="I344" i="4"/>
  <c r="H344" i="4"/>
  <c r="F344" i="4"/>
  <c r="E344" i="4"/>
  <c r="D344" i="4"/>
  <c r="AJ343" i="4"/>
  <c r="AI343" i="4"/>
  <c r="AH343" i="4"/>
  <c r="AF343" i="4"/>
  <c r="AE343" i="4"/>
  <c r="AD343" i="4"/>
  <c r="AB343" i="4"/>
  <c r="AA343" i="4"/>
  <c r="Z343" i="4"/>
  <c r="X343" i="4"/>
  <c r="W343" i="4"/>
  <c r="V343" i="4"/>
  <c r="T343" i="4"/>
  <c r="S343" i="4"/>
  <c r="R343" i="4"/>
  <c r="P343" i="4"/>
  <c r="O343" i="4"/>
  <c r="N343" i="4"/>
  <c r="L343" i="4"/>
  <c r="K343" i="4"/>
  <c r="J343" i="4"/>
  <c r="H343" i="4"/>
  <c r="G343" i="4"/>
  <c r="F343" i="4"/>
  <c r="D343" i="4"/>
  <c r="AK342" i="4"/>
  <c r="AJ342" i="4"/>
  <c r="AH342" i="4"/>
  <c r="AG342" i="4"/>
  <c r="AF342" i="4"/>
  <c r="AD342" i="4"/>
  <c r="AC342" i="4"/>
  <c r="AB342" i="4"/>
  <c r="Z342" i="4"/>
  <c r="Y342" i="4"/>
  <c r="X342" i="4"/>
  <c r="V342" i="4"/>
  <c r="U342" i="4"/>
  <c r="T342" i="4"/>
  <c r="R342" i="4"/>
  <c r="Q342" i="4"/>
  <c r="P342" i="4"/>
  <c r="N342" i="4"/>
  <c r="M342" i="4"/>
  <c r="L342" i="4"/>
  <c r="J342" i="4"/>
  <c r="I342" i="4"/>
  <c r="H342" i="4"/>
  <c r="F342" i="4"/>
  <c r="E342" i="4"/>
  <c r="D342" i="4"/>
  <c r="AJ341" i="4"/>
  <c r="AI341" i="4"/>
  <c r="AH341" i="4"/>
  <c r="AF341" i="4"/>
  <c r="AE341" i="4"/>
  <c r="AD341" i="4"/>
  <c r="AB341" i="4"/>
  <c r="AA341" i="4"/>
  <c r="Z341" i="4"/>
  <c r="X341" i="4"/>
  <c r="W341" i="4"/>
  <c r="V341" i="4"/>
  <c r="T341" i="4"/>
  <c r="S341" i="4"/>
  <c r="R341" i="4"/>
  <c r="P341" i="4"/>
  <c r="O341" i="4"/>
  <c r="N341" i="4"/>
  <c r="L341" i="4"/>
  <c r="K341" i="4"/>
  <c r="J341" i="4"/>
  <c r="H341" i="4"/>
  <c r="G341" i="4"/>
  <c r="F341" i="4"/>
  <c r="D341" i="4"/>
  <c r="AK340" i="4"/>
  <c r="AJ340" i="4"/>
  <c r="AH340" i="4"/>
  <c r="AG340" i="4"/>
  <c r="AF340" i="4"/>
  <c r="AD340" i="4"/>
  <c r="AC340" i="4"/>
  <c r="AB340" i="4"/>
  <c r="Z340" i="4"/>
  <c r="Y340" i="4"/>
  <c r="X340" i="4"/>
  <c r="V340" i="4"/>
  <c r="U340" i="4"/>
  <c r="T340" i="4"/>
  <c r="R340" i="4"/>
  <c r="Q340" i="4"/>
  <c r="P340" i="4"/>
  <c r="N340" i="4"/>
  <c r="M340" i="4"/>
  <c r="L340" i="4"/>
  <c r="J340" i="4"/>
  <c r="I340" i="4"/>
  <c r="H340" i="4"/>
  <c r="F340" i="4"/>
  <c r="E340" i="4"/>
  <c r="D340" i="4"/>
  <c r="AJ339" i="4"/>
  <c r="AI339" i="4"/>
  <c r="AH339" i="4"/>
  <c r="AF339" i="4"/>
  <c r="AE339" i="4"/>
  <c r="AD339" i="4"/>
  <c r="AB339" i="4"/>
  <c r="AA339" i="4"/>
  <c r="Z339" i="4"/>
  <c r="X339" i="4"/>
  <c r="W339" i="4"/>
  <c r="V339" i="4"/>
  <c r="T339" i="4"/>
  <c r="S339" i="4"/>
  <c r="R339" i="4"/>
  <c r="P339" i="4"/>
  <c r="O339" i="4"/>
  <c r="N339" i="4"/>
  <c r="L339" i="4"/>
  <c r="K339" i="4"/>
  <c r="J339" i="4"/>
  <c r="H339" i="4"/>
  <c r="G339" i="4"/>
  <c r="F339" i="4"/>
  <c r="D339" i="4"/>
  <c r="AK338" i="4"/>
  <c r="AJ338" i="4"/>
  <c r="AH338" i="4"/>
  <c r="AG338" i="4"/>
  <c r="AF338" i="4"/>
  <c r="AD338" i="4"/>
  <c r="AC338" i="4"/>
  <c r="AB338" i="4"/>
  <c r="Z338" i="4"/>
  <c r="Y338" i="4"/>
  <c r="X338" i="4"/>
  <c r="V338" i="4"/>
  <c r="U338" i="4"/>
  <c r="T338" i="4"/>
  <c r="R338" i="4"/>
  <c r="Q338" i="4"/>
  <c r="P338" i="4"/>
  <c r="N338" i="4"/>
  <c r="M338" i="4"/>
  <c r="L338" i="4"/>
  <c r="J338" i="4"/>
  <c r="I338" i="4"/>
  <c r="H338" i="4"/>
  <c r="F338" i="4"/>
  <c r="E338" i="4"/>
  <c r="D338" i="4"/>
  <c r="AJ337" i="4"/>
  <c r="AI337" i="4"/>
  <c r="AH337" i="4"/>
  <c r="AF337" i="4"/>
  <c r="AE337" i="4"/>
  <c r="AD337" i="4"/>
  <c r="AB337" i="4"/>
  <c r="AA337" i="4"/>
  <c r="Z337" i="4"/>
  <c r="X337" i="4"/>
  <c r="W337" i="4"/>
  <c r="V337" i="4"/>
  <c r="T337" i="4"/>
  <c r="S337" i="4"/>
  <c r="R337" i="4"/>
  <c r="P337" i="4"/>
  <c r="O337" i="4"/>
  <c r="N337" i="4"/>
  <c r="L337" i="4"/>
  <c r="K337" i="4"/>
  <c r="J337" i="4"/>
  <c r="H337" i="4"/>
  <c r="G337" i="4"/>
  <c r="F337" i="4"/>
  <c r="D337" i="4"/>
  <c r="AK336" i="4"/>
  <c r="AJ336" i="4"/>
  <c r="AH336" i="4"/>
  <c r="AG336" i="4"/>
  <c r="AF336" i="4"/>
  <c r="AD336" i="4"/>
  <c r="AC336" i="4"/>
  <c r="AB336" i="4"/>
  <c r="Z336" i="4"/>
  <c r="Y336" i="4"/>
  <c r="X336" i="4"/>
  <c r="V336" i="4"/>
  <c r="U336" i="4"/>
  <c r="T336" i="4"/>
  <c r="R336" i="4"/>
  <c r="Q336" i="4"/>
  <c r="P336" i="4"/>
  <c r="N336" i="4"/>
  <c r="M336" i="4"/>
  <c r="L336" i="4"/>
  <c r="J336" i="4"/>
  <c r="I336" i="4"/>
  <c r="H336" i="4"/>
  <c r="F336" i="4"/>
  <c r="E336" i="4"/>
  <c r="D336" i="4"/>
  <c r="AJ335" i="4"/>
  <c r="AI335" i="4"/>
  <c r="AH335" i="4"/>
  <c r="AF335" i="4"/>
  <c r="AE335" i="4"/>
  <c r="AD335" i="4"/>
  <c r="AB335" i="4"/>
  <c r="AA335" i="4"/>
  <c r="Z335" i="4"/>
  <c r="X335" i="4"/>
  <c r="W335" i="4"/>
  <c r="V335" i="4"/>
  <c r="T335" i="4"/>
  <c r="S335" i="4"/>
  <c r="R335" i="4"/>
  <c r="P335" i="4"/>
  <c r="O335" i="4"/>
  <c r="N335" i="4"/>
  <c r="L335" i="4"/>
  <c r="K335" i="4"/>
  <c r="J335" i="4"/>
  <c r="H335" i="4"/>
  <c r="G335" i="4"/>
  <c r="F335" i="4"/>
  <c r="D335" i="4"/>
  <c r="AK334" i="4"/>
  <c r="AJ334" i="4"/>
  <c r="AH334" i="4"/>
  <c r="AG334" i="4"/>
  <c r="AF334" i="4"/>
  <c r="AD334" i="4"/>
  <c r="AC334" i="4"/>
  <c r="AB334" i="4"/>
  <c r="Z334" i="4"/>
  <c r="Y334" i="4"/>
  <c r="X334" i="4"/>
  <c r="V334" i="4"/>
  <c r="U334" i="4"/>
  <c r="T334" i="4"/>
  <c r="R334" i="4"/>
  <c r="Q334" i="4"/>
  <c r="P334" i="4"/>
  <c r="N334" i="4"/>
  <c r="M334" i="4"/>
  <c r="L334" i="4"/>
  <c r="J334" i="4"/>
  <c r="I334" i="4"/>
  <c r="H334" i="4"/>
  <c r="F334" i="4"/>
  <c r="E334" i="4"/>
  <c r="D334" i="4"/>
  <c r="AJ333" i="4"/>
  <c r="AI333" i="4"/>
  <c r="AH333" i="4"/>
  <c r="AF333" i="4"/>
  <c r="AE333" i="4"/>
  <c r="AD333" i="4"/>
  <c r="AB333" i="4"/>
  <c r="AA333" i="4"/>
  <c r="Z333" i="4"/>
  <c r="X333" i="4"/>
  <c r="W333" i="4"/>
  <c r="V333" i="4"/>
  <c r="T333" i="4"/>
  <c r="S333" i="4"/>
  <c r="R333" i="4"/>
  <c r="P333" i="4"/>
  <c r="O333" i="4"/>
  <c r="N333" i="4"/>
  <c r="L333" i="4"/>
  <c r="K333" i="4"/>
  <c r="J333" i="4"/>
  <c r="H333" i="4"/>
  <c r="G333" i="4"/>
  <c r="F333" i="4"/>
  <c r="D333" i="4"/>
  <c r="AK332" i="4"/>
  <c r="AJ332" i="4"/>
  <c r="AH332" i="4"/>
  <c r="AG332" i="4"/>
  <c r="AF332" i="4"/>
  <c r="AD332" i="4"/>
  <c r="AC332" i="4"/>
  <c r="AB332" i="4"/>
  <c r="Z332" i="4"/>
  <c r="Y332" i="4"/>
  <c r="X332" i="4"/>
  <c r="V332" i="4"/>
  <c r="U332" i="4"/>
  <c r="T332" i="4"/>
  <c r="R332" i="4"/>
  <c r="Q332" i="4"/>
  <c r="P332" i="4"/>
  <c r="N332" i="4"/>
  <c r="M332" i="4"/>
  <c r="L332" i="4"/>
  <c r="J332" i="4"/>
  <c r="I332" i="4"/>
  <c r="H332" i="4"/>
  <c r="F332" i="4"/>
  <c r="E332" i="4"/>
  <c r="D332" i="4"/>
  <c r="AJ331" i="4"/>
  <c r="AI331" i="4"/>
  <c r="AH331" i="4"/>
  <c r="AF331" i="4"/>
  <c r="AE331" i="4"/>
  <c r="AD331" i="4"/>
  <c r="AB331" i="4"/>
  <c r="AA331" i="4"/>
  <c r="Z331" i="4"/>
  <c r="X331" i="4"/>
  <c r="W331" i="4"/>
  <c r="V331" i="4"/>
  <c r="T331" i="4"/>
  <c r="S331" i="4"/>
  <c r="R331" i="4"/>
  <c r="P331" i="4"/>
  <c r="O331" i="4"/>
  <c r="N331" i="4"/>
  <c r="L331" i="4"/>
  <c r="K331" i="4"/>
  <c r="J331" i="4"/>
  <c r="H331" i="4"/>
  <c r="G331" i="4"/>
  <c r="F331" i="4"/>
  <c r="D331" i="4"/>
  <c r="AK330" i="4"/>
  <c r="AJ330" i="4"/>
  <c r="AH330" i="4"/>
  <c r="AG330" i="4"/>
  <c r="AF330" i="4"/>
  <c r="AD330" i="4"/>
  <c r="AC330" i="4"/>
  <c r="AB330" i="4"/>
  <c r="Z330" i="4"/>
  <c r="Y330" i="4"/>
  <c r="X330" i="4"/>
  <c r="V330" i="4"/>
  <c r="U330" i="4"/>
  <c r="T330" i="4"/>
  <c r="R330" i="4"/>
  <c r="Q330" i="4"/>
  <c r="P330" i="4"/>
  <c r="N330" i="4"/>
  <c r="M330" i="4"/>
  <c r="L330" i="4"/>
  <c r="J330" i="4"/>
  <c r="I330" i="4"/>
  <c r="H330" i="4"/>
  <c r="F330" i="4"/>
  <c r="E330" i="4"/>
  <c r="D330" i="4"/>
  <c r="AJ329" i="4"/>
  <c r="AI329" i="4"/>
  <c r="AH329" i="4"/>
  <c r="AF329" i="4"/>
  <c r="AE329" i="4"/>
  <c r="AD329" i="4"/>
  <c r="AB329" i="4"/>
  <c r="AA329" i="4"/>
  <c r="Z329" i="4"/>
  <c r="X329" i="4"/>
  <c r="W329" i="4"/>
  <c r="V329" i="4"/>
  <c r="T329" i="4"/>
  <c r="S329" i="4"/>
  <c r="R329" i="4"/>
  <c r="P329" i="4"/>
  <c r="O329" i="4"/>
  <c r="N329" i="4"/>
  <c r="L329" i="4"/>
  <c r="K329" i="4"/>
  <c r="J329" i="4"/>
  <c r="H329" i="4"/>
  <c r="G329" i="4"/>
  <c r="F329" i="4"/>
  <c r="D329" i="4"/>
  <c r="AK328" i="4"/>
  <c r="AJ328" i="4"/>
  <c r="AH328" i="4"/>
  <c r="AG328" i="4"/>
  <c r="AF328" i="4"/>
  <c r="AD328" i="4"/>
  <c r="AC328" i="4"/>
  <c r="AB328" i="4"/>
  <c r="Z328" i="4"/>
  <c r="Y328" i="4"/>
  <c r="X328" i="4"/>
  <c r="V328" i="4"/>
  <c r="U328" i="4"/>
  <c r="T328" i="4"/>
  <c r="R328" i="4"/>
  <c r="Q328" i="4"/>
  <c r="P328" i="4"/>
  <c r="N328" i="4"/>
  <c r="M328" i="4"/>
  <c r="L328" i="4"/>
  <c r="J328" i="4"/>
  <c r="I328" i="4"/>
  <c r="H328" i="4"/>
  <c r="F328" i="4"/>
  <c r="E328" i="4"/>
  <c r="D328" i="4"/>
  <c r="AJ327" i="4"/>
  <c r="AI327" i="4"/>
  <c r="AH327" i="4"/>
  <c r="AF327" i="4"/>
  <c r="AE327" i="4"/>
  <c r="AD327" i="4"/>
  <c r="AB327" i="4"/>
  <c r="AA327" i="4"/>
  <c r="Z327" i="4"/>
  <c r="X327" i="4"/>
  <c r="W327" i="4"/>
  <c r="V327" i="4"/>
  <c r="T327" i="4"/>
  <c r="S327" i="4"/>
  <c r="R327" i="4"/>
  <c r="P327" i="4"/>
  <c r="O327" i="4"/>
  <c r="N327" i="4"/>
  <c r="L327" i="4"/>
  <c r="K327" i="4"/>
  <c r="J327" i="4"/>
  <c r="H327" i="4"/>
  <c r="G327" i="4"/>
  <c r="F327" i="4"/>
  <c r="D327" i="4"/>
  <c r="AK326" i="4"/>
  <c r="AJ326" i="4"/>
  <c r="AH326" i="4"/>
  <c r="AG326" i="4"/>
  <c r="AF326" i="4"/>
  <c r="AD326" i="4"/>
  <c r="AC326" i="4"/>
  <c r="AB326" i="4"/>
  <c r="Z326" i="4"/>
  <c r="Y326" i="4"/>
  <c r="X326" i="4"/>
  <c r="V326" i="4"/>
  <c r="U326" i="4"/>
  <c r="T326" i="4"/>
  <c r="R326" i="4"/>
  <c r="Q326" i="4"/>
  <c r="P326" i="4"/>
  <c r="N326" i="4"/>
  <c r="M326" i="4"/>
  <c r="L326" i="4"/>
  <c r="J326" i="4"/>
  <c r="I326" i="4"/>
  <c r="H326" i="4"/>
  <c r="F326" i="4"/>
  <c r="E326" i="4"/>
  <c r="D326" i="4"/>
  <c r="AJ325" i="4"/>
  <c r="AI325" i="4"/>
  <c r="AH325" i="4"/>
  <c r="AF325" i="4"/>
  <c r="AE325" i="4"/>
  <c r="AD325" i="4"/>
  <c r="AB325" i="4"/>
  <c r="AA325" i="4"/>
  <c r="Z325" i="4"/>
  <c r="X325" i="4"/>
  <c r="W325" i="4"/>
  <c r="V325" i="4"/>
  <c r="T325" i="4"/>
  <c r="S325" i="4"/>
  <c r="R325" i="4"/>
  <c r="P325" i="4"/>
  <c r="O325" i="4"/>
  <c r="N325" i="4"/>
  <c r="L325" i="4"/>
  <c r="K325" i="4"/>
  <c r="J325" i="4"/>
  <c r="H325" i="4"/>
  <c r="G325" i="4"/>
  <c r="F325" i="4"/>
  <c r="D325" i="4"/>
  <c r="AK324" i="4"/>
  <c r="AJ324" i="4"/>
  <c r="AH324" i="4"/>
  <c r="AG324" i="4"/>
  <c r="AF324" i="4"/>
  <c r="AD324" i="4"/>
  <c r="AC324" i="4"/>
  <c r="AB324" i="4"/>
  <c r="Z324" i="4"/>
  <c r="Y324" i="4"/>
  <c r="X324" i="4"/>
  <c r="V324" i="4"/>
  <c r="U324" i="4"/>
  <c r="T324" i="4"/>
  <c r="R324" i="4"/>
  <c r="Q324" i="4"/>
  <c r="P324" i="4"/>
  <c r="N324" i="4"/>
  <c r="M324" i="4"/>
  <c r="L324" i="4"/>
  <c r="J324" i="4"/>
  <c r="I324" i="4"/>
  <c r="H324" i="4"/>
  <c r="F324" i="4"/>
  <c r="E324" i="4"/>
  <c r="D324" i="4"/>
  <c r="AJ323" i="4"/>
  <c r="AI323" i="4"/>
  <c r="AH323" i="4"/>
  <c r="AF323" i="4"/>
  <c r="AE323" i="4"/>
  <c r="AD323" i="4"/>
  <c r="AB323" i="4"/>
  <c r="AA323" i="4"/>
  <c r="Z323" i="4"/>
  <c r="X323" i="4"/>
  <c r="W323" i="4"/>
  <c r="V323" i="4"/>
  <c r="T323" i="4"/>
  <c r="S323" i="4"/>
  <c r="R323" i="4"/>
  <c r="P323" i="4"/>
  <c r="O323" i="4"/>
  <c r="N323" i="4"/>
  <c r="L323" i="4"/>
  <c r="K323" i="4"/>
  <c r="J323" i="4"/>
  <c r="H323" i="4"/>
  <c r="G323" i="4"/>
  <c r="F323" i="4"/>
  <c r="D323" i="4"/>
  <c r="AK322" i="4"/>
  <c r="AJ322" i="4"/>
  <c r="AH322" i="4"/>
  <c r="AG322" i="4"/>
  <c r="AF322" i="4"/>
  <c r="AD322" i="4"/>
  <c r="AC322" i="4"/>
  <c r="AB322" i="4"/>
  <c r="Z322" i="4"/>
  <c r="Y322" i="4"/>
  <c r="X322" i="4"/>
  <c r="V322" i="4"/>
  <c r="U322" i="4"/>
  <c r="T322" i="4"/>
  <c r="R322" i="4"/>
  <c r="Q322" i="4"/>
  <c r="P322" i="4"/>
  <c r="N322" i="4"/>
  <c r="M322" i="4"/>
  <c r="L322" i="4"/>
  <c r="J322" i="4"/>
  <c r="I322" i="4"/>
  <c r="H322" i="4"/>
  <c r="F322" i="4"/>
  <c r="E322" i="4"/>
  <c r="D322" i="4"/>
  <c r="AJ321" i="4"/>
  <c r="AI321" i="4"/>
  <c r="AH321" i="4"/>
  <c r="AF321" i="4"/>
  <c r="AE321" i="4"/>
  <c r="AD321" i="4"/>
  <c r="AB321" i="4"/>
  <c r="AA321" i="4"/>
  <c r="Z321" i="4"/>
  <c r="X321" i="4"/>
  <c r="W321" i="4"/>
  <c r="V321" i="4"/>
  <c r="T321" i="4"/>
  <c r="S321" i="4"/>
  <c r="R321" i="4"/>
  <c r="P321" i="4"/>
  <c r="O321" i="4"/>
  <c r="N321" i="4"/>
  <c r="L321" i="4"/>
  <c r="K321" i="4"/>
  <c r="J321" i="4"/>
  <c r="H321" i="4"/>
  <c r="G321" i="4"/>
  <c r="F321" i="4"/>
  <c r="D321" i="4"/>
  <c r="AK320" i="4"/>
  <c r="AJ320" i="4"/>
  <c r="AH320" i="4"/>
  <c r="AG320" i="4"/>
  <c r="AF320" i="4"/>
  <c r="AD320" i="4"/>
  <c r="AC320" i="4"/>
  <c r="AB320" i="4"/>
  <c r="Z320" i="4"/>
  <c r="Y320" i="4"/>
  <c r="X320" i="4"/>
  <c r="V320" i="4"/>
  <c r="U320" i="4"/>
  <c r="T320" i="4"/>
  <c r="R320" i="4"/>
  <c r="Q320" i="4"/>
  <c r="P320" i="4"/>
  <c r="N320" i="4"/>
  <c r="M320" i="4"/>
  <c r="L320" i="4"/>
  <c r="J320" i="4"/>
  <c r="I320" i="4"/>
  <c r="H320" i="4"/>
  <c r="F320" i="4"/>
  <c r="E320" i="4"/>
  <c r="D320" i="4"/>
  <c r="AJ319" i="4"/>
  <c r="AI319" i="4"/>
  <c r="AH319" i="4"/>
  <c r="AF319" i="4"/>
  <c r="AE319" i="4"/>
  <c r="AD319" i="4"/>
  <c r="AB319" i="4"/>
  <c r="AA319" i="4"/>
  <c r="Z319" i="4"/>
  <c r="X319" i="4"/>
  <c r="W319" i="4"/>
  <c r="V319" i="4"/>
  <c r="T319" i="4"/>
  <c r="S319" i="4"/>
  <c r="R319" i="4"/>
  <c r="P319" i="4"/>
  <c r="O319" i="4"/>
  <c r="N319" i="4"/>
  <c r="L319" i="4"/>
  <c r="K319" i="4"/>
  <c r="J319" i="4"/>
  <c r="H319" i="4"/>
  <c r="G319" i="4"/>
  <c r="F319" i="4"/>
  <c r="D319" i="4"/>
  <c r="AK318" i="4"/>
  <c r="AJ318" i="4"/>
  <c r="AH318" i="4"/>
  <c r="AG318" i="4"/>
  <c r="AF318" i="4"/>
  <c r="AD318" i="4"/>
  <c r="AC318" i="4"/>
  <c r="AB318" i="4"/>
  <c r="Z318" i="4"/>
  <c r="Y318" i="4"/>
  <c r="X318" i="4"/>
  <c r="V318" i="4"/>
  <c r="U318" i="4"/>
  <c r="T318" i="4"/>
  <c r="R318" i="4"/>
  <c r="Q318" i="4"/>
  <c r="P318" i="4"/>
  <c r="N318" i="4"/>
  <c r="M318" i="4"/>
  <c r="L318" i="4"/>
  <c r="J318" i="4"/>
  <c r="I318" i="4"/>
  <c r="H318" i="4"/>
  <c r="F318" i="4"/>
  <c r="E318" i="4"/>
  <c r="D318" i="4"/>
  <c r="D318" i="4" a="1"/>
  <c r="AK351" i="4" s="1"/>
  <c r="AF220" i="4"/>
  <c r="AF259" i="4" s="1"/>
  <c r="X220" i="4"/>
  <c r="X259" i="4" s="1"/>
  <c r="Q220" i="4"/>
  <c r="J220" i="4"/>
  <c r="J259" i="4" s="1"/>
  <c r="AJ219" i="4"/>
  <c r="AJ258" i="4" s="1"/>
  <c r="AD219" i="4"/>
  <c r="AD258" i="4" s="1"/>
  <c r="W219" i="4"/>
  <c r="O219" i="4"/>
  <c r="O258" i="4" s="1"/>
  <c r="H219" i="4"/>
  <c r="H258" i="4" s="1"/>
  <c r="AJ218" i="4"/>
  <c r="AJ257" i="4" s="1"/>
  <c r="AB218" i="4"/>
  <c r="AB257" i="4" s="1"/>
  <c r="U218" i="4"/>
  <c r="N218" i="4"/>
  <c r="N257" i="4" s="1"/>
  <c r="F218" i="4"/>
  <c r="F257" i="4" s="1"/>
  <c r="AH217" i="4"/>
  <c r="AH256" i="4" s="1"/>
  <c r="AA217" i="4"/>
  <c r="S217" i="4"/>
  <c r="S256" i="4" s="1"/>
  <c r="L217" i="4"/>
  <c r="L256" i="4" s="1"/>
  <c r="F217" i="4"/>
  <c r="F256" i="4" s="1"/>
  <c r="AF216" i="4"/>
  <c r="AF255" i="4" s="1"/>
  <c r="Y216" i="4"/>
  <c r="R216" i="4"/>
  <c r="R255" i="4" s="1"/>
  <c r="J216" i="4"/>
  <c r="J255" i="4" s="1"/>
  <c r="D216" i="4"/>
  <c r="D255" i="4" s="1"/>
  <c r="AE215" i="4"/>
  <c r="W215" i="4"/>
  <c r="W254" i="4" s="1"/>
  <c r="P215" i="4"/>
  <c r="P254" i="4" s="1"/>
  <c r="J215" i="4"/>
  <c r="J254" i="4" s="1"/>
  <c r="AJ214" i="4"/>
  <c r="AJ253" i="4" s="1"/>
  <c r="AC214" i="4"/>
  <c r="V214" i="4"/>
  <c r="V253" i="4" s="1"/>
  <c r="N214" i="4"/>
  <c r="N253" i="4" s="1"/>
  <c r="H214" i="4"/>
  <c r="H253" i="4" s="1"/>
  <c r="AI213" i="4"/>
  <c r="AA213" i="4"/>
  <c r="AA252" i="4" s="1"/>
  <c r="T213" i="4"/>
  <c r="T252" i="4" s="1"/>
  <c r="N213" i="4"/>
  <c r="N252" i="4" s="1"/>
  <c r="F213" i="4"/>
  <c r="F252" i="4" s="1"/>
  <c r="AG212" i="4"/>
  <c r="Z212" i="4"/>
  <c r="Z251" i="4" s="1"/>
  <c r="R212" i="4"/>
  <c r="R251" i="4" s="1"/>
  <c r="L212" i="4"/>
  <c r="L251" i="4" s="1"/>
  <c r="E212" i="4"/>
  <c r="AE211" i="4"/>
  <c r="AE250" i="4" s="1"/>
  <c r="X211" i="4"/>
  <c r="X250" i="4" s="1"/>
  <c r="R211" i="4"/>
  <c r="R250" i="4" s="1"/>
  <c r="J211" i="4"/>
  <c r="J250" i="4" s="1"/>
  <c r="AK210" i="4"/>
  <c r="AD210" i="4"/>
  <c r="AD249" i="4" s="1"/>
  <c r="V210" i="4"/>
  <c r="V249" i="4" s="1"/>
  <c r="P210" i="4"/>
  <c r="P249" i="4" s="1"/>
  <c r="I210" i="4"/>
  <c r="AI209" i="4"/>
  <c r="AI248" i="4" s="1"/>
  <c r="AB209" i="4"/>
  <c r="AB248" i="4" s="1"/>
  <c r="V209" i="4"/>
  <c r="V248" i="4" s="1"/>
  <c r="N209" i="4"/>
  <c r="N248" i="4" s="1"/>
  <c r="G209" i="4"/>
  <c r="AH208" i="4"/>
  <c r="AH247" i="4" s="1"/>
  <c r="Z208" i="4"/>
  <c r="Z247" i="4" s="1"/>
  <c r="T208" i="4"/>
  <c r="T247" i="4" s="1"/>
  <c r="M208" i="4"/>
  <c r="E208" i="4"/>
  <c r="E247" i="4" s="1"/>
  <c r="AF207" i="4"/>
  <c r="AF246" i="4" s="1"/>
  <c r="Z207" i="4"/>
  <c r="Z246" i="4" s="1"/>
  <c r="R207" i="4"/>
  <c r="R246" i="4" s="1"/>
  <c r="K207" i="4"/>
  <c r="D207" i="4"/>
  <c r="D246" i="4" s="1"/>
  <c r="AD206" i="4"/>
  <c r="AD245" i="4" s="1"/>
  <c r="X206" i="4"/>
  <c r="X245" i="4" s="1"/>
  <c r="Q206" i="4"/>
  <c r="I206" i="4"/>
  <c r="I245" i="4" s="1"/>
  <c r="AJ205" i="4"/>
  <c r="AJ244" i="4" s="1"/>
  <c r="AD205" i="4"/>
  <c r="AD244" i="4" s="1"/>
  <c r="V205" i="4"/>
  <c r="V244" i="4" s="1"/>
  <c r="O205" i="4"/>
  <c r="H205" i="4"/>
  <c r="H244" i="4" s="1"/>
  <c r="AH204" i="4"/>
  <c r="AH243" i="4" s="1"/>
  <c r="AB204" i="4"/>
  <c r="AB243" i="4" s="1"/>
  <c r="U204" i="4"/>
  <c r="M204" i="4"/>
  <c r="M243" i="4" s="1"/>
  <c r="F204" i="4"/>
  <c r="F243" i="4" s="1"/>
  <c r="AH203" i="4"/>
  <c r="AH242" i="4" s="1"/>
  <c r="Z203" i="4"/>
  <c r="Z242" i="4" s="1"/>
  <c r="S203" i="4"/>
  <c r="S242" i="4" s="1"/>
  <c r="L203" i="4"/>
  <c r="L242" i="4" s="1"/>
  <c r="D203" i="4"/>
  <c r="D242" i="4" s="1"/>
  <c r="AF202" i="4"/>
  <c r="AF241" i="4" s="1"/>
  <c r="Y202" i="4"/>
  <c r="Q202" i="4"/>
  <c r="Q241" i="4" s="1"/>
  <c r="J202" i="4"/>
  <c r="J241" i="4" s="1"/>
  <c r="D202" i="4"/>
  <c r="D241" i="4" s="1"/>
  <c r="AD201" i="4"/>
  <c r="AD240" i="4" s="1"/>
  <c r="W201" i="4"/>
  <c r="W240" i="4" s="1"/>
  <c r="P201" i="4"/>
  <c r="P240" i="4" s="1"/>
  <c r="H201" i="4"/>
  <c r="H240" i="4" s="1"/>
  <c r="AJ200" i="4"/>
  <c r="AJ239" i="4" s="1"/>
  <c r="AC200" i="4"/>
  <c r="U200" i="4"/>
  <c r="U239" i="4" s="1"/>
  <c r="N200" i="4"/>
  <c r="N239" i="4" s="1"/>
  <c r="H200" i="4"/>
  <c r="H239" i="4" s="1"/>
  <c r="AH199" i="4"/>
  <c r="AH238" i="4" s="1"/>
  <c r="AA199" i="4"/>
  <c r="AA238" i="4" s="1"/>
  <c r="T199" i="4"/>
  <c r="T238" i="4" s="1"/>
  <c r="L199" i="4"/>
  <c r="L238" i="4" s="1"/>
  <c r="F199" i="4"/>
  <c r="F238" i="4" s="1"/>
  <c r="AG198" i="4"/>
  <c r="Y198" i="4"/>
  <c r="Y237" i="4" s="1"/>
  <c r="R198" i="4"/>
  <c r="R237" i="4" s="1"/>
  <c r="L198" i="4"/>
  <c r="L237" i="4" s="1"/>
  <c r="D198" i="4"/>
  <c r="D237" i="4" s="1"/>
  <c r="AE197" i="4"/>
  <c r="AE236" i="4" s="1"/>
  <c r="X197" i="4"/>
  <c r="X236" i="4" s="1"/>
  <c r="P197" i="4"/>
  <c r="P236" i="4" s="1"/>
  <c r="J197" i="4"/>
  <c r="J236" i="4" s="1"/>
  <c r="AK196" i="4"/>
  <c r="AC196" i="4"/>
  <c r="AC235" i="4" s="1"/>
  <c r="V196" i="4"/>
  <c r="V235" i="4" s="1"/>
  <c r="P196" i="4"/>
  <c r="P235" i="4" s="1"/>
  <c r="H196" i="4"/>
  <c r="H235" i="4" s="1"/>
  <c r="AI195" i="4"/>
  <c r="AI234" i="4" s="1"/>
  <c r="AB195" i="4"/>
  <c r="AB234" i="4" s="1"/>
  <c r="T195" i="4"/>
  <c r="T234" i="4" s="1"/>
  <c r="N195" i="4"/>
  <c r="N234" i="4" s="1"/>
  <c r="G195" i="4"/>
  <c r="AG194" i="4"/>
  <c r="AG233" i="4" s="1"/>
  <c r="Z194" i="4"/>
  <c r="Z233" i="4" s="1"/>
  <c r="T194" i="4"/>
  <c r="T233" i="4" s="1"/>
  <c r="L194" i="4"/>
  <c r="L233" i="4" s="1"/>
  <c r="E194" i="4"/>
  <c r="E233" i="4" s="1"/>
  <c r="AF193" i="4"/>
  <c r="AF232" i="4" s="1"/>
  <c r="X193" i="4"/>
  <c r="X232" i="4" s="1"/>
  <c r="R193" i="4"/>
  <c r="R232" i="4" s="1"/>
  <c r="K193" i="4"/>
  <c r="AK192" i="4"/>
  <c r="AK231" i="4" s="1"/>
  <c r="AD192" i="4"/>
  <c r="AD231" i="4" s="1"/>
  <c r="X192" i="4"/>
  <c r="X231" i="4" s="1"/>
  <c r="P192" i="4"/>
  <c r="P231" i="4" s="1"/>
  <c r="I192" i="4"/>
  <c r="I231" i="4" s="1"/>
  <c r="AJ191" i="4"/>
  <c r="AJ230" i="4" s="1"/>
  <c r="AB191" i="4"/>
  <c r="AB230" i="4" s="1"/>
  <c r="V191" i="4"/>
  <c r="V230" i="4" s="1"/>
  <c r="O191" i="4"/>
  <c r="G191" i="4"/>
  <c r="G230" i="4" s="1"/>
  <c r="AH190" i="4"/>
  <c r="AH229" i="4" s="1"/>
  <c r="AB190" i="4"/>
  <c r="AB229" i="4" s="1"/>
  <c r="T190" i="4"/>
  <c r="T229" i="4" s="1"/>
  <c r="M190" i="4"/>
  <c r="M229" i="4" s="1"/>
  <c r="F190" i="4"/>
  <c r="F229" i="4" s="1"/>
  <c r="AF189" i="4"/>
  <c r="AF228" i="4" s="1"/>
  <c r="Z189" i="4"/>
  <c r="Z228" i="4" s="1"/>
  <c r="S189" i="4"/>
  <c r="K189" i="4"/>
  <c r="K228" i="4" s="1"/>
  <c r="D189" i="4"/>
  <c r="D228" i="4" s="1"/>
  <c r="AF188" i="4"/>
  <c r="AF227" i="4" s="1"/>
  <c r="X188" i="4"/>
  <c r="X227" i="4" s="1"/>
  <c r="Q188" i="4"/>
  <c r="Q227" i="4" s="1"/>
  <c r="J188" i="4"/>
  <c r="J227" i="4" s="1"/>
  <c r="AJ187" i="4"/>
  <c r="AJ226" i="4" s="1"/>
  <c r="AD187" i="4"/>
  <c r="AD226" i="4" s="1"/>
  <c r="W187" i="4"/>
  <c r="O187" i="4"/>
  <c r="O226" i="4" s="1"/>
  <c r="H187" i="4"/>
  <c r="H226" i="4" s="1"/>
  <c r="D187" i="4" a="1"/>
  <c r="AH220" i="4" s="1"/>
  <c r="AH259" i="4" s="1"/>
  <c r="AK181" i="4"/>
  <c r="AJ181" i="4"/>
  <c r="AI181" i="4"/>
  <c r="AH181" i="4"/>
  <c r="AG181" i="4"/>
  <c r="AF181" i="4"/>
  <c r="AE181" i="4"/>
  <c r="AD181" i="4"/>
  <c r="AC181" i="4"/>
  <c r="AB181" i="4"/>
  <c r="AA181" i="4"/>
  <c r="Z181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AK180" i="4"/>
  <c r="AJ180" i="4"/>
  <c r="AI180" i="4"/>
  <c r="AH180" i="4"/>
  <c r="AG180" i="4"/>
  <c r="AF180" i="4"/>
  <c r="AE180" i="4"/>
  <c r="AD180" i="4"/>
  <c r="AC180" i="4"/>
  <c r="AB180" i="4"/>
  <c r="AA180" i="4"/>
  <c r="Z180" i="4"/>
  <c r="Y180" i="4"/>
  <c r="X180" i="4"/>
  <c r="W180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AK179" i="4"/>
  <c r="AJ179" i="4"/>
  <c r="AI179" i="4"/>
  <c r="AH179" i="4"/>
  <c r="AG179" i="4"/>
  <c r="AF179" i="4"/>
  <c r="AE179" i="4"/>
  <c r="AD179" i="4"/>
  <c r="AC179" i="4"/>
  <c r="AB179" i="4"/>
  <c r="AA179" i="4"/>
  <c r="Z179" i="4"/>
  <c r="Y179" i="4"/>
  <c r="X179" i="4"/>
  <c r="W179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AK178" i="4"/>
  <c r="AJ178" i="4"/>
  <c r="AI178" i="4"/>
  <c r="AH178" i="4"/>
  <c r="AG178" i="4"/>
  <c r="AF178" i="4"/>
  <c r="AE178" i="4"/>
  <c r="AD178" i="4"/>
  <c r="AC178" i="4"/>
  <c r="AB178" i="4"/>
  <c r="AA178" i="4"/>
  <c r="Z178" i="4"/>
  <c r="Y178" i="4"/>
  <c r="X178" i="4"/>
  <c r="W178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AK177" i="4"/>
  <c r="AJ177" i="4"/>
  <c r="AI177" i="4"/>
  <c r="AH177" i="4"/>
  <c r="AG177" i="4"/>
  <c r="AF177" i="4"/>
  <c r="AE177" i="4"/>
  <c r="AD177" i="4"/>
  <c r="AC177" i="4"/>
  <c r="AB177" i="4"/>
  <c r="AA177" i="4"/>
  <c r="Z177" i="4"/>
  <c r="Y177" i="4"/>
  <c r="X177" i="4"/>
  <c r="W177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AK176" i="4"/>
  <c r="AJ176" i="4"/>
  <c r="AI176" i="4"/>
  <c r="AH176" i="4"/>
  <c r="AG176" i="4"/>
  <c r="AF176" i="4"/>
  <c r="AE176" i="4"/>
  <c r="AD176" i="4"/>
  <c r="AC176" i="4"/>
  <c r="AB176" i="4"/>
  <c r="AA176" i="4"/>
  <c r="Z176" i="4"/>
  <c r="Y176" i="4"/>
  <c r="X176" i="4"/>
  <c r="W176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AK174" i="4"/>
  <c r="AJ174" i="4"/>
  <c r="AI174" i="4"/>
  <c r="AH174" i="4"/>
  <c r="AG174" i="4"/>
  <c r="AF174" i="4"/>
  <c r="AE174" i="4"/>
  <c r="AD174" i="4"/>
  <c r="AC174" i="4"/>
  <c r="AB174" i="4"/>
  <c r="AA174" i="4"/>
  <c r="Z174" i="4"/>
  <c r="Y174" i="4"/>
  <c r="X174" i="4"/>
  <c r="W174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AK173" i="4"/>
  <c r="AJ173" i="4"/>
  <c r="AI173" i="4"/>
  <c r="AH173" i="4"/>
  <c r="AG173" i="4"/>
  <c r="AF173" i="4"/>
  <c r="AE173" i="4"/>
  <c r="AD173" i="4"/>
  <c r="AC173" i="4"/>
  <c r="AB173" i="4"/>
  <c r="AA173" i="4"/>
  <c r="Z173" i="4"/>
  <c r="Y173" i="4"/>
  <c r="X173" i="4"/>
  <c r="W173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AK172" i="4"/>
  <c r="AJ172" i="4"/>
  <c r="AI172" i="4"/>
  <c r="AH172" i="4"/>
  <c r="AG172" i="4"/>
  <c r="AF172" i="4"/>
  <c r="AE172" i="4"/>
  <c r="AD172" i="4"/>
  <c r="AC172" i="4"/>
  <c r="AB172" i="4"/>
  <c r="AA172" i="4"/>
  <c r="Z172" i="4"/>
  <c r="Y172" i="4"/>
  <c r="X172" i="4"/>
  <c r="W172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AK171" i="4"/>
  <c r="AJ171" i="4"/>
  <c r="AI171" i="4"/>
  <c r="AH171" i="4"/>
  <c r="AG171" i="4"/>
  <c r="AF171" i="4"/>
  <c r="AE171" i="4"/>
  <c r="AD171" i="4"/>
  <c r="AC171" i="4"/>
  <c r="AB171" i="4"/>
  <c r="AA171" i="4"/>
  <c r="Z171" i="4"/>
  <c r="Y171" i="4"/>
  <c r="X171" i="4"/>
  <c r="W171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AK170" i="4"/>
  <c r="AJ170" i="4"/>
  <c r="AI170" i="4"/>
  <c r="AH170" i="4"/>
  <c r="AG170" i="4"/>
  <c r="AF170" i="4"/>
  <c r="AE170" i="4"/>
  <c r="AD170" i="4"/>
  <c r="AC170" i="4"/>
  <c r="AB170" i="4"/>
  <c r="AA170" i="4"/>
  <c r="Z170" i="4"/>
  <c r="Y170" i="4"/>
  <c r="X170" i="4"/>
  <c r="W170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AK169" i="4"/>
  <c r="AJ169" i="4"/>
  <c r="AI169" i="4"/>
  <c r="AH169" i="4"/>
  <c r="AG169" i="4"/>
  <c r="AF169" i="4"/>
  <c r="AE169" i="4"/>
  <c r="AD169" i="4"/>
  <c r="AC169" i="4"/>
  <c r="AB169" i="4"/>
  <c r="AA169" i="4"/>
  <c r="Z169" i="4"/>
  <c r="Y169" i="4"/>
  <c r="X169" i="4"/>
  <c r="W169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AK168" i="4"/>
  <c r="AJ168" i="4"/>
  <c r="AI168" i="4"/>
  <c r="AH168" i="4"/>
  <c r="AG168" i="4"/>
  <c r="AF168" i="4"/>
  <c r="AE168" i="4"/>
  <c r="AD168" i="4"/>
  <c r="AC168" i="4"/>
  <c r="AB168" i="4"/>
  <c r="AA168" i="4"/>
  <c r="Z168" i="4"/>
  <c r="Y168" i="4"/>
  <c r="X168" i="4"/>
  <c r="W168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AK167" i="4"/>
  <c r="AJ167" i="4"/>
  <c r="AI167" i="4"/>
  <c r="AH167" i="4"/>
  <c r="AG167" i="4"/>
  <c r="AF167" i="4"/>
  <c r="AE167" i="4"/>
  <c r="AD167" i="4"/>
  <c r="AC167" i="4"/>
  <c r="AB167" i="4"/>
  <c r="AA167" i="4"/>
  <c r="Z167" i="4"/>
  <c r="Y167" i="4"/>
  <c r="X167" i="4"/>
  <c r="W167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AK166" i="4"/>
  <c r="AJ166" i="4"/>
  <c r="AI166" i="4"/>
  <c r="AH166" i="4"/>
  <c r="AG166" i="4"/>
  <c r="AF166" i="4"/>
  <c r="AE166" i="4"/>
  <c r="AD166" i="4"/>
  <c r="AC166" i="4"/>
  <c r="AB166" i="4"/>
  <c r="AA166" i="4"/>
  <c r="Z166" i="4"/>
  <c r="Y166" i="4"/>
  <c r="X166" i="4"/>
  <c r="W166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AK165" i="4"/>
  <c r="AJ165" i="4"/>
  <c r="AI165" i="4"/>
  <c r="AH165" i="4"/>
  <c r="AG165" i="4"/>
  <c r="AF165" i="4"/>
  <c r="AE165" i="4"/>
  <c r="AD165" i="4"/>
  <c r="AC165" i="4"/>
  <c r="AB165" i="4"/>
  <c r="AA165" i="4"/>
  <c r="Z165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AK164" i="4"/>
  <c r="AJ164" i="4"/>
  <c r="AI164" i="4"/>
  <c r="AH164" i="4"/>
  <c r="AG164" i="4"/>
  <c r="AF164" i="4"/>
  <c r="AE164" i="4"/>
  <c r="AD164" i="4"/>
  <c r="AC164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AK163" i="4"/>
  <c r="AJ163" i="4"/>
  <c r="AI163" i="4"/>
  <c r="AH163" i="4"/>
  <c r="AG163" i="4"/>
  <c r="AF163" i="4"/>
  <c r="AE163" i="4"/>
  <c r="AD163" i="4"/>
  <c r="AC163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AK162" i="4"/>
  <c r="AJ162" i="4"/>
  <c r="AI162" i="4"/>
  <c r="AH162" i="4"/>
  <c r="AG162" i="4"/>
  <c r="AF162" i="4"/>
  <c r="AE162" i="4"/>
  <c r="AD162" i="4"/>
  <c r="AC162" i="4"/>
  <c r="AB162" i="4"/>
  <c r="AA162" i="4"/>
  <c r="Z162" i="4"/>
  <c r="Y162" i="4"/>
  <c r="X162" i="4"/>
  <c r="W162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AK161" i="4"/>
  <c r="AJ161" i="4"/>
  <c r="AI161" i="4"/>
  <c r="AH161" i="4"/>
  <c r="AG161" i="4"/>
  <c r="AF161" i="4"/>
  <c r="AE161" i="4"/>
  <c r="AD161" i="4"/>
  <c r="AC161" i="4"/>
  <c r="AB161" i="4"/>
  <c r="AA161" i="4"/>
  <c r="Z161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AK160" i="4"/>
  <c r="AJ160" i="4"/>
  <c r="AI160" i="4"/>
  <c r="AH160" i="4"/>
  <c r="AG160" i="4"/>
  <c r="AF160" i="4"/>
  <c r="AE160" i="4"/>
  <c r="AD160" i="4"/>
  <c r="AC160" i="4"/>
  <c r="AB160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AK159" i="4"/>
  <c r="AJ159" i="4"/>
  <c r="AI159" i="4"/>
  <c r="AH159" i="4"/>
  <c r="AG159" i="4"/>
  <c r="AF159" i="4"/>
  <c r="AE159" i="4"/>
  <c r="AD159" i="4"/>
  <c r="AC159" i="4"/>
  <c r="AB159" i="4"/>
  <c r="AA159" i="4"/>
  <c r="Z159" i="4"/>
  <c r="Y159" i="4"/>
  <c r="X159" i="4"/>
  <c r="W159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AK158" i="4"/>
  <c r="AJ158" i="4"/>
  <c r="AI158" i="4"/>
  <c r="AH158" i="4"/>
  <c r="AG158" i="4"/>
  <c r="AF158" i="4"/>
  <c r="AE158" i="4"/>
  <c r="AD158" i="4"/>
  <c r="AC158" i="4"/>
  <c r="AB158" i="4"/>
  <c r="AA158" i="4"/>
  <c r="Z158" i="4"/>
  <c r="Y158" i="4"/>
  <c r="X158" i="4"/>
  <c r="W158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AK157" i="4"/>
  <c r="AJ157" i="4"/>
  <c r="AI157" i="4"/>
  <c r="AH157" i="4"/>
  <c r="AG157" i="4"/>
  <c r="AF157" i="4"/>
  <c r="AE157" i="4"/>
  <c r="AD157" i="4"/>
  <c r="AC157" i="4"/>
  <c r="AB157" i="4"/>
  <c r="AA157" i="4"/>
  <c r="Z157" i="4"/>
  <c r="Y157" i="4"/>
  <c r="X157" i="4"/>
  <c r="W157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AK155" i="4"/>
  <c r="AJ155" i="4"/>
  <c r="AI155" i="4"/>
  <c r="AH155" i="4"/>
  <c r="AG155" i="4"/>
  <c r="AF155" i="4"/>
  <c r="AE155" i="4"/>
  <c r="AD155" i="4"/>
  <c r="AC155" i="4"/>
  <c r="AB155" i="4"/>
  <c r="AA155" i="4"/>
  <c r="Z155" i="4"/>
  <c r="Y155" i="4"/>
  <c r="X155" i="4"/>
  <c r="W155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AK154" i="4"/>
  <c r="AJ154" i="4"/>
  <c r="AI154" i="4"/>
  <c r="AH154" i="4"/>
  <c r="AG154" i="4"/>
  <c r="AF154" i="4"/>
  <c r="AE154" i="4"/>
  <c r="AD154" i="4"/>
  <c r="AC154" i="4"/>
  <c r="AB154" i="4"/>
  <c r="AA154" i="4"/>
  <c r="Z154" i="4"/>
  <c r="Y154" i="4"/>
  <c r="X154" i="4"/>
  <c r="W154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AK153" i="4"/>
  <c r="AJ153" i="4"/>
  <c r="AI153" i="4"/>
  <c r="AH153" i="4"/>
  <c r="AG153" i="4"/>
  <c r="AF153" i="4"/>
  <c r="AE153" i="4"/>
  <c r="AD153" i="4"/>
  <c r="AC153" i="4"/>
  <c r="AB153" i="4"/>
  <c r="AA153" i="4"/>
  <c r="Z153" i="4"/>
  <c r="Y153" i="4"/>
  <c r="X153" i="4"/>
  <c r="W153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AK151" i="4"/>
  <c r="AJ151" i="4"/>
  <c r="AI151" i="4"/>
  <c r="AH151" i="4"/>
  <c r="AG151" i="4"/>
  <c r="AF151" i="4"/>
  <c r="AE151" i="4"/>
  <c r="AD151" i="4"/>
  <c r="AC151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AK150" i="4"/>
  <c r="AJ150" i="4"/>
  <c r="AI150" i="4"/>
  <c r="AH150" i="4"/>
  <c r="AG150" i="4"/>
  <c r="AF150" i="4"/>
  <c r="AE150" i="4"/>
  <c r="AD150" i="4"/>
  <c r="AC150" i="4"/>
  <c r="AB150" i="4"/>
  <c r="AA150" i="4"/>
  <c r="Z150" i="4"/>
  <c r="Y150" i="4"/>
  <c r="X150" i="4"/>
  <c r="W150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AK149" i="4"/>
  <c r="AJ149" i="4"/>
  <c r="AI149" i="4"/>
  <c r="AH149" i="4"/>
  <c r="AG149" i="4"/>
  <c r="AF149" i="4"/>
  <c r="AE149" i="4"/>
  <c r="AD149" i="4"/>
  <c r="AC149" i="4"/>
  <c r="AB149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AK148" i="4"/>
  <c r="AJ148" i="4"/>
  <c r="AI148" i="4"/>
  <c r="AH148" i="4"/>
  <c r="AG148" i="4"/>
  <c r="AF148" i="4"/>
  <c r="AE148" i="4"/>
  <c r="AD148" i="4"/>
  <c r="AC148" i="4"/>
  <c r="AB148" i="4"/>
  <c r="AA148" i="4"/>
  <c r="Z148" i="4"/>
  <c r="Y148" i="4"/>
  <c r="X148" i="4"/>
  <c r="W148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DC41" i="4"/>
  <c r="DB41" i="4"/>
  <c r="DA41" i="4"/>
  <c r="CZ41" i="4"/>
  <c r="CY41" i="4"/>
  <c r="CM41" i="4"/>
  <c r="CL41" i="4"/>
  <c r="CK41" i="4"/>
  <c r="CJ41" i="4"/>
  <c r="CI41" i="4"/>
  <c r="CH41" i="4"/>
  <c r="CG41" i="4"/>
  <c r="CF41" i="4"/>
  <c r="CE41" i="4"/>
  <c r="CD41" i="4"/>
  <c r="BL41" i="4"/>
  <c r="BK41" i="4"/>
  <c r="BJ41" i="4"/>
  <c r="BI41" i="4"/>
  <c r="BH41" i="4"/>
  <c r="BG41" i="4"/>
  <c r="BF41" i="4"/>
  <c r="BE41" i="4"/>
  <c r="BD41" i="4"/>
  <c r="BM41" i="4" s="1"/>
  <c r="AZ41" i="4"/>
  <c r="DC40" i="4"/>
  <c r="DB40" i="4"/>
  <c r="DA40" i="4"/>
  <c r="CZ40" i="4"/>
  <c r="CY40" i="4"/>
  <c r="CM40" i="4"/>
  <c r="CL40" i="4"/>
  <c r="CK40" i="4"/>
  <c r="CJ40" i="4"/>
  <c r="CI40" i="4"/>
  <c r="CH40" i="4"/>
  <c r="CG40" i="4"/>
  <c r="CF40" i="4"/>
  <c r="CE40" i="4"/>
  <c r="CD40" i="4"/>
  <c r="BL40" i="4"/>
  <c r="BK40" i="4"/>
  <c r="BJ40" i="4"/>
  <c r="BI40" i="4"/>
  <c r="BH40" i="4"/>
  <c r="BG40" i="4"/>
  <c r="BF40" i="4"/>
  <c r="BE40" i="4"/>
  <c r="BD40" i="4"/>
  <c r="BM40" i="4" s="1"/>
  <c r="AZ40" i="4"/>
  <c r="DC39" i="4"/>
  <c r="DB39" i="4"/>
  <c r="DA39" i="4"/>
  <c r="CZ39" i="4"/>
  <c r="CY39" i="4"/>
  <c r="CM39" i="4"/>
  <c r="CL39" i="4"/>
  <c r="CK39" i="4"/>
  <c r="CJ39" i="4"/>
  <c r="CI39" i="4"/>
  <c r="CH39" i="4"/>
  <c r="CG39" i="4"/>
  <c r="CF39" i="4"/>
  <c r="CE39" i="4"/>
  <c r="CD39" i="4"/>
  <c r="BL39" i="4"/>
  <c r="BK39" i="4"/>
  <c r="BJ39" i="4"/>
  <c r="BI39" i="4"/>
  <c r="BH39" i="4"/>
  <c r="BG39" i="4"/>
  <c r="BF39" i="4"/>
  <c r="BE39" i="4"/>
  <c r="BD39" i="4"/>
  <c r="BM39" i="4" s="1"/>
  <c r="AZ39" i="4"/>
  <c r="DC38" i="4"/>
  <c r="DB38" i="4"/>
  <c r="DA38" i="4"/>
  <c r="CZ38" i="4"/>
  <c r="CY38" i="4"/>
  <c r="CM38" i="4"/>
  <c r="CL38" i="4"/>
  <c r="CK38" i="4"/>
  <c r="CJ38" i="4"/>
  <c r="CI38" i="4"/>
  <c r="CH38" i="4"/>
  <c r="CG38" i="4"/>
  <c r="CF38" i="4"/>
  <c r="CE38" i="4"/>
  <c r="CD38" i="4"/>
  <c r="BL38" i="4"/>
  <c r="BK38" i="4"/>
  <c r="BJ38" i="4"/>
  <c r="BI38" i="4"/>
  <c r="BH38" i="4"/>
  <c r="BG38" i="4"/>
  <c r="BF38" i="4"/>
  <c r="BE38" i="4"/>
  <c r="BM38" i="4" s="1"/>
  <c r="BD38" i="4"/>
  <c r="AZ38" i="4"/>
  <c r="DC37" i="4"/>
  <c r="DB37" i="4"/>
  <c r="DA37" i="4"/>
  <c r="CZ37" i="4"/>
  <c r="CY37" i="4"/>
  <c r="CM37" i="4"/>
  <c r="CL37" i="4"/>
  <c r="CK37" i="4"/>
  <c r="CJ37" i="4"/>
  <c r="CI37" i="4"/>
  <c r="CH37" i="4"/>
  <c r="CG37" i="4"/>
  <c r="CF37" i="4"/>
  <c r="CE37" i="4"/>
  <c r="CD37" i="4"/>
  <c r="BL37" i="4"/>
  <c r="BK37" i="4"/>
  <c r="BJ37" i="4"/>
  <c r="BI37" i="4"/>
  <c r="BH37" i="4"/>
  <c r="BG37" i="4"/>
  <c r="BF37" i="4"/>
  <c r="BE37" i="4"/>
  <c r="BD37" i="4"/>
  <c r="BM37" i="4" s="1"/>
  <c r="AZ37" i="4"/>
  <c r="DC36" i="4"/>
  <c r="DB36" i="4"/>
  <c r="DA36" i="4"/>
  <c r="CZ36" i="4"/>
  <c r="CY36" i="4"/>
  <c r="CM36" i="4"/>
  <c r="CL36" i="4"/>
  <c r="CK36" i="4"/>
  <c r="CJ36" i="4"/>
  <c r="CI36" i="4"/>
  <c r="CH36" i="4"/>
  <c r="CG36" i="4"/>
  <c r="CF36" i="4"/>
  <c r="CE36" i="4"/>
  <c r="CD36" i="4"/>
  <c r="BL36" i="4"/>
  <c r="BK36" i="4"/>
  <c r="BJ36" i="4"/>
  <c r="BI36" i="4"/>
  <c r="BH36" i="4"/>
  <c r="BG36" i="4"/>
  <c r="BF36" i="4"/>
  <c r="BE36" i="4"/>
  <c r="BM36" i="4" s="1"/>
  <c r="BD36" i="4"/>
  <c r="AZ36" i="4"/>
  <c r="DC35" i="4"/>
  <c r="DB35" i="4"/>
  <c r="DA35" i="4"/>
  <c r="CZ35" i="4"/>
  <c r="CY35" i="4"/>
  <c r="CM35" i="4"/>
  <c r="CL35" i="4"/>
  <c r="CK35" i="4"/>
  <c r="CJ35" i="4"/>
  <c r="CI35" i="4"/>
  <c r="CH35" i="4"/>
  <c r="CG35" i="4"/>
  <c r="CF35" i="4"/>
  <c r="CE35" i="4"/>
  <c r="CD35" i="4"/>
  <c r="BL35" i="4"/>
  <c r="BK35" i="4"/>
  <c r="BJ35" i="4"/>
  <c r="BI35" i="4"/>
  <c r="BH35" i="4"/>
  <c r="BG35" i="4"/>
  <c r="BF35" i="4"/>
  <c r="BE35" i="4"/>
  <c r="BD35" i="4"/>
  <c r="BM35" i="4" s="1"/>
  <c r="AZ35" i="4"/>
  <c r="DC34" i="4"/>
  <c r="DB34" i="4"/>
  <c r="DA34" i="4"/>
  <c r="CZ34" i="4"/>
  <c r="CY34" i="4"/>
  <c r="CM34" i="4"/>
  <c r="CL34" i="4"/>
  <c r="CK34" i="4"/>
  <c r="CJ34" i="4"/>
  <c r="CI34" i="4"/>
  <c r="CH34" i="4"/>
  <c r="CG34" i="4"/>
  <c r="CF34" i="4"/>
  <c r="CE34" i="4"/>
  <c r="CD34" i="4"/>
  <c r="BL34" i="4"/>
  <c r="BK34" i="4"/>
  <c r="BJ34" i="4"/>
  <c r="BI34" i="4"/>
  <c r="BH34" i="4"/>
  <c r="BG34" i="4"/>
  <c r="BF34" i="4"/>
  <c r="BE34" i="4"/>
  <c r="BM34" i="4" s="1"/>
  <c r="BD34" i="4"/>
  <c r="AZ34" i="4"/>
  <c r="DC33" i="4"/>
  <c r="DB33" i="4"/>
  <c r="DA33" i="4"/>
  <c r="CZ33" i="4"/>
  <c r="CY33" i="4"/>
  <c r="CM33" i="4"/>
  <c r="CL33" i="4"/>
  <c r="CK33" i="4"/>
  <c r="CJ33" i="4"/>
  <c r="CI33" i="4"/>
  <c r="CH33" i="4"/>
  <c r="CG33" i="4"/>
  <c r="CF33" i="4"/>
  <c r="CE33" i="4"/>
  <c r="CD33" i="4"/>
  <c r="BL33" i="4"/>
  <c r="BK33" i="4"/>
  <c r="BJ33" i="4"/>
  <c r="BI33" i="4"/>
  <c r="BH33" i="4"/>
  <c r="BG33" i="4"/>
  <c r="BF33" i="4"/>
  <c r="BE33" i="4"/>
  <c r="BD33" i="4"/>
  <c r="BM33" i="4" s="1"/>
  <c r="AZ33" i="4"/>
  <c r="DC32" i="4"/>
  <c r="DB32" i="4"/>
  <c r="DA32" i="4"/>
  <c r="CZ32" i="4"/>
  <c r="CY32" i="4"/>
  <c r="CM32" i="4"/>
  <c r="CL32" i="4"/>
  <c r="CK32" i="4"/>
  <c r="CJ32" i="4"/>
  <c r="CI32" i="4"/>
  <c r="CH32" i="4"/>
  <c r="CG32" i="4"/>
  <c r="CF32" i="4"/>
  <c r="CE32" i="4"/>
  <c r="CD32" i="4"/>
  <c r="BL32" i="4"/>
  <c r="BK32" i="4"/>
  <c r="BJ32" i="4"/>
  <c r="BI32" i="4"/>
  <c r="BH32" i="4"/>
  <c r="BG32" i="4"/>
  <c r="BF32" i="4"/>
  <c r="BE32" i="4"/>
  <c r="BM32" i="4" s="1"/>
  <c r="BD32" i="4"/>
  <c r="AZ32" i="4"/>
  <c r="DC31" i="4"/>
  <c r="DB31" i="4"/>
  <c r="DA31" i="4"/>
  <c r="CZ31" i="4"/>
  <c r="CY31" i="4"/>
  <c r="CM31" i="4"/>
  <c r="CL31" i="4"/>
  <c r="CK31" i="4"/>
  <c r="CJ31" i="4"/>
  <c r="CI31" i="4"/>
  <c r="CH31" i="4"/>
  <c r="CG31" i="4"/>
  <c r="CF31" i="4"/>
  <c r="CE31" i="4"/>
  <c r="CD31" i="4"/>
  <c r="BL31" i="4"/>
  <c r="BK31" i="4"/>
  <c r="BJ31" i="4"/>
  <c r="BI31" i="4"/>
  <c r="BH31" i="4"/>
  <c r="BG31" i="4"/>
  <c r="BF31" i="4"/>
  <c r="BE31" i="4"/>
  <c r="BD31" i="4"/>
  <c r="AZ31" i="4"/>
  <c r="DC30" i="4"/>
  <c r="DB30" i="4"/>
  <c r="DA30" i="4"/>
  <c r="CZ30" i="4"/>
  <c r="CY30" i="4"/>
  <c r="CM30" i="4"/>
  <c r="CL30" i="4"/>
  <c r="CK30" i="4"/>
  <c r="CJ30" i="4"/>
  <c r="CI30" i="4"/>
  <c r="CH30" i="4"/>
  <c r="CG30" i="4"/>
  <c r="CF30" i="4"/>
  <c r="CE30" i="4"/>
  <c r="CD30" i="4"/>
  <c r="BL30" i="4"/>
  <c r="BK30" i="4"/>
  <c r="BJ30" i="4"/>
  <c r="BI30" i="4"/>
  <c r="BH30" i="4"/>
  <c r="BG30" i="4"/>
  <c r="BF30" i="4"/>
  <c r="BE30" i="4"/>
  <c r="BM30" i="4" s="1"/>
  <c r="BD30" i="4"/>
  <c r="AZ30" i="4"/>
  <c r="DC29" i="4"/>
  <c r="DB29" i="4"/>
  <c r="DA29" i="4"/>
  <c r="CZ29" i="4"/>
  <c r="CY29" i="4"/>
  <c r="CM29" i="4"/>
  <c r="CL29" i="4"/>
  <c r="CK29" i="4"/>
  <c r="CJ29" i="4"/>
  <c r="CI29" i="4"/>
  <c r="CH29" i="4"/>
  <c r="CG29" i="4"/>
  <c r="CF29" i="4"/>
  <c r="CE29" i="4"/>
  <c r="CD29" i="4"/>
  <c r="BL29" i="4"/>
  <c r="BK29" i="4"/>
  <c r="BJ29" i="4"/>
  <c r="BI29" i="4"/>
  <c r="BH29" i="4"/>
  <c r="BG29" i="4"/>
  <c r="BF29" i="4"/>
  <c r="BE29" i="4"/>
  <c r="BD29" i="4"/>
  <c r="AZ29" i="4"/>
  <c r="DC28" i="4"/>
  <c r="DB28" i="4"/>
  <c r="DA28" i="4"/>
  <c r="CZ28" i="4"/>
  <c r="CY28" i="4"/>
  <c r="CM28" i="4"/>
  <c r="CL28" i="4"/>
  <c r="CK28" i="4"/>
  <c r="CJ28" i="4"/>
  <c r="CI28" i="4"/>
  <c r="CH28" i="4"/>
  <c r="CG28" i="4"/>
  <c r="CF28" i="4"/>
  <c r="CE28" i="4"/>
  <c r="CD28" i="4"/>
  <c r="BL28" i="4"/>
  <c r="BK28" i="4"/>
  <c r="BJ28" i="4"/>
  <c r="BI28" i="4"/>
  <c r="BH28" i="4"/>
  <c r="BG28" i="4"/>
  <c r="BF28" i="4"/>
  <c r="BE28" i="4"/>
  <c r="BM28" i="4" s="1"/>
  <c r="BD28" i="4"/>
  <c r="AZ28" i="4"/>
  <c r="DC27" i="4"/>
  <c r="DB27" i="4"/>
  <c r="DA27" i="4"/>
  <c r="CZ27" i="4"/>
  <c r="CY27" i="4"/>
  <c r="CM27" i="4"/>
  <c r="CL27" i="4"/>
  <c r="CK27" i="4"/>
  <c r="CJ27" i="4"/>
  <c r="CI27" i="4"/>
  <c r="CH27" i="4"/>
  <c r="CG27" i="4"/>
  <c r="CF27" i="4"/>
  <c r="CE27" i="4"/>
  <c r="CD27" i="4"/>
  <c r="BL27" i="4"/>
  <c r="BK27" i="4"/>
  <c r="BJ27" i="4"/>
  <c r="BI27" i="4"/>
  <c r="BH27" i="4"/>
  <c r="BG27" i="4"/>
  <c r="BF27" i="4"/>
  <c r="BE27" i="4"/>
  <c r="BD27" i="4"/>
  <c r="AZ27" i="4"/>
  <c r="DC26" i="4"/>
  <c r="DB26" i="4"/>
  <c r="DA26" i="4"/>
  <c r="CZ26" i="4"/>
  <c r="CY26" i="4"/>
  <c r="CM26" i="4"/>
  <c r="CL26" i="4"/>
  <c r="CK26" i="4"/>
  <c r="CJ26" i="4"/>
  <c r="CI26" i="4"/>
  <c r="CH26" i="4"/>
  <c r="CG26" i="4"/>
  <c r="CF26" i="4"/>
  <c r="CE26" i="4"/>
  <c r="CD26" i="4"/>
  <c r="BL26" i="4"/>
  <c r="BK26" i="4"/>
  <c r="BJ26" i="4"/>
  <c r="BI26" i="4"/>
  <c r="BH26" i="4"/>
  <c r="BG26" i="4"/>
  <c r="BF26" i="4"/>
  <c r="BE26" i="4"/>
  <c r="BM26" i="4" s="1"/>
  <c r="BD26" i="4"/>
  <c r="AZ26" i="4"/>
  <c r="DC25" i="4"/>
  <c r="DB25" i="4"/>
  <c r="DA25" i="4"/>
  <c r="CZ25" i="4"/>
  <c r="CY25" i="4"/>
  <c r="CM25" i="4"/>
  <c r="CL25" i="4"/>
  <c r="CK25" i="4"/>
  <c r="CJ25" i="4"/>
  <c r="CI25" i="4"/>
  <c r="CH25" i="4"/>
  <c r="CG25" i="4"/>
  <c r="CF25" i="4"/>
  <c r="CE25" i="4"/>
  <c r="CD25" i="4"/>
  <c r="BL25" i="4"/>
  <c r="BK25" i="4"/>
  <c r="BJ25" i="4"/>
  <c r="BI25" i="4"/>
  <c r="BH25" i="4"/>
  <c r="BG25" i="4"/>
  <c r="BF25" i="4"/>
  <c r="BE25" i="4"/>
  <c r="BD25" i="4"/>
  <c r="BM25" i="4" s="1"/>
  <c r="AZ25" i="4"/>
  <c r="DC24" i="4"/>
  <c r="DB24" i="4"/>
  <c r="DA24" i="4"/>
  <c r="CZ24" i="4"/>
  <c r="CY24" i="4"/>
  <c r="CM24" i="4"/>
  <c r="CL24" i="4"/>
  <c r="CK24" i="4"/>
  <c r="CJ24" i="4"/>
  <c r="CI24" i="4"/>
  <c r="CH24" i="4"/>
  <c r="CG24" i="4"/>
  <c r="CF24" i="4"/>
  <c r="CE24" i="4"/>
  <c r="CD24" i="4"/>
  <c r="BL24" i="4"/>
  <c r="BK24" i="4"/>
  <c r="BJ24" i="4"/>
  <c r="BI24" i="4"/>
  <c r="BH24" i="4"/>
  <c r="BG24" i="4"/>
  <c r="BF24" i="4"/>
  <c r="BE24" i="4"/>
  <c r="BD24" i="4"/>
  <c r="BM24" i="4" s="1"/>
  <c r="AZ24" i="4"/>
  <c r="DC23" i="4"/>
  <c r="DB23" i="4"/>
  <c r="DA23" i="4"/>
  <c r="CZ23" i="4"/>
  <c r="CY23" i="4"/>
  <c r="CM23" i="4"/>
  <c r="CL23" i="4"/>
  <c r="CK23" i="4"/>
  <c r="CJ23" i="4"/>
  <c r="CI23" i="4"/>
  <c r="CH23" i="4"/>
  <c r="CG23" i="4"/>
  <c r="CF23" i="4"/>
  <c r="CE23" i="4"/>
  <c r="CD23" i="4"/>
  <c r="BL23" i="4"/>
  <c r="BK23" i="4"/>
  <c r="BJ23" i="4"/>
  <c r="BI23" i="4"/>
  <c r="BH23" i="4"/>
  <c r="BG23" i="4"/>
  <c r="BF23" i="4"/>
  <c r="BE23" i="4"/>
  <c r="BD23" i="4"/>
  <c r="BM23" i="4" s="1"/>
  <c r="AZ23" i="4"/>
  <c r="DC22" i="4"/>
  <c r="DB22" i="4"/>
  <c r="DA22" i="4"/>
  <c r="CZ22" i="4"/>
  <c r="CY22" i="4"/>
  <c r="CM22" i="4"/>
  <c r="CL22" i="4"/>
  <c r="CK22" i="4"/>
  <c r="CJ22" i="4"/>
  <c r="CI22" i="4"/>
  <c r="CH22" i="4"/>
  <c r="CG22" i="4"/>
  <c r="CF22" i="4"/>
  <c r="CE22" i="4"/>
  <c r="CD22" i="4"/>
  <c r="BL22" i="4"/>
  <c r="BK22" i="4"/>
  <c r="BJ22" i="4"/>
  <c r="BI22" i="4"/>
  <c r="BH22" i="4"/>
  <c r="BG22" i="4"/>
  <c r="BF22" i="4"/>
  <c r="BE22" i="4"/>
  <c r="BM22" i="4" s="1"/>
  <c r="BD22" i="4"/>
  <c r="AZ22" i="4"/>
  <c r="DC21" i="4"/>
  <c r="DB21" i="4"/>
  <c r="DA21" i="4"/>
  <c r="CZ21" i="4"/>
  <c r="CY21" i="4"/>
  <c r="CM21" i="4"/>
  <c r="CL21" i="4"/>
  <c r="CK21" i="4"/>
  <c r="CJ21" i="4"/>
  <c r="CI21" i="4"/>
  <c r="CH21" i="4"/>
  <c r="CG21" i="4"/>
  <c r="CF21" i="4"/>
  <c r="CE21" i="4"/>
  <c r="CD21" i="4"/>
  <c r="BL21" i="4"/>
  <c r="BK21" i="4"/>
  <c r="BJ21" i="4"/>
  <c r="BI21" i="4"/>
  <c r="BH21" i="4"/>
  <c r="BG21" i="4"/>
  <c r="BF21" i="4"/>
  <c r="BE21" i="4"/>
  <c r="BD21" i="4"/>
  <c r="BM21" i="4" s="1"/>
  <c r="AZ21" i="4"/>
  <c r="DC20" i="4"/>
  <c r="DB20" i="4"/>
  <c r="DA20" i="4"/>
  <c r="CZ20" i="4"/>
  <c r="CY20" i="4"/>
  <c r="CM20" i="4"/>
  <c r="CL20" i="4"/>
  <c r="CK20" i="4"/>
  <c r="CJ20" i="4"/>
  <c r="CI20" i="4"/>
  <c r="CH20" i="4"/>
  <c r="CG20" i="4"/>
  <c r="CF20" i="4"/>
  <c r="CE20" i="4"/>
  <c r="CD20" i="4"/>
  <c r="BL20" i="4"/>
  <c r="BK20" i="4"/>
  <c r="BJ20" i="4"/>
  <c r="BI20" i="4"/>
  <c r="BH20" i="4"/>
  <c r="BG20" i="4"/>
  <c r="BF20" i="4"/>
  <c r="BE20" i="4"/>
  <c r="BM20" i="4" s="1"/>
  <c r="BD20" i="4"/>
  <c r="AZ20" i="4"/>
  <c r="DC19" i="4"/>
  <c r="DB19" i="4"/>
  <c r="DA19" i="4"/>
  <c r="CZ19" i="4"/>
  <c r="CY19" i="4"/>
  <c r="CM19" i="4"/>
  <c r="CL19" i="4"/>
  <c r="CK19" i="4"/>
  <c r="CJ19" i="4"/>
  <c r="CI19" i="4"/>
  <c r="CH19" i="4"/>
  <c r="CG19" i="4"/>
  <c r="CF19" i="4"/>
  <c r="CE19" i="4"/>
  <c r="CD19" i="4"/>
  <c r="BL19" i="4"/>
  <c r="BK19" i="4"/>
  <c r="BJ19" i="4"/>
  <c r="BI19" i="4"/>
  <c r="BH19" i="4"/>
  <c r="BG19" i="4"/>
  <c r="BF19" i="4"/>
  <c r="BE19" i="4"/>
  <c r="BD19" i="4"/>
  <c r="AZ19" i="4"/>
  <c r="DC18" i="4"/>
  <c r="DB18" i="4"/>
  <c r="DA18" i="4"/>
  <c r="CZ18" i="4"/>
  <c r="CY18" i="4"/>
  <c r="CM18" i="4"/>
  <c r="CL18" i="4"/>
  <c r="CK18" i="4"/>
  <c r="CJ18" i="4"/>
  <c r="CI18" i="4"/>
  <c r="CH18" i="4"/>
  <c r="CG18" i="4"/>
  <c r="CF18" i="4"/>
  <c r="CE18" i="4"/>
  <c r="CD18" i="4"/>
  <c r="BL18" i="4"/>
  <c r="BK18" i="4"/>
  <c r="BJ18" i="4"/>
  <c r="BI18" i="4"/>
  <c r="BH18" i="4"/>
  <c r="BG18" i="4"/>
  <c r="BF18" i="4"/>
  <c r="BE18" i="4"/>
  <c r="BM18" i="4" s="1"/>
  <c r="BD18" i="4"/>
  <c r="AZ18" i="4"/>
  <c r="DC17" i="4"/>
  <c r="DB17" i="4"/>
  <c r="DA17" i="4"/>
  <c r="CZ17" i="4"/>
  <c r="CY17" i="4"/>
  <c r="CM17" i="4"/>
  <c r="CL17" i="4"/>
  <c r="CK17" i="4"/>
  <c r="CJ17" i="4"/>
  <c r="CI17" i="4"/>
  <c r="CH17" i="4"/>
  <c r="CG17" i="4"/>
  <c r="CF17" i="4"/>
  <c r="CE17" i="4"/>
  <c r="CD17" i="4"/>
  <c r="BL17" i="4"/>
  <c r="BK17" i="4"/>
  <c r="BJ17" i="4"/>
  <c r="BI17" i="4"/>
  <c r="BH17" i="4"/>
  <c r="BG17" i="4"/>
  <c r="BF17" i="4"/>
  <c r="BE17" i="4"/>
  <c r="BD17" i="4"/>
  <c r="BM17" i="4" s="1"/>
  <c r="AZ17" i="4"/>
  <c r="DC16" i="4"/>
  <c r="DB16" i="4"/>
  <c r="DA16" i="4"/>
  <c r="CZ16" i="4"/>
  <c r="CY16" i="4"/>
  <c r="CM16" i="4"/>
  <c r="CL16" i="4"/>
  <c r="CK16" i="4"/>
  <c r="CJ16" i="4"/>
  <c r="CI16" i="4"/>
  <c r="CH16" i="4"/>
  <c r="CG16" i="4"/>
  <c r="CF16" i="4"/>
  <c r="CE16" i="4"/>
  <c r="CD16" i="4"/>
  <c r="BL16" i="4"/>
  <c r="BK16" i="4"/>
  <c r="BJ16" i="4"/>
  <c r="BI16" i="4"/>
  <c r="BH16" i="4"/>
  <c r="BG16" i="4"/>
  <c r="BF16" i="4"/>
  <c r="BE16" i="4"/>
  <c r="BD16" i="4"/>
  <c r="BM16" i="4" s="1"/>
  <c r="AZ16" i="4"/>
  <c r="DC15" i="4"/>
  <c r="DB15" i="4"/>
  <c r="DA15" i="4"/>
  <c r="CZ15" i="4"/>
  <c r="CY15" i="4"/>
  <c r="CM15" i="4"/>
  <c r="CL15" i="4"/>
  <c r="CK15" i="4"/>
  <c r="CJ15" i="4"/>
  <c r="CI15" i="4"/>
  <c r="CH15" i="4"/>
  <c r="CG15" i="4"/>
  <c r="CF15" i="4"/>
  <c r="CE15" i="4"/>
  <c r="CD15" i="4"/>
  <c r="BL15" i="4"/>
  <c r="BK15" i="4"/>
  <c r="BJ15" i="4"/>
  <c r="BI15" i="4"/>
  <c r="BH15" i="4"/>
  <c r="BG15" i="4"/>
  <c r="BF15" i="4"/>
  <c r="BE15" i="4"/>
  <c r="BD15" i="4"/>
  <c r="BM15" i="4" s="1"/>
  <c r="AZ15" i="4"/>
  <c r="DC14" i="4"/>
  <c r="DB14" i="4"/>
  <c r="DA14" i="4"/>
  <c r="CZ14" i="4"/>
  <c r="CY14" i="4"/>
  <c r="CM14" i="4"/>
  <c r="CL14" i="4"/>
  <c r="CK14" i="4"/>
  <c r="CJ14" i="4"/>
  <c r="CI14" i="4"/>
  <c r="CH14" i="4"/>
  <c r="CG14" i="4"/>
  <c r="CF14" i="4"/>
  <c r="CE14" i="4"/>
  <c r="CD14" i="4"/>
  <c r="BL14" i="4"/>
  <c r="BK14" i="4"/>
  <c r="BJ14" i="4"/>
  <c r="BI14" i="4"/>
  <c r="BH14" i="4"/>
  <c r="BG14" i="4"/>
  <c r="BF14" i="4"/>
  <c r="BE14" i="4"/>
  <c r="BM14" i="4" s="1"/>
  <c r="BD14" i="4"/>
  <c r="AZ14" i="4"/>
  <c r="DC13" i="4"/>
  <c r="DB13" i="4"/>
  <c r="DA13" i="4"/>
  <c r="CZ13" i="4"/>
  <c r="CY13" i="4"/>
  <c r="CM13" i="4"/>
  <c r="CL13" i="4"/>
  <c r="CK13" i="4"/>
  <c r="CJ13" i="4"/>
  <c r="CI13" i="4"/>
  <c r="CH13" i="4"/>
  <c r="CG13" i="4"/>
  <c r="CF13" i="4"/>
  <c r="CE13" i="4"/>
  <c r="CD13" i="4"/>
  <c r="BL13" i="4"/>
  <c r="BK13" i="4"/>
  <c r="BJ13" i="4"/>
  <c r="BI13" i="4"/>
  <c r="BH13" i="4"/>
  <c r="BG13" i="4"/>
  <c r="BF13" i="4"/>
  <c r="BE13" i="4"/>
  <c r="BD13" i="4"/>
  <c r="BM13" i="4" s="1"/>
  <c r="AZ13" i="4"/>
  <c r="DC12" i="4"/>
  <c r="DB12" i="4"/>
  <c r="DA12" i="4"/>
  <c r="CZ12" i="4"/>
  <c r="CY12" i="4"/>
  <c r="CM12" i="4"/>
  <c r="CL12" i="4"/>
  <c r="CK12" i="4"/>
  <c r="CJ12" i="4"/>
  <c r="CI12" i="4"/>
  <c r="CH12" i="4"/>
  <c r="CG12" i="4"/>
  <c r="CF12" i="4"/>
  <c r="CE12" i="4"/>
  <c r="CD12" i="4"/>
  <c r="BL12" i="4"/>
  <c r="BK12" i="4"/>
  <c r="BJ12" i="4"/>
  <c r="BI12" i="4"/>
  <c r="BH12" i="4"/>
  <c r="BG12" i="4"/>
  <c r="BF12" i="4"/>
  <c r="BE12" i="4"/>
  <c r="BM12" i="4" s="1"/>
  <c r="BD12" i="4"/>
  <c r="AZ12" i="4"/>
  <c r="DC11" i="4"/>
  <c r="DB11" i="4"/>
  <c r="DA11" i="4"/>
  <c r="CZ11" i="4"/>
  <c r="CY11" i="4"/>
  <c r="CM11" i="4"/>
  <c r="CL11" i="4"/>
  <c r="CK11" i="4"/>
  <c r="CJ11" i="4"/>
  <c r="CI11" i="4"/>
  <c r="CH11" i="4"/>
  <c r="CG11" i="4"/>
  <c r="CF11" i="4"/>
  <c r="CE11" i="4"/>
  <c r="CD11" i="4"/>
  <c r="BL11" i="4"/>
  <c r="BK11" i="4"/>
  <c r="BJ11" i="4"/>
  <c r="BI11" i="4"/>
  <c r="BH11" i="4"/>
  <c r="BG11" i="4"/>
  <c r="BF11" i="4"/>
  <c r="BE11" i="4"/>
  <c r="BD11" i="4"/>
  <c r="AZ11" i="4"/>
  <c r="DC10" i="4"/>
  <c r="DB10" i="4"/>
  <c r="DA10" i="4"/>
  <c r="CZ10" i="4"/>
  <c r="CY10" i="4"/>
  <c r="CM10" i="4"/>
  <c r="CL10" i="4"/>
  <c r="CK10" i="4"/>
  <c r="CJ10" i="4"/>
  <c r="CI10" i="4"/>
  <c r="CH10" i="4"/>
  <c r="CG10" i="4"/>
  <c r="CF10" i="4"/>
  <c r="CE10" i="4"/>
  <c r="CD10" i="4"/>
  <c r="BL10" i="4"/>
  <c r="BK10" i="4"/>
  <c r="BJ10" i="4"/>
  <c r="BI10" i="4"/>
  <c r="BH10" i="4"/>
  <c r="BG10" i="4"/>
  <c r="BF10" i="4"/>
  <c r="BE10" i="4"/>
  <c r="BM10" i="4" s="1"/>
  <c r="BD10" i="4"/>
  <c r="AZ10" i="4"/>
  <c r="DC9" i="4"/>
  <c r="DB9" i="4"/>
  <c r="DA9" i="4"/>
  <c r="CZ9" i="4"/>
  <c r="CY9" i="4"/>
  <c r="CM9" i="4"/>
  <c r="CL9" i="4"/>
  <c r="CK9" i="4"/>
  <c r="CJ9" i="4"/>
  <c r="CI9" i="4"/>
  <c r="CH9" i="4"/>
  <c r="CG9" i="4"/>
  <c r="CF9" i="4"/>
  <c r="CE9" i="4"/>
  <c r="CD9" i="4"/>
  <c r="BL9" i="4"/>
  <c r="BK9" i="4"/>
  <c r="BJ9" i="4"/>
  <c r="BI9" i="4"/>
  <c r="BH9" i="4"/>
  <c r="BG9" i="4"/>
  <c r="BF9" i="4"/>
  <c r="BE9" i="4"/>
  <c r="BD9" i="4"/>
  <c r="BM9" i="4" s="1"/>
  <c r="AZ9" i="4"/>
  <c r="DC8" i="4"/>
  <c r="DB8" i="4"/>
  <c r="DA8" i="4"/>
  <c r="CZ8" i="4"/>
  <c r="CY8" i="4"/>
  <c r="CM8" i="4"/>
  <c r="CL8" i="4"/>
  <c r="CK8" i="4"/>
  <c r="CJ8" i="4"/>
  <c r="CI8" i="4"/>
  <c r="CH8" i="4"/>
  <c r="CG8" i="4"/>
  <c r="CF8" i="4"/>
  <c r="CE8" i="4"/>
  <c r="CD8" i="4"/>
  <c r="BL8" i="4"/>
  <c r="BK8" i="4"/>
  <c r="BJ8" i="4"/>
  <c r="BI8" i="4"/>
  <c r="BH8" i="4"/>
  <c r="BG8" i="4"/>
  <c r="BF8" i="4"/>
  <c r="BE8" i="4"/>
  <c r="BD8" i="4"/>
  <c r="BM8" i="4" s="1"/>
  <c r="AZ8" i="4"/>
  <c r="L42" i="3"/>
  <c r="H42" i="3"/>
  <c r="E42" i="3"/>
  <c r="D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42" i="3" s="1"/>
  <c r="C21" i="2" a="1"/>
  <c r="C21" i="2" s="1"/>
  <c r="C22" i="2"/>
  <c r="D22" i="2"/>
  <c r="C15" i="2" a="1"/>
  <c r="D15" i="2" s="1"/>
  <c r="C15" i="2"/>
  <c r="C16" i="2"/>
  <c r="D16" i="2"/>
  <c r="C18" i="2" s="1" a="1"/>
  <c r="C18" i="2" s="1"/>
  <c r="C12" i="2" a="1"/>
  <c r="G5" i="2"/>
  <c r="G4" i="2"/>
  <c r="D101" i="1" a="1"/>
  <c r="D101" i="1" s="1"/>
  <c r="D96" i="1" a="1"/>
  <c r="D96" i="1" s="1"/>
  <c r="E106" i="1" l="1"/>
  <c r="D106" i="1"/>
  <c r="F106" i="1"/>
  <c r="D107" i="1"/>
  <c r="E107" i="1"/>
  <c r="F107" i="1"/>
  <c r="D108" i="1"/>
  <c r="E108" i="1"/>
  <c r="F108" i="1"/>
  <c r="D81" i="1"/>
  <c r="E81" i="1"/>
  <c r="D82" i="1"/>
  <c r="E82" i="1"/>
  <c r="D17" i="1"/>
  <c r="F17" i="1"/>
  <c r="D18" i="1"/>
  <c r="E18" i="1"/>
  <c r="F18" i="1"/>
  <c r="E17" i="1"/>
  <c r="E46" i="2"/>
  <c r="G45" i="2"/>
  <c r="D45" i="2"/>
  <c r="G46" i="2"/>
  <c r="C34" i="2"/>
  <c r="J187" i="4"/>
  <c r="J226" i="4" s="1"/>
  <c r="X187" i="4"/>
  <c r="X226" i="4" s="1"/>
  <c r="E188" i="4"/>
  <c r="E227" i="4" s="1"/>
  <c r="R188" i="4"/>
  <c r="R227" i="4" s="1"/>
  <c r="AG188" i="4"/>
  <c r="AG227" i="4" s="1"/>
  <c r="N189" i="4"/>
  <c r="N228" i="4" s="1"/>
  <c r="AA189" i="4"/>
  <c r="AA228" i="4" s="1"/>
  <c r="H190" i="4"/>
  <c r="H229" i="4" s="1"/>
  <c r="V190" i="4"/>
  <c r="V229" i="4" s="1"/>
  <c r="AJ190" i="4"/>
  <c r="AJ229" i="4" s="1"/>
  <c r="P191" i="4"/>
  <c r="P230" i="4" s="1"/>
  <c r="W191" i="4"/>
  <c r="W230" i="4" s="1"/>
  <c r="AE191" i="4"/>
  <c r="AE230" i="4" s="1"/>
  <c r="D192" i="4"/>
  <c r="D231" i="4" s="1"/>
  <c r="R192" i="4"/>
  <c r="R231" i="4" s="1"/>
  <c r="Y192" i="4"/>
  <c r="Y231" i="4" s="1"/>
  <c r="AF192" i="4"/>
  <c r="AF231" i="4" s="1"/>
  <c r="F193" i="4"/>
  <c r="F232" i="4" s="1"/>
  <c r="L193" i="4"/>
  <c r="L232" i="4" s="1"/>
  <c r="S193" i="4"/>
  <c r="S232" i="4" s="1"/>
  <c r="AA193" i="4"/>
  <c r="AA232" i="4" s="1"/>
  <c r="AH193" i="4"/>
  <c r="AH232" i="4" s="1"/>
  <c r="F194" i="4"/>
  <c r="F233" i="4" s="1"/>
  <c r="N194" i="4"/>
  <c r="N233" i="4" s="1"/>
  <c r="U194" i="4"/>
  <c r="U233" i="4" s="1"/>
  <c r="AB194" i="4"/>
  <c r="AB233" i="4" s="1"/>
  <c r="AJ194" i="4"/>
  <c r="AJ233" i="4" s="1"/>
  <c r="H195" i="4"/>
  <c r="H234" i="4" s="1"/>
  <c r="O195" i="4"/>
  <c r="O234" i="4" s="1"/>
  <c r="W195" i="4"/>
  <c r="W234" i="4" s="1"/>
  <c r="AD195" i="4"/>
  <c r="AD234" i="4" s="1"/>
  <c r="AJ195" i="4"/>
  <c r="AJ234" i="4" s="1"/>
  <c r="J196" i="4"/>
  <c r="J235" i="4" s="1"/>
  <c r="Q196" i="4"/>
  <c r="Q235" i="4" s="1"/>
  <c r="AF196" i="4"/>
  <c r="AF235" i="4" s="1"/>
  <c r="D197" i="4"/>
  <c r="D236" i="4" s="1"/>
  <c r="K197" i="4"/>
  <c r="K236" i="4" s="1"/>
  <c r="S197" i="4"/>
  <c r="S236" i="4" s="1"/>
  <c r="Z197" i="4"/>
  <c r="Z236" i="4" s="1"/>
  <c r="AF197" i="4"/>
  <c r="AF236" i="4" s="1"/>
  <c r="F198" i="4"/>
  <c r="F237" i="4" s="1"/>
  <c r="M198" i="4"/>
  <c r="M237" i="4" s="1"/>
  <c r="T198" i="4"/>
  <c r="T237" i="4" s="1"/>
  <c r="AB198" i="4"/>
  <c r="AB237" i="4" s="1"/>
  <c r="AH198" i="4"/>
  <c r="AH237" i="4" s="1"/>
  <c r="G199" i="4"/>
  <c r="G238" i="4" s="1"/>
  <c r="O199" i="4"/>
  <c r="O238" i="4" s="1"/>
  <c r="V199" i="4"/>
  <c r="V238" i="4" s="1"/>
  <c r="AB199" i="4"/>
  <c r="AB238" i="4" s="1"/>
  <c r="AJ199" i="4"/>
  <c r="AJ238" i="4" s="1"/>
  <c r="I200" i="4"/>
  <c r="I239" i="4" s="1"/>
  <c r="P200" i="4"/>
  <c r="P239" i="4" s="1"/>
  <c r="X200" i="4"/>
  <c r="X239" i="4" s="1"/>
  <c r="AD200" i="4"/>
  <c r="AD239" i="4" s="1"/>
  <c r="AK200" i="4"/>
  <c r="AK239" i="4" s="1"/>
  <c r="K201" i="4"/>
  <c r="K240" i="4" s="1"/>
  <c r="R201" i="4"/>
  <c r="R240" i="4" s="1"/>
  <c r="X201" i="4"/>
  <c r="X240" i="4" s="1"/>
  <c r="AF201" i="4"/>
  <c r="AF240" i="4" s="1"/>
  <c r="E202" i="4"/>
  <c r="E241" i="4" s="1"/>
  <c r="L202" i="4"/>
  <c r="L241" i="4" s="1"/>
  <c r="T202" i="4"/>
  <c r="T241" i="4" s="1"/>
  <c r="Z202" i="4"/>
  <c r="Z241" i="4" s="1"/>
  <c r="AG202" i="4"/>
  <c r="AG241" i="4" s="1"/>
  <c r="G203" i="4"/>
  <c r="G242" i="4" s="1"/>
  <c r="N203" i="4"/>
  <c r="N242" i="4" s="1"/>
  <c r="T203" i="4"/>
  <c r="T242" i="4" s="1"/>
  <c r="AB203" i="4"/>
  <c r="AB242" i="4" s="1"/>
  <c r="AI203" i="4"/>
  <c r="AI242" i="4" s="1"/>
  <c r="H204" i="4"/>
  <c r="H243" i="4" s="1"/>
  <c r="P204" i="4"/>
  <c r="P243" i="4" s="1"/>
  <c r="V204" i="4"/>
  <c r="V243" i="4" s="1"/>
  <c r="AC204" i="4"/>
  <c r="AC243" i="4" s="1"/>
  <c r="AK204" i="4"/>
  <c r="AK243" i="4" s="1"/>
  <c r="J205" i="4"/>
  <c r="J244" i="4" s="1"/>
  <c r="P205" i="4"/>
  <c r="P244" i="4" s="1"/>
  <c r="X205" i="4"/>
  <c r="X244" i="4" s="1"/>
  <c r="AE205" i="4"/>
  <c r="AE244" i="4" s="1"/>
  <c r="D206" i="4"/>
  <c r="D245" i="4" s="1"/>
  <c r="L206" i="4"/>
  <c r="L245" i="4" s="1"/>
  <c r="R206" i="4"/>
  <c r="R245" i="4" s="1"/>
  <c r="Y206" i="4"/>
  <c r="Y245" i="4" s="1"/>
  <c r="AG206" i="4"/>
  <c r="AG245" i="4" s="1"/>
  <c r="F207" i="4"/>
  <c r="F246" i="4" s="1"/>
  <c r="L207" i="4"/>
  <c r="L246" i="4" s="1"/>
  <c r="T207" i="4"/>
  <c r="T246" i="4" s="1"/>
  <c r="AA207" i="4"/>
  <c r="AA246" i="4" s="1"/>
  <c r="AH207" i="4"/>
  <c r="AH246" i="4" s="1"/>
  <c r="H208" i="4"/>
  <c r="H247" i="4" s="1"/>
  <c r="N208" i="4"/>
  <c r="N247" i="4" s="1"/>
  <c r="U208" i="4"/>
  <c r="U247" i="4" s="1"/>
  <c r="AC208" i="4"/>
  <c r="AC247" i="4" s="1"/>
  <c r="AJ208" i="4"/>
  <c r="AJ247" i="4" s="1"/>
  <c r="H209" i="4"/>
  <c r="H248" i="4" s="1"/>
  <c r="P209" i="4"/>
  <c r="P248" i="4" s="1"/>
  <c r="W209" i="4"/>
  <c r="W248" i="4" s="1"/>
  <c r="AD209" i="4"/>
  <c r="AD248" i="4" s="1"/>
  <c r="D210" i="4"/>
  <c r="D249" i="4" s="1"/>
  <c r="J210" i="4"/>
  <c r="J249" i="4" s="1"/>
  <c r="Q210" i="4"/>
  <c r="Q249" i="4" s="1"/>
  <c r="Y210" i="4"/>
  <c r="Y249" i="4" s="1"/>
  <c r="AF210" i="4"/>
  <c r="AF249" i="4" s="1"/>
  <c r="D211" i="4"/>
  <c r="D250" i="4" s="1"/>
  <c r="L211" i="4"/>
  <c r="L250" i="4" s="1"/>
  <c r="S211" i="4"/>
  <c r="S250" i="4" s="1"/>
  <c r="Z211" i="4"/>
  <c r="Z250" i="4" s="1"/>
  <c r="AH211" i="4"/>
  <c r="AH250" i="4" s="1"/>
  <c r="F212" i="4"/>
  <c r="F251" i="4" s="1"/>
  <c r="M212" i="4"/>
  <c r="M251" i="4" s="1"/>
  <c r="U212" i="4"/>
  <c r="U251" i="4" s="1"/>
  <c r="AB212" i="4"/>
  <c r="AB251" i="4" s="1"/>
  <c r="AH212" i="4"/>
  <c r="AH251" i="4" s="1"/>
  <c r="H213" i="4"/>
  <c r="H252" i="4" s="1"/>
  <c r="O213" i="4"/>
  <c r="O252" i="4" s="1"/>
  <c r="V213" i="4"/>
  <c r="V252" i="4" s="1"/>
  <c r="AD213" i="4"/>
  <c r="AD252" i="4" s="1"/>
  <c r="AJ213" i="4"/>
  <c r="AJ252" i="4" s="1"/>
  <c r="I214" i="4"/>
  <c r="I253" i="4" s="1"/>
  <c r="Q214" i="4"/>
  <c r="Q253" i="4" s="1"/>
  <c r="AD214" i="4"/>
  <c r="AD253" i="4" s="1"/>
  <c r="K215" i="4"/>
  <c r="K254" i="4" s="1"/>
  <c r="Z215" i="4"/>
  <c r="Z254" i="4" s="1"/>
  <c r="E216" i="4"/>
  <c r="E255" i="4" s="1"/>
  <c r="T216" i="4"/>
  <c r="T255" i="4" s="1"/>
  <c r="AH216" i="4"/>
  <c r="AH255" i="4" s="1"/>
  <c r="N217" i="4"/>
  <c r="N256" i="4" s="1"/>
  <c r="AB217" i="4"/>
  <c r="AB256" i="4" s="1"/>
  <c r="I218" i="4"/>
  <c r="I257" i="4" s="1"/>
  <c r="V218" i="4"/>
  <c r="V257" i="4" s="1"/>
  <c r="AK218" i="4"/>
  <c r="AK257" i="4" s="1"/>
  <c r="R219" i="4"/>
  <c r="R258" i="4" s="1"/>
  <c r="E220" i="4"/>
  <c r="E259" i="4" s="1"/>
  <c r="R220" i="4"/>
  <c r="R259" i="4" s="1"/>
  <c r="AG220" i="4"/>
  <c r="AG259" i="4" s="1"/>
  <c r="BM11" i="4"/>
  <c r="BM19" i="4"/>
  <c r="BM27" i="4"/>
  <c r="BM29" i="4"/>
  <c r="BM31" i="4"/>
  <c r="D187" i="4"/>
  <c r="D226" i="4" s="1"/>
  <c r="L187" i="4"/>
  <c r="L226" i="4" s="1"/>
  <c r="S187" i="4"/>
  <c r="S226" i="4" s="1"/>
  <c r="Z187" i="4"/>
  <c r="Z226" i="4" s="1"/>
  <c r="AH187" i="4"/>
  <c r="AH226" i="4" s="1"/>
  <c r="F188" i="4"/>
  <c r="F227" i="4" s="1"/>
  <c r="M188" i="4"/>
  <c r="M227" i="4" s="1"/>
  <c r="U188" i="4"/>
  <c r="U227" i="4" s="1"/>
  <c r="AB188" i="4"/>
  <c r="AB227" i="4" s="1"/>
  <c r="AH188" i="4"/>
  <c r="AH227" i="4" s="1"/>
  <c r="H189" i="4"/>
  <c r="H228" i="4" s="1"/>
  <c r="O189" i="4"/>
  <c r="O228" i="4" s="1"/>
  <c r="V189" i="4"/>
  <c r="V228" i="4" s="1"/>
  <c r="AD189" i="4"/>
  <c r="AD228" i="4" s="1"/>
  <c r="AJ189" i="4"/>
  <c r="AJ228" i="4" s="1"/>
  <c r="I190" i="4"/>
  <c r="I229" i="4" s="1"/>
  <c r="Q190" i="4"/>
  <c r="Q229" i="4" s="1"/>
  <c r="X190" i="4"/>
  <c r="X229" i="4" s="1"/>
  <c r="AD190" i="4"/>
  <c r="AD229" i="4" s="1"/>
  <c r="D191" i="4"/>
  <c r="D230" i="4" s="1"/>
  <c r="K191" i="4"/>
  <c r="K230" i="4" s="1"/>
  <c r="R191" i="4"/>
  <c r="R230" i="4" s="1"/>
  <c r="Z191" i="4"/>
  <c r="Z230" i="4" s="1"/>
  <c r="AF191" i="4"/>
  <c r="AF230" i="4" s="1"/>
  <c r="E192" i="4"/>
  <c r="E231" i="4" s="1"/>
  <c r="M192" i="4"/>
  <c r="M231" i="4" s="1"/>
  <c r="T192" i="4"/>
  <c r="T231" i="4" s="1"/>
  <c r="Z192" i="4"/>
  <c r="Z231" i="4" s="1"/>
  <c r="AH192" i="4"/>
  <c r="AH231" i="4" s="1"/>
  <c r="G193" i="4"/>
  <c r="G232" i="4" s="1"/>
  <c r="N193" i="4"/>
  <c r="N232" i="4" s="1"/>
  <c r="V193" i="4"/>
  <c r="V232" i="4" s="1"/>
  <c r="AB193" i="4"/>
  <c r="AB232" i="4" s="1"/>
  <c r="AI193" i="4"/>
  <c r="AI232" i="4" s="1"/>
  <c r="I194" i="4"/>
  <c r="I233" i="4" s="1"/>
  <c r="P194" i="4"/>
  <c r="P233" i="4" s="1"/>
  <c r="V194" i="4"/>
  <c r="V233" i="4" s="1"/>
  <c r="AD194" i="4"/>
  <c r="AD233" i="4" s="1"/>
  <c r="AK194" i="4"/>
  <c r="AK233" i="4" s="1"/>
  <c r="J195" i="4"/>
  <c r="J234" i="4" s="1"/>
  <c r="R195" i="4"/>
  <c r="R234" i="4" s="1"/>
  <c r="X195" i="4"/>
  <c r="X234" i="4" s="1"/>
  <c r="AE195" i="4"/>
  <c r="AE234" i="4" s="1"/>
  <c r="E196" i="4"/>
  <c r="E235" i="4" s="1"/>
  <c r="L196" i="4"/>
  <c r="L235" i="4" s="1"/>
  <c r="R196" i="4"/>
  <c r="R235" i="4" s="1"/>
  <c r="Z196" i="4"/>
  <c r="Z235" i="4" s="1"/>
  <c r="AG196" i="4"/>
  <c r="AG235" i="4" s="1"/>
  <c r="F197" i="4"/>
  <c r="F236" i="4" s="1"/>
  <c r="N197" i="4"/>
  <c r="N236" i="4" s="1"/>
  <c r="T197" i="4"/>
  <c r="T236" i="4" s="1"/>
  <c r="AA197" i="4"/>
  <c r="AA236" i="4" s="1"/>
  <c r="AI197" i="4"/>
  <c r="AI236" i="4" s="1"/>
  <c r="H198" i="4"/>
  <c r="H237" i="4" s="1"/>
  <c r="N198" i="4"/>
  <c r="N237" i="4" s="1"/>
  <c r="V198" i="4"/>
  <c r="V237" i="4" s="1"/>
  <c r="AC198" i="4"/>
  <c r="AC237" i="4" s="1"/>
  <c r="AJ198" i="4"/>
  <c r="AJ237" i="4" s="1"/>
  <c r="J199" i="4"/>
  <c r="J238" i="4" s="1"/>
  <c r="P199" i="4"/>
  <c r="P238" i="4" s="1"/>
  <c r="W199" i="4"/>
  <c r="W238" i="4" s="1"/>
  <c r="AE199" i="4"/>
  <c r="AE238" i="4" s="1"/>
  <c r="D200" i="4"/>
  <c r="D239" i="4" s="1"/>
  <c r="J200" i="4"/>
  <c r="J239" i="4" s="1"/>
  <c r="R200" i="4"/>
  <c r="R239" i="4" s="1"/>
  <c r="Y200" i="4"/>
  <c r="Y239" i="4" s="1"/>
  <c r="AF200" i="4"/>
  <c r="AF239" i="4" s="1"/>
  <c r="F201" i="4"/>
  <c r="F240" i="4" s="1"/>
  <c r="L201" i="4"/>
  <c r="L240" i="4" s="1"/>
  <c r="S201" i="4"/>
  <c r="S240" i="4" s="1"/>
  <c r="AA201" i="4"/>
  <c r="AA240" i="4" s="1"/>
  <c r="AH201" i="4"/>
  <c r="AH240" i="4" s="1"/>
  <c r="F202" i="4"/>
  <c r="F241" i="4" s="1"/>
  <c r="N202" i="4"/>
  <c r="N241" i="4" s="1"/>
  <c r="U202" i="4"/>
  <c r="U241" i="4" s="1"/>
  <c r="AB202" i="4"/>
  <c r="AB241" i="4" s="1"/>
  <c r="AJ202" i="4"/>
  <c r="AJ241" i="4" s="1"/>
  <c r="H203" i="4"/>
  <c r="H242" i="4" s="1"/>
  <c r="O203" i="4"/>
  <c r="O242" i="4" s="1"/>
  <c r="W203" i="4"/>
  <c r="W242" i="4" s="1"/>
  <c r="AD203" i="4"/>
  <c r="AD242" i="4" s="1"/>
  <c r="AJ203" i="4"/>
  <c r="AJ242" i="4" s="1"/>
  <c r="J204" i="4"/>
  <c r="J243" i="4" s="1"/>
  <c r="Q204" i="4"/>
  <c r="Q243" i="4" s="1"/>
  <c r="X204" i="4"/>
  <c r="X243" i="4" s="1"/>
  <c r="AF204" i="4"/>
  <c r="AF243" i="4" s="1"/>
  <c r="D205" i="4"/>
  <c r="D244" i="4" s="1"/>
  <c r="K205" i="4"/>
  <c r="K244" i="4" s="1"/>
  <c r="S205" i="4"/>
  <c r="S244" i="4" s="1"/>
  <c r="Z205" i="4"/>
  <c r="Z244" i="4" s="1"/>
  <c r="AF205" i="4"/>
  <c r="AF244" i="4" s="1"/>
  <c r="F206" i="4"/>
  <c r="F245" i="4" s="1"/>
  <c r="M206" i="4"/>
  <c r="M245" i="4" s="1"/>
  <c r="T206" i="4"/>
  <c r="T245" i="4" s="1"/>
  <c r="AB206" i="4"/>
  <c r="AB245" i="4" s="1"/>
  <c r="AH206" i="4"/>
  <c r="AH245" i="4" s="1"/>
  <c r="G207" i="4"/>
  <c r="G246" i="4" s="1"/>
  <c r="O207" i="4"/>
  <c r="O246" i="4" s="1"/>
  <c r="V207" i="4"/>
  <c r="V246" i="4" s="1"/>
  <c r="AB207" i="4"/>
  <c r="AB246" i="4" s="1"/>
  <c r="AJ207" i="4"/>
  <c r="AJ246" i="4" s="1"/>
  <c r="I208" i="4"/>
  <c r="I247" i="4" s="1"/>
  <c r="P208" i="4"/>
  <c r="P247" i="4" s="1"/>
  <c r="X208" i="4"/>
  <c r="X247" i="4" s="1"/>
  <c r="AD208" i="4"/>
  <c r="AD247" i="4" s="1"/>
  <c r="AK208" i="4"/>
  <c r="AK247" i="4" s="1"/>
  <c r="K209" i="4"/>
  <c r="K248" i="4" s="1"/>
  <c r="R209" i="4"/>
  <c r="R248" i="4" s="1"/>
  <c r="X209" i="4"/>
  <c r="X248" i="4" s="1"/>
  <c r="AF209" i="4"/>
  <c r="AF248" i="4" s="1"/>
  <c r="E210" i="4"/>
  <c r="E249" i="4" s="1"/>
  <c r="L210" i="4"/>
  <c r="L249" i="4" s="1"/>
  <c r="T210" i="4"/>
  <c r="T249" i="4" s="1"/>
  <c r="Z210" i="4"/>
  <c r="Z249" i="4" s="1"/>
  <c r="AG210" i="4"/>
  <c r="AG249" i="4" s="1"/>
  <c r="G211" i="4"/>
  <c r="G250" i="4" s="1"/>
  <c r="N211" i="4"/>
  <c r="N250" i="4" s="1"/>
  <c r="T211" i="4"/>
  <c r="T250" i="4" s="1"/>
  <c r="AB211" i="4"/>
  <c r="AB250" i="4" s="1"/>
  <c r="AI211" i="4"/>
  <c r="AI250" i="4" s="1"/>
  <c r="H212" i="4"/>
  <c r="H251" i="4" s="1"/>
  <c r="P212" i="4"/>
  <c r="P251" i="4" s="1"/>
  <c r="V212" i="4"/>
  <c r="V251" i="4" s="1"/>
  <c r="AC212" i="4"/>
  <c r="AC251" i="4" s="1"/>
  <c r="AK212" i="4"/>
  <c r="AK251" i="4" s="1"/>
  <c r="J213" i="4"/>
  <c r="J252" i="4" s="1"/>
  <c r="P213" i="4"/>
  <c r="P252" i="4" s="1"/>
  <c r="X213" i="4"/>
  <c r="X252" i="4" s="1"/>
  <c r="AE213" i="4"/>
  <c r="AE252" i="4" s="1"/>
  <c r="D214" i="4"/>
  <c r="D253" i="4" s="1"/>
  <c r="L214" i="4"/>
  <c r="L253" i="4" s="1"/>
  <c r="R214" i="4"/>
  <c r="R253" i="4" s="1"/>
  <c r="Y214" i="4"/>
  <c r="Y253" i="4" s="1"/>
  <c r="AG214" i="4"/>
  <c r="AG253" i="4" s="1"/>
  <c r="F215" i="4"/>
  <c r="F254" i="4" s="1"/>
  <c r="L215" i="4"/>
  <c r="L254" i="4" s="1"/>
  <c r="T215" i="4"/>
  <c r="T254" i="4" s="1"/>
  <c r="AA215" i="4"/>
  <c r="AA254" i="4" s="1"/>
  <c r="AH215" i="4"/>
  <c r="AH254" i="4" s="1"/>
  <c r="H216" i="4"/>
  <c r="H255" i="4" s="1"/>
  <c r="N216" i="4"/>
  <c r="N255" i="4" s="1"/>
  <c r="U216" i="4"/>
  <c r="U255" i="4" s="1"/>
  <c r="AC216" i="4"/>
  <c r="AC255" i="4" s="1"/>
  <c r="AJ216" i="4"/>
  <c r="AJ255" i="4" s="1"/>
  <c r="H217" i="4"/>
  <c r="H256" i="4" s="1"/>
  <c r="P217" i="4"/>
  <c r="P256" i="4" s="1"/>
  <c r="W217" i="4"/>
  <c r="W256" i="4" s="1"/>
  <c r="AD217" i="4"/>
  <c r="AD256" i="4" s="1"/>
  <c r="D218" i="4"/>
  <c r="D257" i="4" s="1"/>
  <c r="J218" i="4"/>
  <c r="J257" i="4" s="1"/>
  <c r="Q218" i="4"/>
  <c r="Q257" i="4" s="1"/>
  <c r="Y218" i="4"/>
  <c r="Y257" i="4" s="1"/>
  <c r="AF218" i="4"/>
  <c r="AF257" i="4" s="1"/>
  <c r="D219" i="4"/>
  <c r="D258" i="4" s="1"/>
  <c r="L219" i="4"/>
  <c r="L258" i="4" s="1"/>
  <c r="S219" i="4"/>
  <c r="S258" i="4" s="1"/>
  <c r="Z219" i="4"/>
  <c r="Z258" i="4" s="1"/>
  <c r="AH219" i="4"/>
  <c r="AH258" i="4" s="1"/>
  <c r="F220" i="4"/>
  <c r="F259" i="4" s="1"/>
  <c r="M220" i="4"/>
  <c r="M259" i="4" s="1"/>
  <c r="U220" i="4"/>
  <c r="U259" i="4" s="1"/>
  <c r="AB220" i="4"/>
  <c r="AB259" i="4" s="1"/>
  <c r="W226" i="4"/>
  <c r="S228" i="4"/>
  <c r="O230" i="4"/>
  <c r="K232" i="4"/>
  <c r="G234" i="4"/>
  <c r="AK235" i="4"/>
  <c r="AG237" i="4"/>
  <c r="AC239" i="4"/>
  <c r="Y241" i="4"/>
  <c r="U243" i="4"/>
  <c r="O244" i="4"/>
  <c r="Q245" i="4"/>
  <c r="K246" i="4"/>
  <c r="M247" i="4"/>
  <c r="G248" i="4"/>
  <c r="I249" i="4"/>
  <c r="AK249" i="4"/>
  <c r="E251" i="4"/>
  <c r="AG251" i="4"/>
  <c r="AI252" i="4"/>
  <c r="AC253" i="4"/>
  <c r="AE254" i="4"/>
  <c r="Y255" i="4"/>
  <c r="AA256" i="4"/>
  <c r="U257" i="4"/>
  <c r="W258" i="4"/>
  <c r="Q259" i="4"/>
  <c r="AI220" i="4"/>
  <c r="AI259" i="4" s="1"/>
  <c r="AE220" i="4"/>
  <c r="AE259" i="4" s="1"/>
  <c r="AA220" i="4"/>
  <c r="AA259" i="4" s="1"/>
  <c r="W220" i="4"/>
  <c r="W259" i="4" s="1"/>
  <c r="S220" i="4"/>
  <c r="S259" i="4" s="1"/>
  <c r="O220" i="4"/>
  <c r="O259" i="4" s="1"/>
  <c r="K220" i="4"/>
  <c r="K259" i="4" s="1"/>
  <c r="G220" i="4"/>
  <c r="G259" i="4" s="1"/>
  <c r="AK219" i="4"/>
  <c r="AK258" i="4" s="1"/>
  <c r="AG219" i="4"/>
  <c r="AG258" i="4" s="1"/>
  <c r="AC219" i="4"/>
  <c r="AC258" i="4" s="1"/>
  <c r="Y219" i="4"/>
  <c r="Y258" i="4" s="1"/>
  <c r="U219" i="4"/>
  <c r="U258" i="4" s="1"/>
  <c r="Q219" i="4"/>
  <c r="Q258" i="4" s="1"/>
  <c r="M219" i="4"/>
  <c r="M258" i="4" s="1"/>
  <c r="I219" i="4"/>
  <c r="I258" i="4" s="1"/>
  <c r="E219" i="4"/>
  <c r="E258" i="4" s="1"/>
  <c r="AI218" i="4"/>
  <c r="AI257" i="4" s="1"/>
  <c r="AE218" i="4"/>
  <c r="AE257" i="4" s="1"/>
  <c r="AA218" i="4"/>
  <c r="AA257" i="4" s="1"/>
  <c r="W218" i="4"/>
  <c r="W257" i="4" s="1"/>
  <c r="S218" i="4"/>
  <c r="S257" i="4" s="1"/>
  <c r="O218" i="4"/>
  <c r="O257" i="4" s="1"/>
  <c r="K218" i="4"/>
  <c r="K257" i="4" s="1"/>
  <c r="G218" i="4"/>
  <c r="G257" i="4" s="1"/>
  <c r="AK217" i="4"/>
  <c r="AK256" i="4" s="1"/>
  <c r="AG217" i="4"/>
  <c r="AG256" i="4" s="1"/>
  <c r="AC217" i="4"/>
  <c r="AC256" i="4" s="1"/>
  <c r="Y217" i="4"/>
  <c r="Y256" i="4" s="1"/>
  <c r="U217" i="4"/>
  <c r="U256" i="4" s="1"/>
  <c r="Q217" i="4"/>
  <c r="Q256" i="4" s="1"/>
  <c r="M217" i="4"/>
  <c r="M256" i="4" s="1"/>
  <c r="I217" i="4"/>
  <c r="I256" i="4" s="1"/>
  <c r="E217" i="4"/>
  <c r="E256" i="4" s="1"/>
  <c r="AI216" i="4"/>
  <c r="AI255" i="4" s="1"/>
  <c r="AE216" i="4"/>
  <c r="AE255" i="4" s="1"/>
  <c r="AA216" i="4"/>
  <c r="AA255" i="4" s="1"/>
  <c r="W216" i="4"/>
  <c r="W255" i="4" s="1"/>
  <c r="S216" i="4"/>
  <c r="S255" i="4" s="1"/>
  <c r="O216" i="4"/>
  <c r="O255" i="4" s="1"/>
  <c r="K216" i="4"/>
  <c r="K255" i="4" s="1"/>
  <c r="G216" i="4"/>
  <c r="G255" i="4" s="1"/>
  <c r="AK215" i="4"/>
  <c r="AK254" i="4" s="1"/>
  <c r="AG215" i="4"/>
  <c r="AG254" i="4" s="1"/>
  <c r="AC215" i="4"/>
  <c r="AC254" i="4" s="1"/>
  <c r="Y215" i="4"/>
  <c r="Y254" i="4" s="1"/>
  <c r="U215" i="4"/>
  <c r="U254" i="4" s="1"/>
  <c r="Q215" i="4"/>
  <c r="Q254" i="4" s="1"/>
  <c r="M215" i="4"/>
  <c r="M254" i="4" s="1"/>
  <c r="I215" i="4"/>
  <c r="I254" i="4" s="1"/>
  <c r="E215" i="4"/>
  <c r="E254" i="4" s="1"/>
  <c r="AI214" i="4"/>
  <c r="AI253" i="4" s="1"/>
  <c r="AE214" i="4"/>
  <c r="AE253" i="4" s="1"/>
  <c r="AA214" i="4"/>
  <c r="AA253" i="4" s="1"/>
  <c r="W214" i="4"/>
  <c r="W253" i="4" s="1"/>
  <c r="S214" i="4"/>
  <c r="S253" i="4" s="1"/>
  <c r="O214" i="4"/>
  <c r="O253" i="4" s="1"/>
  <c r="K214" i="4"/>
  <c r="K253" i="4" s="1"/>
  <c r="G214" i="4"/>
  <c r="G253" i="4" s="1"/>
  <c r="AK213" i="4"/>
  <c r="AK252" i="4" s="1"/>
  <c r="AG213" i="4"/>
  <c r="AG252" i="4" s="1"/>
  <c r="AC213" i="4"/>
  <c r="AC252" i="4" s="1"/>
  <c r="Y213" i="4"/>
  <c r="Y252" i="4" s="1"/>
  <c r="U213" i="4"/>
  <c r="U252" i="4" s="1"/>
  <c r="Q213" i="4"/>
  <c r="Q252" i="4" s="1"/>
  <c r="M213" i="4"/>
  <c r="M252" i="4" s="1"/>
  <c r="I213" i="4"/>
  <c r="I252" i="4" s="1"/>
  <c r="E213" i="4"/>
  <c r="E252" i="4" s="1"/>
  <c r="AI212" i="4"/>
  <c r="AI251" i="4" s="1"/>
  <c r="AE212" i="4"/>
  <c r="AE251" i="4" s="1"/>
  <c r="AA212" i="4"/>
  <c r="AA251" i="4" s="1"/>
  <c r="W212" i="4"/>
  <c r="W251" i="4" s="1"/>
  <c r="S212" i="4"/>
  <c r="S251" i="4" s="1"/>
  <c r="O212" i="4"/>
  <c r="O251" i="4" s="1"/>
  <c r="K212" i="4"/>
  <c r="K251" i="4" s="1"/>
  <c r="G212" i="4"/>
  <c r="G251" i="4" s="1"/>
  <c r="AK211" i="4"/>
  <c r="AK250" i="4" s="1"/>
  <c r="AG211" i="4"/>
  <c r="AG250" i="4" s="1"/>
  <c r="AC211" i="4"/>
  <c r="AC250" i="4" s="1"/>
  <c r="Y211" i="4"/>
  <c r="Y250" i="4" s="1"/>
  <c r="U211" i="4"/>
  <c r="U250" i="4" s="1"/>
  <c r="Q211" i="4"/>
  <c r="Q250" i="4" s="1"/>
  <c r="M211" i="4"/>
  <c r="M250" i="4" s="1"/>
  <c r="I211" i="4"/>
  <c r="I250" i="4" s="1"/>
  <c r="E211" i="4"/>
  <c r="E250" i="4" s="1"/>
  <c r="AI210" i="4"/>
  <c r="AI249" i="4" s="1"/>
  <c r="AE210" i="4"/>
  <c r="AE249" i="4" s="1"/>
  <c r="AA210" i="4"/>
  <c r="AA249" i="4" s="1"/>
  <c r="W210" i="4"/>
  <c r="W249" i="4" s="1"/>
  <c r="S210" i="4"/>
  <c r="S249" i="4" s="1"/>
  <c r="O210" i="4"/>
  <c r="O249" i="4" s="1"/>
  <c r="K210" i="4"/>
  <c r="K249" i="4" s="1"/>
  <c r="G210" i="4"/>
  <c r="G249" i="4" s="1"/>
  <c r="AK209" i="4"/>
  <c r="AK248" i="4" s="1"/>
  <c r="AG209" i="4"/>
  <c r="AG248" i="4" s="1"/>
  <c r="AC209" i="4"/>
  <c r="AC248" i="4" s="1"/>
  <c r="Y209" i="4"/>
  <c r="Y248" i="4" s="1"/>
  <c r="U209" i="4"/>
  <c r="U248" i="4" s="1"/>
  <c r="Q209" i="4"/>
  <c r="Q248" i="4" s="1"/>
  <c r="M209" i="4"/>
  <c r="M248" i="4" s="1"/>
  <c r="I209" i="4"/>
  <c r="I248" i="4" s="1"/>
  <c r="E209" i="4"/>
  <c r="E248" i="4" s="1"/>
  <c r="AI208" i="4"/>
  <c r="AI247" i="4" s="1"/>
  <c r="AE208" i="4"/>
  <c r="AE247" i="4" s="1"/>
  <c r="AA208" i="4"/>
  <c r="AA247" i="4" s="1"/>
  <c r="W208" i="4"/>
  <c r="W247" i="4" s="1"/>
  <c r="S208" i="4"/>
  <c r="S247" i="4" s="1"/>
  <c r="O208" i="4"/>
  <c r="O247" i="4" s="1"/>
  <c r="K208" i="4"/>
  <c r="K247" i="4" s="1"/>
  <c r="G208" i="4"/>
  <c r="G247" i="4" s="1"/>
  <c r="AK207" i="4"/>
  <c r="AK246" i="4" s="1"/>
  <c r="AG207" i="4"/>
  <c r="AG246" i="4" s="1"/>
  <c r="AC207" i="4"/>
  <c r="AC246" i="4" s="1"/>
  <c r="Y207" i="4"/>
  <c r="Y246" i="4" s="1"/>
  <c r="U207" i="4"/>
  <c r="U246" i="4" s="1"/>
  <c r="Q207" i="4"/>
  <c r="Q246" i="4" s="1"/>
  <c r="M207" i="4"/>
  <c r="M246" i="4" s="1"/>
  <c r="I207" i="4"/>
  <c r="I246" i="4" s="1"/>
  <c r="E207" i="4"/>
  <c r="E246" i="4" s="1"/>
  <c r="AI206" i="4"/>
  <c r="AI245" i="4" s="1"/>
  <c r="AE206" i="4"/>
  <c r="AE245" i="4" s="1"/>
  <c r="AA206" i="4"/>
  <c r="AA245" i="4" s="1"/>
  <c r="W206" i="4"/>
  <c r="W245" i="4" s="1"/>
  <c r="S206" i="4"/>
  <c r="S245" i="4" s="1"/>
  <c r="O206" i="4"/>
  <c r="O245" i="4" s="1"/>
  <c r="K206" i="4"/>
  <c r="K245" i="4" s="1"/>
  <c r="G206" i="4"/>
  <c r="G245" i="4" s="1"/>
  <c r="AK205" i="4"/>
  <c r="AK244" i="4" s="1"/>
  <c r="AG205" i="4"/>
  <c r="AG244" i="4" s="1"/>
  <c r="AC205" i="4"/>
  <c r="AC244" i="4" s="1"/>
  <c r="Y205" i="4"/>
  <c r="Y244" i="4" s="1"/>
  <c r="U205" i="4"/>
  <c r="U244" i="4" s="1"/>
  <c r="Q205" i="4"/>
  <c r="Q244" i="4" s="1"/>
  <c r="M205" i="4"/>
  <c r="M244" i="4" s="1"/>
  <c r="I205" i="4"/>
  <c r="I244" i="4" s="1"/>
  <c r="E205" i="4"/>
  <c r="E244" i="4" s="1"/>
  <c r="AI204" i="4"/>
  <c r="AI243" i="4" s="1"/>
  <c r="AE204" i="4"/>
  <c r="AE243" i="4" s="1"/>
  <c r="AA204" i="4"/>
  <c r="AA243" i="4" s="1"/>
  <c r="W204" i="4"/>
  <c r="W243" i="4" s="1"/>
  <c r="S204" i="4"/>
  <c r="S243" i="4" s="1"/>
  <c r="O204" i="4"/>
  <c r="O243" i="4" s="1"/>
  <c r="K204" i="4"/>
  <c r="K243" i="4" s="1"/>
  <c r="G204" i="4"/>
  <c r="G243" i="4" s="1"/>
  <c r="AK203" i="4"/>
  <c r="AK242" i="4" s="1"/>
  <c r="AG203" i="4"/>
  <c r="AG242" i="4" s="1"/>
  <c r="AC203" i="4"/>
  <c r="AC242" i="4" s="1"/>
  <c r="Y203" i="4"/>
  <c r="Y242" i="4" s="1"/>
  <c r="U203" i="4"/>
  <c r="U242" i="4" s="1"/>
  <c r="Q203" i="4"/>
  <c r="Q242" i="4" s="1"/>
  <c r="M203" i="4"/>
  <c r="M242" i="4" s="1"/>
  <c r="I203" i="4"/>
  <c r="I242" i="4" s="1"/>
  <c r="E203" i="4"/>
  <c r="E242" i="4" s="1"/>
  <c r="AI202" i="4"/>
  <c r="AI241" i="4" s="1"/>
  <c r="AE202" i="4"/>
  <c r="AE241" i="4" s="1"/>
  <c r="AA202" i="4"/>
  <c r="AA241" i="4" s="1"/>
  <c r="W202" i="4"/>
  <c r="W241" i="4" s="1"/>
  <c r="S202" i="4"/>
  <c r="S241" i="4" s="1"/>
  <c r="O202" i="4"/>
  <c r="O241" i="4" s="1"/>
  <c r="K202" i="4"/>
  <c r="K241" i="4" s="1"/>
  <c r="G202" i="4"/>
  <c r="G241" i="4" s="1"/>
  <c r="AK201" i="4"/>
  <c r="AK240" i="4" s="1"/>
  <c r="AG201" i="4"/>
  <c r="AG240" i="4" s="1"/>
  <c r="AC201" i="4"/>
  <c r="AC240" i="4" s="1"/>
  <c r="Y201" i="4"/>
  <c r="Y240" i="4" s="1"/>
  <c r="U201" i="4"/>
  <c r="U240" i="4" s="1"/>
  <c r="Q201" i="4"/>
  <c r="Q240" i="4" s="1"/>
  <c r="M201" i="4"/>
  <c r="M240" i="4" s="1"/>
  <c r="I201" i="4"/>
  <c r="I240" i="4" s="1"/>
  <c r="E201" i="4"/>
  <c r="E240" i="4" s="1"/>
  <c r="AI200" i="4"/>
  <c r="AI239" i="4" s="1"/>
  <c r="AE200" i="4"/>
  <c r="AE239" i="4" s="1"/>
  <c r="AA200" i="4"/>
  <c r="AA239" i="4" s="1"/>
  <c r="W200" i="4"/>
  <c r="W239" i="4" s="1"/>
  <c r="S200" i="4"/>
  <c r="S239" i="4" s="1"/>
  <c r="O200" i="4"/>
  <c r="O239" i="4" s="1"/>
  <c r="K200" i="4"/>
  <c r="K239" i="4" s="1"/>
  <c r="G200" i="4"/>
  <c r="G239" i="4" s="1"/>
  <c r="AK199" i="4"/>
  <c r="AK238" i="4" s="1"/>
  <c r="AG199" i="4"/>
  <c r="AG238" i="4" s="1"/>
  <c r="AC199" i="4"/>
  <c r="AC238" i="4" s="1"/>
  <c r="Y199" i="4"/>
  <c r="Y238" i="4" s="1"/>
  <c r="U199" i="4"/>
  <c r="U238" i="4" s="1"/>
  <c r="Q199" i="4"/>
  <c r="Q238" i="4" s="1"/>
  <c r="M199" i="4"/>
  <c r="M238" i="4" s="1"/>
  <c r="I199" i="4"/>
  <c r="I238" i="4" s="1"/>
  <c r="E199" i="4"/>
  <c r="E238" i="4" s="1"/>
  <c r="AI198" i="4"/>
  <c r="AI237" i="4" s="1"/>
  <c r="AE198" i="4"/>
  <c r="AE237" i="4" s="1"/>
  <c r="AA198" i="4"/>
  <c r="AA237" i="4" s="1"/>
  <c r="W198" i="4"/>
  <c r="W237" i="4" s="1"/>
  <c r="S198" i="4"/>
  <c r="S237" i="4" s="1"/>
  <c r="O198" i="4"/>
  <c r="O237" i="4" s="1"/>
  <c r="K198" i="4"/>
  <c r="K237" i="4" s="1"/>
  <c r="G198" i="4"/>
  <c r="G237" i="4" s="1"/>
  <c r="AK197" i="4"/>
  <c r="AK236" i="4" s="1"/>
  <c r="AG197" i="4"/>
  <c r="AG236" i="4" s="1"/>
  <c r="AC197" i="4"/>
  <c r="AC236" i="4" s="1"/>
  <c r="Y197" i="4"/>
  <c r="Y236" i="4" s="1"/>
  <c r="U197" i="4"/>
  <c r="U236" i="4" s="1"/>
  <c r="Q197" i="4"/>
  <c r="Q236" i="4" s="1"/>
  <c r="M197" i="4"/>
  <c r="M236" i="4" s="1"/>
  <c r="I197" i="4"/>
  <c r="I236" i="4" s="1"/>
  <c r="E197" i="4"/>
  <c r="E236" i="4" s="1"/>
  <c r="AI196" i="4"/>
  <c r="AI235" i="4" s="1"/>
  <c r="AE196" i="4"/>
  <c r="AE235" i="4" s="1"/>
  <c r="AA196" i="4"/>
  <c r="AA235" i="4" s="1"/>
  <c r="W196" i="4"/>
  <c r="W235" i="4" s="1"/>
  <c r="S196" i="4"/>
  <c r="S235" i="4" s="1"/>
  <c r="O196" i="4"/>
  <c r="O235" i="4" s="1"/>
  <c r="K196" i="4"/>
  <c r="K235" i="4" s="1"/>
  <c r="G196" i="4"/>
  <c r="G235" i="4" s="1"/>
  <c r="AK195" i="4"/>
  <c r="AK234" i="4" s="1"/>
  <c r="AG195" i="4"/>
  <c r="AG234" i="4" s="1"/>
  <c r="AC195" i="4"/>
  <c r="AC234" i="4" s="1"/>
  <c r="Y195" i="4"/>
  <c r="Y234" i="4" s="1"/>
  <c r="U195" i="4"/>
  <c r="U234" i="4" s="1"/>
  <c r="Q195" i="4"/>
  <c r="Q234" i="4" s="1"/>
  <c r="M195" i="4"/>
  <c r="M234" i="4" s="1"/>
  <c r="I195" i="4"/>
  <c r="I234" i="4" s="1"/>
  <c r="E195" i="4"/>
  <c r="E234" i="4" s="1"/>
  <c r="AI194" i="4"/>
  <c r="AI233" i="4" s="1"/>
  <c r="AE194" i="4"/>
  <c r="AE233" i="4" s="1"/>
  <c r="AA194" i="4"/>
  <c r="AA233" i="4" s="1"/>
  <c r="W194" i="4"/>
  <c r="W233" i="4" s="1"/>
  <c r="S194" i="4"/>
  <c r="S233" i="4" s="1"/>
  <c r="O194" i="4"/>
  <c r="O233" i="4" s="1"/>
  <c r="K194" i="4"/>
  <c r="K233" i="4" s="1"/>
  <c r="G194" i="4"/>
  <c r="G233" i="4" s="1"/>
  <c r="AK193" i="4"/>
  <c r="AK232" i="4" s="1"/>
  <c r="AG193" i="4"/>
  <c r="AG232" i="4" s="1"/>
  <c r="AC193" i="4"/>
  <c r="AC232" i="4" s="1"/>
  <c r="Y193" i="4"/>
  <c r="Y232" i="4" s="1"/>
  <c r="U193" i="4"/>
  <c r="U232" i="4" s="1"/>
  <c r="Q193" i="4"/>
  <c r="Q232" i="4" s="1"/>
  <c r="M193" i="4"/>
  <c r="M232" i="4" s="1"/>
  <c r="I193" i="4"/>
  <c r="I232" i="4" s="1"/>
  <c r="E193" i="4"/>
  <c r="E232" i="4" s="1"/>
  <c r="AI192" i="4"/>
  <c r="AI231" i="4" s="1"/>
  <c r="AE192" i="4"/>
  <c r="AE231" i="4" s="1"/>
  <c r="AA192" i="4"/>
  <c r="AA231" i="4" s="1"/>
  <c r="W192" i="4"/>
  <c r="W231" i="4" s="1"/>
  <c r="S192" i="4"/>
  <c r="S231" i="4" s="1"/>
  <c r="O192" i="4"/>
  <c r="O231" i="4" s="1"/>
  <c r="K192" i="4"/>
  <c r="K231" i="4" s="1"/>
  <c r="G192" i="4"/>
  <c r="G231" i="4" s="1"/>
  <c r="AK191" i="4"/>
  <c r="AK230" i="4" s="1"/>
  <c r="AG191" i="4"/>
  <c r="AG230" i="4" s="1"/>
  <c r="AC191" i="4"/>
  <c r="AC230" i="4" s="1"/>
  <c r="Y191" i="4"/>
  <c r="Y230" i="4" s="1"/>
  <c r="U191" i="4"/>
  <c r="U230" i="4" s="1"/>
  <c r="Q191" i="4"/>
  <c r="Q230" i="4" s="1"/>
  <c r="M191" i="4"/>
  <c r="M230" i="4" s="1"/>
  <c r="I191" i="4"/>
  <c r="I230" i="4" s="1"/>
  <c r="E191" i="4"/>
  <c r="E230" i="4" s="1"/>
  <c r="AI190" i="4"/>
  <c r="AI229" i="4" s="1"/>
  <c r="AE190" i="4"/>
  <c r="AE229" i="4" s="1"/>
  <c r="AA190" i="4"/>
  <c r="AA229" i="4" s="1"/>
  <c r="W190" i="4"/>
  <c r="W229" i="4" s="1"/>
  <c r="S190" i="4"/>
  <c r="S229" i="4" s="1"/>
  <c r="O190" i="4"/>
  <c r="O229" i="4" s="1"/>
  <c r="K190" i="4"/>
  <c r="K229" i="4" s="1"/>
  <c r="G190" i="4"/>
  <c r="G229" i="4" s="1"/>
  <c r="AK189" i="4"/>
  <c r="AK228" i="4" s="1"/>
  <c r="AG189" i="4"/>
  <c r="AG228" i="4" s="1"/>
  <c r="AC189" i="4"/>
  <c r="AC228" i="4" s="1"/>
  <c r="Y189" i="4"/>
  <c r="Y228" i="4" s="1"/>
  <c r="U189" i="4"/>
  <c r="U228" i="4" s="1"/>
  <c r="Q189" i="4"/>
  <c r="Q228" i="4" s="1"/>
  <c r="M189" i="4"/>
  <c r="M228" i="4" s="1"/>
  <c r="I189" i="4"/>
  <c r="I228" i="4" s="1"/>
  <c r="E189" i="4"/>
  <c r="E228" i="4" s="1"/>
  <c r="AI188" i="4"/>
  <c r="AI227" i="4" s="1"/>
  <c r="AE188" i="4"/>
  <c r="AE227" i="4" s="1"/>
  <c r="AA188" i="4"/>
  <c r="AA227" i="4" s="1"/>
  <c r="W188" i="4"/>
  <c r="W227" i="4" s="1"/>
  <c r="S188" i="4"/>
  <c r="S227" i="4" s="1"/>
  <c r="O188" i="4"/>
  <c r="O227" i="4" s="1"/>
  <c r="K188" i="4"/>
  <c r="K227" i="4" s="1"/>
  <c r="G188" i="4"/>
  <c r="G227" i="4" s="1"/>
  <c r="AK187" i="4"/>
  <c r="AK226" i="4" s="1"/>
  <c r="AG187" i="4"/>
  <c r="AG226" i="4" s="1"/>
  <c r="AC187" i="4"/>
  <c r="AC226" i="4" s="1"/>
  <c r="Y187" i="4"/>
  <c r="Y226" i="4" s="1"/>
  <c r="U187" i="4"/>
  <c r="U226" i="4" s="1"/>
  <c r="Q187" i="4"/>
  <c r="Q226" i="4" s="1"/>
  <c r="M187" i="4"/>
  <c r="M226" i="4" s="1"/>
  <c r="I187" i="4"/>
  <c r="I226" i="4" s="1"/>
  <c r="E187" i="4"/>
  <c r="E226" i="4" s="1"/>
  <c r="AJ220" i="4"/>
  <c r="AJ259" i="4" s="1"/>
  <c r="AD220" i="4"/>
  <c r="AD259" i="4" s="1"/>
  <c r="Y220" i="4"/>
  <c r="Y259" i="4" s="1"/>
  <c r="T220" i="4"/>
  <c r="T259" i="4" s="1"/>
  <c r="N220" i="4"/>
  <c r="N259" i="4" s="1"/>
  <c r="I220" i="4"/>
  <c r="I259" i="4" s="1"/>
  <c r="D220" i="4"/>
  <c r="D259" i="4" s="1"/>
  <c r="AF219" i="4"/>
  <c r="AF258" i="4" s="1"/>
  <c r="AA219" i="4"/>
  <c r="AA258" i="4" s="1"/>
  <c r="V219" i="4"/>
  <c r="V258" i="4" s="1"/>
  <c r="P219" i="4"/>
  <c r="P258" i="4" s="1"/>
  <c r="K219" i="4"/>
  <c r="K258" i="4" s="1"/>
  <c r="F219" i="4"/>
  <c r="F258" i="4" s="1"/>
  <c r="AH218" i="4"/>
  <c r="AH257" i="4" s="1"/>
  <c r="AC218" i="4"/>
  <c r="AC257" i="4" s="1"/>
  <c r="X218" i="4"/>
  <c r="X257" i="4" s="1"/>
  <c r="R218" i="4"/>
  <c r="R257" i="4" s="1"/>
  <c r="M218" i="4"/>
  <c r="M257" i="4" s="1"/>
  <c r="H218" i="4"/>
  <c r="H257" i="4" s="1"/>
  <c r="AJ217" i="4"/>
  <c r="AJ256" i="4" s="1"/>
  <c r="AE217" i="4"/>
  <c r="AE256" i="4" s="1"/>
  <c r="Z217" i="4"/>
  <c r="Z256" i="4" s="1"/>
  <c r="T217" i="4"/>
  <c r="T256" i="4" s="1"/>
  <c r="O217" i="4"/>
  <c r="O256" i="4" s="1"/>
  <c r="J217" i="4"/>
  <c r="J256" i="4" s="1"/>
  <c r="D217" i="4"/>
  <c r="D256" i="4" s="1"/>
  <c r="AG216" i="4"/>
  <c r="AG255" i="4" s="1"/>
  <c r="AB216" i="4"/>
  <c r="AB255" i="4" s="1"/>
  <c r="V216" i="4"/>
  <c r="V255" i="4" s="1"/>
  <c r="Q216" i="4"/>
  <c r="Q255" i="4" s="1"/>
  <c r="L216" i="4"/>
  <c r="L255" i="4" s="1"/>
  <c r="F216" i="4"/>
  <c r="F255" i="4" s="1"/>
  <c r="AI215" i="4"/>
  <c r="AI254" i="4" s="1"/>
  <c r="AD215" i="4"/>
  <c r="AD254" i="4" s="1"/>
  <c r="X215" i="4"/>
  <c r="X254" i="4" s="1"/>
  <c r="S215" i="4"/>
  <c r="S254" i="4" s="1"/>
  <c r="N215" i="4"/>
  <c r="N254" i="4" s="1"/>
  <c r="H215" i="4"/>
  <c r="H254" i="4" s="1"/>
  <c r="AK214" i="4"/>
  <c r="AK253" i="4" s="1"/>
  <c r="AF214" i="4"/>
  <c r="AF253" i="4" s="1"/>
  <c r="Z214" i="4"/>
  <c r="Z253" i="4" s="1"/>
  <c r="U214" i="4"/>
  <c r="U253" i="4" s="1"/>
  <c r="P214" i="4"/>
  <c r="P253" i="4" s="1"/>
  <c r="J214" i="4"/>
  <c r="J253" i="4" s="1"/>
  <c r="E214" i="4"/>
  <c r="E253" i="4" s="1"/>
  <c r="AH213" i="4"/>
  <c r="AH252" i="4" s="1"/>
  <c r="AB213" i="4"/>
  <c r="AB252" i="4" s="1"/>
  <c r="W213" i="4"/>
  <c r="W252" i="4" s="1"/>
  <c r="R213" i="4"/>
  <c r="R252" i="4" s="1"/>
  <c r="L213" i="4"/>
  <c r="L252" i="4" s="1"/>
  <c r="G213" i="4"/>
  <c r="G252" i="4" s="1"/>
  <c r="AJ212" i="4"/>
  <c r="AJ251" i="4" s="1"/>
  <c r="AD212" i="4"/>
  <c r="AD251" i="4" s="1"/>
  <c r="Y212" i="4"/>
  <c r="Y251" i="4" s="1"/>
  <c r="T212" i="4"/>
  <c r="T251" i="4" s="1"/>
  <c r="N212" i="4"/>
  <c r="N251" i="4" s="1"/>
  <c r="I212" i="4"/>
  <c r="I251" i="4" s="1"/>
  <c r="D212" i="4"/>
  <c r="D251" i="4" s="1"/>
  <c r="AF211" i="4"/>
  <c r="AF250" i="4" s="1"/>
  <c r="AA211" i="4"/>
  <c r="AA250" i="4" s="1"/>
  <c r="V211" i="4"/>
  <c r="V250" i="4" s="1"/>
  <c r="P211" i="4"/>
  <c r="P250" i="4" s="1"/>
  <c r="K211" i="4"/>
  <c r="K250" i="4" s="1"/>
  <c r="F211" i="4"/>
  <c r="F250" i="4" s="1"/>
  <c r="AH210" i="4"/>
  <c r="AH249" i="4" s="1"/>
  <c r="AC210" i="4"/>
  <c r="AC249" i="4" s="1"/>
  <c r="X210" i="4"/>
  <c r="X249" i="4" s="1"/>
  <c r="R210" i="4"/>
  <c r="R249" i="4" s="1"/>
  <c r="M210" i="4"/>
  <c r="M249" i="4" s="1"/>
  <c r="H210" i="4"/>
  <c r="H249" i="4" s="1"/>
  <c r="AJ209" i="4"/>
  <c r="AJ248" i="4" s="1"/>
  <c r="AE209" i="4"/>
  <c r="AE248" i="4" s="1"/>
  <c r="Z209" i="4"/>
  <c r="Z248" i="4" s="1"/>
  <c r="T209" i="4"/>
  <c r="T248" i="4" s="1"/>
  <c r="O209" i="4"/>
  <c r="O248" i="4" s="1"/>
  <c r="J209" i="4"/>
  <c r="J248" i="4" s="1"/>
  <c r="D209" i="4"/>
  <c r="D248" i="4" s="1"/>
  <c r="AG208" i="4"/>
  <c r="AG247" i="4" s="1"/>
  <c r="AB208" i="4"/>
  <c r="AB247" i="4" s="1"/>
  <c r="V208" i="4"/>
  <c r="V247" i="4" s="1"/>
  <c r="Q208" i="4"/>
  <c r="Q247" i="4" s="1"/>
  <c r="L208" i="4"/>
  <c r="L247" i="4" s="1"/>
  <c r="F208" i="4"/>
  <c r="F247" i="4" s="1"/>
  <c r="AI207" i="4"/>
  <c r="AI246" i="4" s="1"/>
  <c r="AD207" i="4"/>
  <c r="AD246" i="4" s="1"/>
  <c r="X207" i="4"/>
  <c r="X246" i="4" s="1"/>
  <c r="S207" i="4"/>
  <c r="S246" i="4" s="1"/>
  <c r="N207" i="4"/>
  <c r="N246" i="4" s="1"/>
  <c r="H207" i="4"/>
  <c r="H246" i="4" s="1"/>
  <c r="AK206" i="4"/>
  <c r="AK245" i="4" s="1"/>
  <c r="AF206" i="4"/>
  <c r="AF245" i="4" s="1"/>
  <c r="Z206" i="4"/>
  <c r="Z245" i="4" s="1"/>
  <c r="U206" i="4"/>
  <c r="U245" i="4" s="1"/>
  <c r="P206" i="4"/>
  <c r="P245" i="4" s="1"/>
  <c r="J206" i="4"/>
  <c r="J245" i="4" s="1"/>
  <c r="E206" i="4"/>
  <c r="E245" i="4" s="1"/>
  <c r="AH205" i="4"/>
  <c r="AH244" i="4" s="1"/>
  <c r="AB205" i="4"/>
  <c r="AB244" i="4" s="1"/>
  <c r="W205" i="4"/>
  <c r="W244" i="4" s="1"/>
  <c r="R205" i="4"/>
  <c r="R244" i="4" s="1"/>
  <c r="L205" i="4"/>
  <c r="L244" i="4" s="1"/>
  <c r="G205" i="4"/>
  <c r="G244" i="4" s="1"/>
  <c r="AJ204" i="4"/>
  <c r="AJ243" i="4" s="1"/>
  <c r="AD204" i="4"/>
  <c r="AD243" i="4" s="1"/>
  <c r="Y204" i="4"/>
  <c r="Y243" i="4" s="1"/>
  <c r="T204" i="4"/>
  <c r="T243" i="4" s="1"/>
  <c r="N204" i="4"/>
  <c r="N243" i="4" s="1"/>
  <c r="I204" i="4"/>
  <c r="I243" i="4" s="1"/>
  <c r="D204" i="4"/>
  <c r="D243" i="4" s="1"/>
  <c r="AF203" i="4"/>
  <c r="AF242" i="4" s="1"/>
  <c r="AA203" i="4"/>
  <c r="AA242" i="4" s="1"/>
  <c r="V203" i="4"/>
  <c r="V242" i="4" s="1"/>
  <c r="P203" i="4"/>
  <c r="P242" i="4" s="1"/>
  <c r="K203" i="4"/>
  <c r="K242" i="4" s="1"/>
  <c r="F203" i="4"/>
  <c r="F242" i="4" s="1"/>
  <c r="AH202" i="4"/>
  <c r="AH241" i="4" s="1"/>
  <c r="AC202" i="4"/>
  <c r="AC241" i="4" s="1"/>
  <c r="X202" i="4"/>
  <c r="X241" i="4" s="1"/>
  <c r="R202" i="4"/>
  <c r="R241" i="4" s="1"/>
  <c r="M202" i="4"/>
  <c r="M241" i="4" s="1"/>
  <c r="H202" i="4"/>
  <c r="H241" i="4" s="1"/>
  <c r="AJ201" i="4"/>
  <c r="AJ240" i="4" s="1"/>
  <c r="AE201" i="4"/>
  <c r="AE240" i="4" s="1"/>
  <c r="Z201" i="4"/>
  <c r="Z240" i="4" s="1"/>
  <c r="T201" i="4"/>
  <c r="T240" i="4" s="1"/>
  <c r="O201" i="4"/>
  <c r="O240" i="4" s="1"/>
  <c r="J201" i="4"/>
  <c r="J240" i="4" s="1"/>
  <c r="D201" i="4"/>
  <c r="D240" i="4" s="1"/>
  <c r="AG200" i="4"/>
  <c r="AG239" i="4" s="1"/>
  <c r="AB200" i="4"/>
  <c r="AB239" i="4" s="1"/>
  <c r="V200" i="4"/>
  <c r="V239" i="4" s="1"/>
  <c r="Q200" i="4"/>
  <c r="Q239" i="4" s="1"/>
  <c r="L200" i="4"/>
  <c r="L239" i="4" s="1"/>
  <c r="F200" i="4"/>
  <c r="F239" i="4" s="1"/>
  <c r="AI199" i="4"/>
  <c r="AI238" i="4" s="1"/>
  <c r="AD199" i="4"/>
  <c r="AD238" i="4" s="1"/>
  <c r="X199" i="4"/>
  <c r="X238" i="4" s="1"/>
  <c r="S199" i="4"/>
  <c r="S238" i="4" s="1"/>
  <c r="N199" i="4"/>
  <c r="N238" i="4" s="1"/>
  <c r="H199" i="4"/>
  <c r="H238" i="4" s="1"/>
  <c r="AK198" i="4"/>
  <c r="AK237" i="4" s="1"/>
  <c r="AF198" i="4"/>
  <c r="AF237" i="4" s="1"/>
  <c r="Z198" i="4"/>
  <c r="Z237" i="4" s="1"/>
  <c r="U198" i="4"/>
  <c r="U237" i="4" s="1"/>
  <c r="P198" i="4"/>
  <c r="P237" i="4" s="1"/>
  <c r="J198" i="4"/>
  <c r="J237" i="4" s="1"/>
  <c r="E198" i="4"/>
  <c r="E237" i="4" s="1"/>
  <c r="AH197" i="4"/>
  <c r="AH236" i="4" s="1"/>
  <c r="AB197" i="4"/>
  <c r="AB236" i="4" s="1"/>
  <c r="W197" i="4"/>
  <c r="W236" i="4" s="1"/>
  <c r="R197" i="4"/>
  <c r="R236" i="4" s="1"/>
  <c r="L197" i="4"/>
  <c r="L236" i="4" s="1"/>
  <c r="G197" i="4"/>
  <c r="G236" i="4" s="1"/>
  <c r="AJ196" i="4"/>
  <c r="AJ235" i="4" s="1"/>
  <c r="AD196" i="4"/>
  <c r="AD235" i="4" s="1"/>
  <c r="Y196" i="4"/>
  <c r="Y235" i="4" s="1"/>
  <c r="T196" i="4"/>
  <c r="T235" i="4" s="1"/>
  <c r="N196" i="4"/>
  <c r="N235" i="4" s="1"/>
  <c r="I196" i="4"/>
  <c r="I235" i="4" s="1"/>
  <c r="D196" i="4"/>
  <c r="D235" i="4" s="1"/>
  <c r="AF195" i="4"/>
  <c r="AF234" i="4" s="1"/>
  <c r="AA195" i="4"/>
  <c r="AA234" i="4" s="1"/>
  <c r="V195" i="4"/>
  <c r="V234" i="4" s="1"/>
  <c r="P195" i="4"/>
  <c r="P234" i="4" s="1"/>
  <c r="K195" i="4"/>
  <c r="K234" i="4" s="1"/>
  <c r="F195" i="4"/>
  <c r="F234" i="4" s="1"/>
  <c r="AH194" i="4"/>
  <c r="AH233" i="4" s="1"/>
  <c r="AC194" i="4"/>
  <c r="AC233" i="4" s="1"/>
  <c r="X194" i="4"/>
  <c r="X233" i="4" s="1"/>
  <c r="R194" i="4"/>
  <c r="R233" i="4" s="1"/>
  <c r="M194" i="4"/>
  <c r="M233" i="4" s="1"/>
  <c r="H194" i="4"/>
  <c r="H233" i="4" s="1"/>
  <c r="AJ193" i="4"/>
  <c r="AJ232" i="4" s="1"/>
  <c r="AE193" i="4"/>
  <c r="AE232" i="4" s="1"/>
  <c r="Z193" i="4"/>
  <c r="Z232" i="4" s="1"/>
  <c r="T193" i="4"/>
  <c r="T232" i="4" s="1"/>
  <c r="O193" i="4"/>
  <c r="O232" i="4" s="1"/>
  <c r="J193" i="4"/>
  <c r="J232" i="4" s="1"/>
  <c r="D193" i="4"/>
  <c r="D232" i="4" s="1"/>
  <c r="AG192" i="4"/>
  <c r="AG231" i="4" s="1"/>
  <c r="AB192" i="4"/>
  <c r="AB231" i="4" s="1"/>
  <c r="V192" i="4"/>
  <c r="V231" i="4" s="1"/>
  <c r="Q192" i="4"/>
  <c r="Q231" i="4" s="1"/>
  <c r="L192" i="4"/>
  <c r="L231" i="4" s="1"/>
  <c r="F192" i="4"/>
  <c r="F231" i="4" s="1"/>
  <c r="AI191" i="4"/>
  <c r="AI230" i="4" s="1"/>
  <c r="AD191" i="4"/>
  <c r="AD230" i="4" s="1"/>
  <c r="X191" i="4"/>
  <c r="X230" i="4" s="1"/>
  <c r="S191" i="4"/>
  <c r="S230" i="4" s="1"/>
  <c r="N191" i="4"/>
  <c r="N230" i="4" s="1"/>
  <c r="H191" i="4"/>
  <c r="H230" i="4" s="1"/>
  <c r="AK190" i="4"/>
  <c r="AK229" i="4" s="1"/>
  <c r="AF190" i="4"/>
  <c r="AF229" i="4" s="1"/>
  <c r="Z190" i="4"/>
  <c r="Z229" i="4" s="1"/>
  <c r="U190" i="4"/>
  <c r="U229" i="4" s="1"/>
  <c r="P190" i="4"/>
  <c r="P229" i="4" s="1"/>
  <c r="J190" i="4"/>
  <c r="J229" i="4" s="1"/>
  <c r="E190" i="4"/>
  <c r="E229" i="4" s="1"/>
  <c r="AH189" i="4"/>
  <c r="AH228" i="4" s="1"/>
  <c r="AB189" i="4"/>
  <c r="AB228" i="4" s="1"/>
  <c r="W189" i="4"/>
  <c r="W228" i="4" s="1"/>
  <c r="R189" i="4"/>
  <c r="R228" i="4" s="1"/>
  <c r="L189" i="4"/>
  <c r="L228" i="4" s="1"/>
  <c r="G189" i="4"/>
  <c r="G228" i="4" s="1"/>
  <c r="AJ188" i="4"/>
  <c r="AJ227" i="4" s="1"/>
  <c r="AD188" i="4"/>
  <c r="AD227" i="4" s="1"/>
  <c r="Y188" i="4"/>
  <c r="Y227" i="4" s="1"/>
  <c r="T188" i="4"/>
  <c r="T227" i="4" s="1"/>
  <c r="N188" i="4"/>
  <c r="N227" i="4" s="1"/>
  <c r="I188" i="4"/>
  <c r="I227" i="4" s="1"/>
  <c r="D188" i="4"/>
  <c r="D227" i="4" s="1"/>
  <c r="AF187" i="4"/>
  <c r="AF226" i="4" s="1"/>
  <c r="AA187" i="4"/>
  <c r="AA226" i="4" s="1"/>
  <c r="V187" i="4"/>
  <c r="V226" i="4" s="1"/>
  <c r="P187" i="4"/>
  <c r="P226" i="4" s="1"/>
  <c r="K187" i="4"/>
  <c r="K226" i="4" s="1"/>
  <c r="F187" i="4"/>
  <c r="F226" i="4" s="1"/>
  <c r="R187" i="4"/>
  <c r="R226" i="4" s="1"/>
  <c r="AE187" i="4"/>
  <c r="AE226" i="4" s="1"/>
  <c r="L188" i="4"/>
  <c r="L227" i="4" s="1"/>
  <c r="Z188" i="4"/>
  <c r="Z227" i="4" s="1"/>
  <c r="F189" i="4"/>
  <c r="F228" i="4" s="1"/>
  <c r="T189" i="4"/>
  <c r="T228" i="4" s="1"/>
  <c r="AI189" i="4"/>
  <c r="AI228" i="4" s="1"/>
  <c r="N190" i="4"/>
  <c r="N229" i="4" s="1"/>
  <c r="AC190" i="4"/>
  <c r="AC229" i="4" s="1"/>
  <c r="J191" i="4"/>
  <c r="J230" i="4" s="1"/>
  <c r="J192" i="4"/>
  <c r="J231" i="4" s="1"/>
  <c r="X196" i="4"/>
  <c r="X235" i="4" s="1"/>
  <c r="X214" i="4"/>
  <c r="X253" i="4" s="1"/>
  <c r="D215" i="4"/>
  <c r="D254" i="4" s="1"/>
  <c r="R215" i="4"/>
  <c r="R254" i="4" s="1"/>
  <c r="AF215" i="4"/>
  <c r="AF254" i="4" s="1"/>
  <c r="M216" i="4"/>
  <c r="M255" i="4" s="1"/>
  <c r="Z216" i="4"/>
  <c r="Z255" i="4" s="1"/>
  <c r="G217" i="4"/>
  <c r="G256" i="4" s="1"/>
  <c r="V217" i="4"/>
  <c r="V256" i="4" s="1"/>
  <c r="AI217" i="4"/>
  <c r="AI256" i="4" s="1"/>
  <c r="P218" i="4"/>
  <c r="P257" i="4" s="1"/>
  <c r="AD218" i="4"/>
  <c r="AD257" i="4" s="1"/>
  <c r="J219" i="4"/>
  <c r="J258" i="4" s="1"/>
  <c r="X219" i="4"/>
  <c r="X258" i="4" s="1"/>
  <c r="AE219" i="4"/>
  <c r="AE258" i="4" s="1"/>
  <c r="L220" i="4"/>
  <c r="L259" i="4" s="1"/>
  <c r="Z220" i="4"/>
  <c r="Z259" i="4" s="1"/>
  <c r="G187" i="4"/>
  <c r="G226" i="4" s="1"/>
  <c r="N187" i="4"/>
  <c r="N226" i="4" s="1"/>
  <c r="T187" i="4"/>
  <c r="T226" i="4" s="1"/>
  <c r="AB187" i="4"/>
  <c r="AB226" i="4" s="1"/>
  <c r="AI187" i="4"/>
  <c r="AI226" i="4" s="1"/>
  <c r="H188" i="4"/>
  <c r="H227" i="4" s="1"/>
  <c r="P188" i="4"/>
  <c r="P227" i="4" s="1"/>
  <c r="V188" i="4"/>
  <c r="V227" i="4" s="1"/>
  <c r="AC188" i="4"/>
  <c r="AC227" i="4" s="1"/>
  <c r="AK188" i="4"/>
  <c r="AK227" i="4" s="1"/>
  <c r="J189" i="4"/>
  <c r="J228" i="4" s="1"/>
  <c r="P189" i="4"/>
  <c r="P228" i="4" s="1"/>
  <c r="X189" i="4"/>
  <c r="X228" i="4" s="1"/>
  <c r="AE189" i="4"/>
  <c r="AE228" i="4" s="1"/>
  <c r="D190" i="4"/>
  <c r="D229" i="4" s="1"/>
  <c r="L190" i="4"/>
  <c r="L229" i="4" s="1"/>
  <c r="R190" i="4"/>
  <c r="R229" i="4" s="1"/>
  <c r="Y190" i="4"/>
  <c r="Y229" i="4" s="1"/>
  <c r="AG190" i="4"/>
  <c r="AG229" i="4" s="1"/>
  <c r="F191" i="4"/>
  <c r="F230" i="4" s="1"/>
  <c r="L191" i="4"/>
  <c r="L230" i="4" s="1"/>
  <c r="T191" i="4"/>
  <c r="T230" i="4" s="1"/>
  <c r="AA191" i="4"/>
  <c r="AA230" i="4" s="1"/>
  <c r="AH191" i="4"/>
  <c r="AH230" i="4" s="1"/>
  <c r="H192" i="4"/>
  <c r="H231" i="4" s="1"/>
  <c r="N192" i="4"/>
  <c r="N231" i="4" s="1"/>
  <c r="U192" i="4"/>
  <c r="U231" i="4" s="1"/>
  <c r="AC192" i="4"/>
  <c r="AC231" i="4" s="1"/>
  <c r="AJ192" i="4"/>
  <c r="AJ231" i="4" s="1"/>
  <c r="H193" i="4"/>
  <c r="H232" i="4" s="1"/>
  <c r="P193" i="4"/>
  <c r="P232" i="4" s="1"/>
  <c r="W193" i="4"/>
  <c r="W232" i="4" s="1"/>
  <c r="AD193" i="4"/>
  <c r="AD232" i="4" s="1"/>
  <c r="D194" i="4"/>
  <c r="D233" i="4" s="1"/>
  <c r="J194" i="4"/>
  <c r="J233" i="4" s="1"/>
  <c r="Q194" i="4"/>
  <c r="Q233" i="4" s="1"/>
  <c r="Y194" i="4"/>
  <c r="Y233" i="4" s="1"/>
  <c r="AF194" i="4"/>
  <c r="AF233" i="4" s="1"/>
  <c r="D195" i="4"/>
  <c r="D234" i="4" s="1"/>
  <c r="L195" i="4"/>
  <c r="L234" i="4" s="1"/>
  <c r="S195" i="4"/>
  <c r="S234" i="4" s="1"/>
  <c r="Z195" i="4"/>
  <c r="Z234" i="4" s="1"/>
  <c r="AH195" i="4"/>
  <c r="AH234" i="4" s="1"/>
  <c r="F196" i="4"/>
  <c r="F235" i="4" s="1"/>
  <c r="M196" i="4"/>
  <c r="M235" i="4" s="1"/>
  <c r="U196" i="4"/>
  <c r="U235" i="4" s="1"/>
  <c r="AB196" i="4"/>
  <c r="AB235" i="4" s="1"/>
  <c r="AH196" i="4"/>
  <c r="AH235" i="4" s="1"/>
  <c r="H197" i="4"/>
  <c r="H236" i="4" s="1"/>
  <c r="O197" i="4"/>
  <c r="O236" i="4" s="1"/>
  <c r="V197" i="4"/>
  <c r="V236" i="4" s="1"/>
  <c r="AD197" i="4"/>
  <c r="AD236" i="4" s="1"/>
  <c r="AJ197" i="4"/>
  <c r="AJ236" i="4" s="1"/>
  <c r="I198" i="4"/>
  <c r="I237" i="4" s="1"/>
  <c r="Q198" i="4"/>
  <c r="Q237" i="4" s="1"/>
  <c r="X198" i="4"/>
  <c r="X237" i="4" s="1"/>
  <c r="AD198" i="4"/>
  <c r="AD237" i="4" s="1"/>
  <c r="D199" i="4"/>
  <c r="D238" i="4" s="1"/>
  <c r="K199" i="4"/>
  <c r="K238" i="4" s="1"/>
  <c r="R199" i="4"/>
  <c r="R238" i="4" s="1"/>
  <c r="Z199" i="4"/>
  <c r="Z238" i="4" s="1"/>
  <c r="AF199" i="4"/>
  <c r="AF238" i="4" s="1"/>
  <c r="E200" i="4"/>
  <c r="E239" i="4" s="1"/>
  <c r="M200" i="4"/>
  <c r="M239" i="4" s="1"/>
  <c r="T200" i="4"/>
  <c r="T239" i="4" s="1"/>
  <c r="Z200" i="4"/>
  <c r="Z239" i="4" s="1"/>
  <c r="AH200" i="4"/>
  <c r="AH239" i="4" s="1"/>
  <c r="G201" i="4"/>
  <c r="G240" i="4" s="1"/>
  <c r="N201" i="4"/>
  <c r="N240" i="4" s="1"/>
  <c r="V201" i="4"/>
  <c r="V240" i="4" s="1"/>
  <c r="AB201" i="4"/>
  <c r="AB240" i="4" s="1"/>
  <c r="AI201" i="4"/>
  <c r="AI240" i="4" s="1"/>
  <c r="I202" i="4"/>
  <c r="I241" i="4" s="1"/>
  <c r="P202" i="4"/>
  <c r="P241" i="4" s="1"/>
  <c r="V202" i="4"/>
  <c r="V241" i="4" s="1"/>
  <c r="AD202" i="4"/>
  <c r="AD241" i="4" s="1"/>
  <c r="AK202" i="4"/>
  <c r="AK241" i="4" s="1"/>
  <c r="J203" i="4"/>
  <c r="J242" i="4" s="1"/>
  <c r="R203" i="4"/>
  <c r="R242" i="4" s="1"/>
  <c r="X203" i="4"/>
  <c r="X242" i="4" s="1"/>
  <c r="AE203" i="4"/>
  <c r="AE242" i="4" s="1"/>
  <c r="E204" i="4"/>
  <c r="E243" i="4" s="1"/>
  <c r="L204" i="4"/>
  <c r="L243" i="4" s="1"/>
  <c r="R204" i="4"/>
  <c r="R243" i="4" s="1"/>
  <c r="Z204" i="4"/>
  <c r="Z243" i="4" s="1"/>
  <c r="AG204" i="4"/>
  <c r="AG243" i="4" s="1"/>
  <c r="F205" i="4"/>
  <c r="F244" i="4" s="1"/>
  <c r="N205" i="4"/>
  <c r="N244" i="4" s="1"/>
  <c r="T205" i="4"/>
  <c r="T244" i="4" s="1"/>
  <c r="AA205" i="4"/>
  <c r="AA244" i="4" s="1"/>
  <c r="AI205" i="4"/>
  <c r="AI244" i="4" s="1"/>
  <c r="H206" i="4"/>
  <c r="H245" i="4" s="1"/>
  <c r="N206" i="4"/>
  <c r="N245" i="4" s="1"/>
  <c r="V206" i="4"/>
  <c r="V245" i="4" s="1"/>
  <c r="AC206" i="4"/>
  <c r="AC245" i="4" s="1"/>
  <c r="AJ206" i="4"/>
  <c r="AJ245" i="4" s="1"/>
  <c r="J207" i="4"/>
  <c r="J246" i="4" s="1"/>
  <c r="P207" i="4"/>
  <c r="P246" i="4" s="1"/>
  <c r="W207" i="4"/>
  <c r="W246" i="4" s="1"/>
  <c r="AE207" i="4"/>
  <c r="AE246" i="4" s="1"/>
  <c r="D208" i="4"/>
  <c r="D247" i="4" s="1"/>
  <c r="J208" i="4"/>
  <c r="J247" i="4" s="1"/>
  <c r="R208" i="4"/>
  <c r="R247" i="4" s="1"/>
  <c r="Y208" i="4"/>
  <c r="Y247" i="4" s="1"/>
  <c r="AF208" i="4"/>
  <c r="AF247" i="4" s="1"/>
  <c r="F209" i="4"/>
  <c r="F248" i="4" s="1"/>
  <c r="L209" i="4"/>
  <c r="L248" i="4" s="1"/>
  <c r="S209" i="4"/>
  <c r="S248" i="4" s="1"/>
  <c r="AA209" i="4"/>
  <c r="AA248" i="4" s="1"/>
  <c r="AH209" i="4"/>
  <c r="AH248" i="4" s="1"/>
  <c r="F210" i="4"/>
  <c r="F249" i="4" s="1"/>
  <c r="N210" i="4"/>
  <c r="N249" i="4" s="1"/>
  <c r="U210" i="4"/>
  <c r="U249" i="4" s="1"/>
  <c r="AB210" i="4"/>
  <c r="AB249" i="4" s="1"/>
  <c r="AJ210" i="4"/>
  <c r="AJ249" i="4" s="1"/>
  <c r="H211" i="4"/>
  <c r="H250" i="4" s="1"/>
  <c r="O211" i="4"/>
  <c r="O250" i="4" s="1"/>
  <c r="W211" i="4"/>
  <c r="W250" i="4" s="1"/>
  <c r="AD211" i="4"/>
  <c r="AD250" i="4" s="1"/>
  <c r="AJ211" i="4"/>
  <c r="AJ250" i="4" s="1"/>
  <c r="J212" i="4"/>
  <c r="J251" i="4" s="1"/>
  <c r="Q212" i="4"/>
  <c r="Q251" i="4" s="1"/>
  <c r="X212" i="4"/>
  <c r="X251" i="4" s="1"/>
  <c r="AF212" i="4"/>
  <c r="AF251" i="4" s="1"/>
  <c r="D213" i="4"/>
  <c r="D252" i="4" s="1"/>
  <c r="K213" i="4"/>
  <c r="K252" i="4" s="1"/>
  <c r="S213" i="4"/>
  <c r="S252" i="4" s="1"/>
  <c r="Z213" i="4"/>
  <c r="Z252" i="4" s="1"/>
  <c r="AF213" i="4"/>
  <c r="AF252" i="4" s="1"/>
  <c r="F214" i="4"/>
  <c r="F253" i="4" s="1"/>
  <c r="M214" i="4"/>
  <c r="M253" i="4" s="1"/>
  <c r="T214" i="4"/>
  <c r="T253" i="4" s="1"/>
  <c r="AB214" i="4"/>
  <c r="AB253" i="4" s="1"/>
  <c r="AH214" i="4"/>
  <c r="AH253" i="4" s="1"/>
  <c r="G215" i="4"/>
  <c r="G254" i="4" s="1"/>
  <c r="O215" i="4"/>
  <c r="O254" i="4" s="1"/>
  <c r="V215" i="4"/>
  <c r="V254" i="4" s="1"/>
  <c r="AB215" i="4"/>
  <c r="AB254" i="4" s="1"/>
  <c r="AJ215" i="4"/>
  <c r="AJ254" i="4" s="1"/>
  <c r="I216" i="4"/>
  <c r="I255" i="4" s="1"/>
  <c r="P216" i="4"/>
  <c r="P255" i="4" s="1"/>
  <c r="X216" i="4"/>
  <c r="X255" i="4" s="1"/>
  <c r="AD216" i="4"/>
  <c r="AD255" i="4" s="1"/>
  <c r="AK216" i="4"/>
  <c r="AK255" i="4" s="1"/>
  <c r="K217" i="4"/>
  <c r="K256" i="4" s="1"/>
  <c r="R217" i="4"/>
  <c r="R256" i="4" s="1"/>
  <c r="X217" i="4"/>
  <c r="X256" i="4" s="1"/>
  <c r="AF217" i="4"/>
  <c r="AF256" i="4" s="1"/>
  <c r="E218" i="4"/>
  <c r="E257" i="4" s="1"/>
  <c r="L218" i="4"/>
  <c r="L257" i="4" s="1"/>
  <c r="T218" i="4"/>
  <c r="T257" i="4" s="1"/>
  <c r="Z218" i="4"/>
  <c r="Z257" i="4" s="1"/>
  <c r="AG218" i="4"/>
  <c r="AG257" i="4" s="1"/>
  <c r="G219" i="4"/>
  <c r="G258" i="4" s="1"/>
  <c r="N219" i="4"/>
  <c r="N258" i="4" s="1"/>
  <c r="T219" i="4"/>
  <c r="T258" i="4" s="1"/>
  <c r="AB219" i="4"/>
  <c r="AB258" i="4" s="1"/>
  <c r="AI219" i="4"/>
  <c r="AI258" i="4" s="1"/>
  <c r="H220" i="4"/>
  <c r="H259" i="4" s="1"/>
  <c r="P220" i="4"/>
  <c r="P259" i="4" s="1"/>
  <c r="V220" i="4"/>
  <c r="V259" i="4" s="1"/>
  <c r="AC220" i="4"/>
  <c r="AC259" i="4" s="1"/>
  <c r="AK220" i="4"/>
  <c r="AK259" i="4" s="1"/>
  <c r="G318" i="4"/>
  <c r="D356" i="4" s="1" a="1"/>
  <c r="K318" i="4"/>
  <c r="O318" i="4"/>
  <c r="S318" i="4"/>
  <c r="W318" i="4"/>
  <c r="AA318" i="4"/>
  <c r="AE318" i="4"/>
  <c r="AI318" i="4"/>
  <c r="E319" i="4"/>
  <c r="I319" i="4"/>
  <c r="M319" i="4"/>
  <c r="Q319" i="4"/>
  <c r="U319" i="4"/>
  <c r="Y319" i="4"/>
  <c r="AC319" i="4"/>
  <c r="AG319" i="4"/>
  <c r="AK319" i="4"/>
  <c r="G320" i="4"/>
  <c r="K320" i="4"/>
  <c r="O320" i="4"/>
  <c r="S320" i="4"/>
  <c r="W320" i="4"/>
  <c r="AA320" i="4"/>
  <c r="AE320" i="4"/>
  <c r="AI320" i="4"/>
  <c r="E321" i="4"/>
  <c r="I321" i="4"/>
  <c r="M321" i="4"/>
  <c r="Q321" i="4"/>
  <c r="U321" i="4"/>
  <c r="Y321" i="4"/>
  <c r="AC321" i="4"/>
  <c r="AG321" i="4"/>
  <c r="AK321" i="4"/>
  <c r="G322" i="4"/>
  <c r="K322" i="4"/>
  <c r="O322" i="4"/>
  <c r="S322" i="4"/>
  <c r="W322" i="4"/>
  <c r="AA322" i="4"/>
  <c r="AE322" i="4"/>
  <c r="AI322" i="4"/>
  <c r="E323" i="4"/>
  <c r="I323" i="4"/>
  <c r="M323" i="4"/>
  <c r="Q323" i="4"/>
  <c r="U323" i="4"/>
  <c r="Y323" i="4"/>
  <c r="AC323" i="4"/>
  <c r="AG323" i="4"/>
  <c r="AK323" i="4"/>
  <c r="G324" i="4"/>
  <c r="K324" i="4"/>
  <c r="O324" i="4"/>
  <c r="S324" i="4"/>
  <c r="W324" i="4"/>
  <c r="AA324" i="4"/>
  <c r="AE324" i="4"/>
  <c r="AI324" i="4"/>
  <c r="E325" i="4"/>
  <c r="I325" i="4"/>
  <c r="M325" i="4"/>
  <c r="Q325" i="4"/>
  <c r="U325" i="4"/>
  <c r="Y325" i="4"/>
  <c r="AC325" i="4"/>
  <c r="AG325" i="4"/>
  <c r="AK325" i="4"/>
  <c r="G326" i="4"/>
  <c r="K326" i="4"/>
  <c r="O326" i="4"/>
  <c r="S326" i="4"/>
  <c r="W326" i="4"/>
  <c r="AA326" i="4"/>
  <c r="AE326" i="4"/>
  <c r="AI326" i="4"/>
  <c r="E327" i="4"/>
  <c r="I327" i="4"/>
  <c r="M327" i="4"/>
  <c r="Q327" i="4"/>
  <c r="U327" i="4"/>
  <c r="Y327" i="4"/>
  <c r="AC327" i="4"/>
  <c r="AG327" i="4"/>
  <c r="AK327" i="4"/>
  <c r="G328" i="4"/>
  <c r="K328" i="4"/>
  <c r="O328" i="4"/>
  <c r="S328" i="4"/>
  <c r="W328" i="4"/>
  <c r="AA328" i="4"/>
  <c r="AE328" i="4"/>
  <c r="AI328" i="4"/>
  <c r="E329" i="4"/>
  <c r="I329" i="4"/>
  <c r="M329" i="4"/>
  <c r="Q329" i="4"/>
  <c r="U329" i="4"/>
  <c r="Y329" i="4"/>
  <c r="AC329" i="4"/>
  <c r="AG329" i="4"/>
  <c r="AK329" i="4"/>
  <c r="G330" i="4"/>
  <c r="K330" i="4"/>
  <c r="O330" i="4"/>
  <c r="S330" i="4"/>
  <c r="W330" i="4"/>
  <c r="AA330" i="4"/>
  <c r="AE330" i="4"/>
  <c r="AI330" i="4"/>
  <c r="E331" i="4"/>
  <c r="I331" i="4"/>
  <c r="M331" i="4"/>
  <c r="Q331" i="4"/>
  <c r="U331" i="4"/>
  <c r="Y331" i="4"/>
  <c r="AC331" i="4"/>
  <c r="AG331" i="4"/>
  <c r="AK331" i="4"/>
  <c r="G332" i="4"/>
  <c r="K332" i="4"/>
  <c r="O332" i="4"/>
  <c r="S332" i="4"/>
  <c r="W332" i="4"/>
  <c r="AA332" i="4"/>
  <c r="AE332" i="4"/>
  <c r="AI332" i="4"/>
  <c r="E333" i="4"/>
  <c r="I333" i="4"/>
  <c r="M333" i="4"/>
  <c r="Q333" i="4"/>
  <c r="U333" i="4"/>
  <c r="Y333" i="4"/>
  <c r="AC333" i="4"/>
  <c r="AG333" i="4"/>
  <c r="AK333" i="4"/>
  <c r="G334" i="4"/>
  <c r="K334" i="4"/>
  <c r="O334" i="4"/>
  <c r="S334" i="4"/>
  <c r="W334" i="4"/>
  <c r="AA334" i="4"/>
  <c r="AE334" i="4"/>
  <c r="AI334" i="4"/>
  <c r="E335" i="4"/>
  <c r="I335" i="4"/>
  <c r="M335" i="4"/>
  <c r="Q335" i="4"/>
  <c r="U335" i="4"/>
  <c r="Y335" i="4"/>
  <c r="AC335" i="4"/>
  <c r="AG335" i="4"/>
  <c r="AK335" i="4"/>
  <c r="G336" i="4"/>
  <c r="K336" i="4"/>
  <c r="O336" i="4"/>
  <c r="S336" i="4"/>
  <c r="W336" i="4"/>
  <c r="AA336" i="4"/>
  <c r="AE336" i="4"/>
  <c r="AI336" i="4"/>
  <c r="E337" i="4"/>
  <c r="I337" i="4"/>
  <c r="M337" i="4"/>
  <c r="Q337" i="4"/>
  <c r="U337" i="4"/>
  <c r="Y337" i="4"/>
  <c r="AC337" i="4"/>
  <c r="AG337" i="4"/>
  <c r="AK337" i="4"/>
  <c r="G338" i="4"/>
  <c r="K338" i="4"/>
  <c r="O338" i="4"/>
  <c r="S338" i="4"/>
  <c r="W338" i="4"/>
  <c r="AA338" i="4"/>
  <c r="AE338" i="4"/>
  <c r="AI338" i="4"/>
  <c r="E339" i="4"/>
  <c r="I339" i="4"/>
  <c r="M339" i="4"/>
  <c r="Q339" i="4"/>
  <c r="U339" i="4"/>
  <c r="Y339" i="4"/>
  <c r="AC339" i="4"/>
  <c r="AG339" i="4"/>
  <c r="AK339" i="4"/>
  <c r="G340" i="4"/>
  <c r="K340" i="4"/>
  <c r="O340" i="4"/>
  <c r="S340" i="4"/>
  <c r="W340" i="4"/>
  <c r="AA340" i="4"/>
  <c r="AE340" i="4"/>
  <c r="AI340" i="4"/>
  <c r="E341" i="4"/>
  <c r="I341" i="4"/>
  <c r="M341" i="4"/>
  <c r="Q341" i="4"/>
  <c r="U341" i="4"/>
  <c r="Y341" i="4"/>
  <c r="AC341" i="4"/>
  <c r="AG341" i="4"/>
  <c r="AK341" i="4"/>
  <c r="G342" i="4"/>
  <c r="K342" i="4"/>
  <c r="O342" i="4"/>
  <c r="S342" i="4"/>
  <c r="W342" i="4"/>
  <c r="AA342" i="4"/>
  <c r="AE342" i="4"/>
  <c r="AI342" i="4"/>
  <c r="E343" i="4"/>
  <c r="I343" i="4"/>
  <c r="M343" i="4"/>
  <c r="Q343" i="4"/>
  <c r="U343" i="4"/>
  <c r="Y343" i="4"/>
  <c r="AC343" i="4"/>
  <c r="AG343" i="4"/>
  <c r="AK343" i="4"/>
  <c r="G344" i="4"/>
  <c r="K344" i="4"/>
  <c r="O344" i="4"/>
  <c r="S344" i="4"/>
  <c r="W344" i="4"/>
  <c r="AA344" i="4"/>
  <c r="AE344" i="4"/>
  <c r="AI344" i="4"/>
  <c r="E345" i="4"/>
  <c r="I345" i="4"/>
  <c r="M345" i="4"/>
  <c r="Q345" i="4"/>
  <c r="U345" i="4"/>
  <c r="Y345" i="4"/>
  <c r="AC345" i="4"/>
  <c r="AG345" i="4"/>
  <c r="AK345" i="4"/>
  <c r="G346" i="4"/>
  <c r="K346" i="4"/>
  <c r="O346" i="4"/>
  <c r="S346" i="4"/>
  <c r="W346" i="4"/>
  <c r="AA346" i="4"/>
  <c r="AE346" i="4"/>
  <c r="AI346" i="4"/>
  <c r="E347" i="4"/>
  <c r="I347" i="4"/>
  <c r="M347" i="4"/>
  <c r="Q347" i="4"/>
  <c r="U347" i="4"/>
  <c r="Y347" i="4"/>
  <c r="AC347" i="4"/>
  <c r="AG347" i="4"/>
  <c r="AK347" i="4"/>
  <c r="G348" i="4"/>
  <c r="K348" i="4"/>
  <c r="O348" i="4"/>
  <c r="S348" i="4"/>
  <c r="W348" i="4"/>
  <c r="AA348" i="4"/>
  <c r="AE348" i="4"/>
  <c r="AI348" i="4"/>
  <c r="E349" i="4"/>
  <c r="I349" i="4"/>
  <c r="M349" i="4"/>
  <c r="Q349" i="4"/>
  <c r="U349" i="4"/>
  <c r="Y349" i="4"/>
  <c r="AC349" i="4"/>
  <c r="AG349" i="4"/>
  <c r="AK349" i="4"/>
  <c r="G350" i="4"/>
  <c r="K350" i="4"/>
  <c r="O350" i="4"/>
  <c r="S350" i="4"/>
  <c r="W350" i="4"/>
  <c r="AA350" i="4"/>
  <c r="AE350" i="4"/>
  <c r="AI350" i="4"/>
  <c r="E351" i="4"/>
  <c r="I351" i="4"/>
  <c r="M351" i="4"/>
  <c r="Q351" i="4"/>
  <c r="U351" i="4"/>
  <c r="Y351" i="4"/>
  <c r="AC351" i="4"/>
  <c r="AG351" i="4"/>
  <c r="D21" i="2"/>
  <c r="D19" i="2"/>
  <c r="D18" i="2"/>
  <c r="C24" i="2" s="1" a="1"/>
  <c r="C19" i="2"/>
  <c r="E101" i="1"/>
  <c r="D97" i="1"/>
  <c r="D110" i="1" l="1" a="1"/>
  <c r="AI389" i="4"/>
  <c r="AE389" i="4"/>
  <c r="AA389" i="4"/>
  <c r="W389" i="4"/>
  <c r="S389" i="4"/>
  <c r="O389" i="4"/>
  <c r="K389" i="4"/>
  <c r="G389" i="4"/>
  <c r="AK388" i="4"/>
  <c r="AG388" i="4"/>
  <c r="AC388" i="4"/>
  <c r="Y388" i="4"/>
  <c r="U388" i="4"/>
  <c r="Q388" i="4"/>
  <c r="M388" i="4"/>
  <c r="I388" i="4"/>
  <c r="E388" i="4"/>
  <c r="AI387" i="4"/>
  <c r="AE387" i="4"/>
  <c r="AA387" i="4"/>
  <c r="W387" i="4"/>
  <c r="S387" i="4"/>
  <c r="O387" i="4"/>
  <c r="K387" i="4"/>
  <c r="G387" i="4"/>
  <c r="AK386" i="4"/>
  <c r="AG386" i="4"/>
  <c r="AC386" i="4"/>
  <c r="Y386" i="4"/>
  <c r="U386" i="4"/>
  <c r="Q386" i="4"/>
  <c r="M386" i="4"/>
  <c r="I386" i="4"/>
  <c r="E386" i="4"/>
  <c r="AI385" i="4"/>
  <c r="AE385" i="4"/>
  <c r="AA385" i="4"/>
  <c r="W385" i="4"/>
  <c r="S385" i="4"/>
  <c r="O385" i="4"/>
  <c r="K385" i="4"/>
  <c r="G385" i="4"/>
  <c r="AK384" i="4"/>
  <c r="AG384" i="4"/>
  <c r="AC384" i="4"/>
  <c r="Y384" i="4"/>
  <c r="U384" i="4"/>
  <c r="Q384" i="4"/>
  <c r="M384" i="4"/>
  <c r="I384" i="4"/>
  <c r="E384" i="4"/>
  <c r="AI383" i="4"/>
  <c r="AE383" i="4"/>
  <c r="AA383" i="4"/>
  <c r="W383" i="4"/>
  <c r="S383" i="4"/>
  <c r="O383" i="4"/>
  <c r="K383" i="4"/>
  <c r="G383" i="4"/>
  <c r="AK382" i="4"/>
  <c r="AG382" i="4"/>
  <c r="AC382" i="4"/>
  <c r="Y382" i="4"/>
  <c r="U382" i="4"/>
  <c r="Q382" i="4"/>
  <c r="M382" i="4"/>
  <c r="I382" i="4"/>
  <c r="E382" i="4"/>
  <c r="AI381" i="4"/>
  <c r="AE381" i="4"/>
  <c r="AA381" i="4"/>
  <c r="W381" i="4"/>
  <c r="S381" i="4"/>
  <c r="O381" i="4"/>
  <c r="K381" i="4"/>
  <c r="G381" i="4"/>
  <c r="AK380" i="4"/>
  <c r="AG380" i="4"/>
  <c r="AC380" i="4"/>
  <c r="Y380" i="4"/>
  <c r="U380" i="4"/>
  <c r="Q380" i="4"/>
  <c r="M380" i="4"/>
  <c r="I380" i="4"/>
  <c r="E380" i="4"/>
  <c r="AI379" i="4"/>
  <c r="AE379" i="4"/>
  <c r="AA379" i="4"/>
  <c r="W379" i="4"/>
  <c r="S379" i="4"/>
  <c r="O379" i="4"/>
  <c r="K379" i="4"/>
  <c r="G379" i="4"/>
  <c r="AK378" i="4"/>
  <c r="AG378" i="4"/>
  <c r="AC378" i="4"/>
  <c r="Y378" i="4"/>
  <c r="U378" i="4"/>
  <c r="Q378" i="4"/>
  <c r="M378" i="4"/>
  <c r="I378" i="4"/>
  <c r="E378" i="4"/>
  <c r="AI377" i="4"/>
  <c r="AE377" i="4"/>
  <c r="AA377" i="4"/>
  <c r="W377" i="4"/>
  <c r="S377" i="4"/>
  <c r="O377" i="4"/>
  <c r="K377" i="4"/>
  <c r="G377" i="4"/>
  <c r="AK376" i="4"/>
  <c r="AG376" i="4"/>
  <c r="AC376" i="4"/>
  <c r="Y376" i="4"/>
  <c r="U376" i="4"/>
  <c r="Q376" i="4"/>
  <c r="M376" i="4"/>
  <c r="I376" i="4"/>
  <c r="E376" i="4"/>
  <c r="AI375" i="4"/>
  <c r="AE375" i="4"/>
  <c r="AA375" i="4"/>
  <c r="W375" i="4"/>
  <c r="S375" i="4"/>
  <c r="O375" i="4"/>
  <c r="K375" i="4"/>
  <c r="G375" i="4"/>
  <c r="AK374" i="4"/>
  <c r="AG374" i="4"/>
  <c r="AC374" i="4"/>
  <c r="Y374" i="4"/>
  <c r="U374" i="4"/>
  <c r="Q374" i="4"/>
  <c r="M374" i="4"/>
  <c r="I374" i="4"/>
  <c r="E374" i="4"/>
  <c r="AI373" i="4"/>
  <c r="AE373" i="4"/>
  <c r="AA373" i="4"/>
  <c r="W373" i="4"/>
  <c r="S373" i="4"/>
  <c r="O373" i="4"/>
  <c r="K373" i="4"/>
  <c r="G373" i="4"/>
  <c r="AK372" i="4"/>
  <c r="AG372" i="4"/>
  <c r="AC372" i="4"/>
  <c r="Y372" i="4"/>
  <c r="U372" i="4"/>
  <c r="AK389" i="4"/>
  <c r="AF389" i="4"/>
  <c r="Z389" i="4"/>
  <c r="U389" i="4"/>
  <c r="P389" i="4"/>
  <c r="J389" i="4"/>
  <c r="E389" i="4"/>
  <c r="AH388" i="4"/>
  <c r="AB388" i="4"/>
  <c r="W388" i="4"/>
  <c r="R388" i="4"/>
  <c r="L388" i="4"/>
  <c r="G388" i="4"/>
  <c r="AJ387" i="4"/>
  <c r="AD387" i="4"/>
  <c r="Y387" i="4"/>
  <c r="T387" i="4"/>
  <c r="N387" i="4"/>
  <c r="I387" i="4"/>
  <c r="D387" i="4"/>
  <c r="AF386" i="4"/>
  <c r="AA386" i="4"/>
  <c r="V386" i="4"/>
  <c r="P386" i="4"/>
  <c r="K386" i="4"/>
  <c r="F386" i="4"/>
  <c r="AH385" i="4"/>
  <c r="AC385" i="4"/>
  <c r="X385" i="4"/>
  <c r="R385" i="4"/>
  <c r="M385" i="4"/>
  <c r="H385" i="4"/>
  <c r="AJ384" i="4"/>
  <c r="AE384" i="4"/>
  <c r="Z384" i="4"/>
  <c r="T384" i="4"/>
  <c r="O384" i="4"/>
  <c r="J384" i="4"/>
  <c r="D384" i="4"/>
  <c r="AG383" i="4"/>
  <c r="AB383" i="4"/>
  <c r="V383" i="4"/>
  <c r="Q383" i="4"/>
  <c r="L383" i="4"/>
  <c r="F383" i="4"/>
  <c r="AI382" i="4"/>
  <c r="AD382" i="4"/>
  <c r="X382" i="4"/>
  <c r="S382" i="4"/>
  <c r="N382" i="4"/>
  <c r="H382" i="4"/>
  <c r="AK381" i="4"/>
  <c r="AF381" i="4"/>
  <c r="Z381" i="4"/>
  <c r="U381" i="4"/>
  <c r="P381" i="4"/>
  <c r="J381" i="4"/>
  <c r="E381" i="4"/>
  <c r="AH380" i="4"/>
  <c r="AB380" i="4"/>
  <c r="W380" i="4"/>
  <c r="R380" i="4"/>
  <c r="L380" i="4"/>
  <c r="G380" i="4"/>
  <c r="AJ379" i="4"/>
  <c r="AD379" i="4"/>
  <c r="Y379" i="4"/>
  <c r="T379" i="4"/>
  <c r="N379" i="4"/>
  <c r="I379" i="4"/>
  <c r="D379" i="4"/>
  <c r="AF378" i="4"/>
  <c r="AA378" i="4"/>
  <c r="V378" i="4"/>
  <c r="P378" i="4"/>
  <c r="K378" i="4"/>
  <c r="F378" i="4"/>
  <c r="AH377" i="4"/>
  <c r="AC377" i="4"/>
  <c r="X377" i="4"/>
  <c r="R377" i="4"/>
  <c r="M377" i="4"/>
  <c r="H377" i="4"/>
  <c r="AJ376" i="4"/>
  <c r="AE376" i="4"/>
  <c r="Z376" i="4"/>
  <c r="T376" i="4"/>
  <c r="O376" i="4"/>
  <c r="J376" i="4"/>
  <c r="D376" i="4"/>
  <c r="AG375" i="4"/>
  <c r="AB375" i="4"/>
  <c r="V375" i="4"/>
  <c r="Q375" i="4"/>
  <c r="L375" i="4"/>
  <c r="F375" i="4"/>
  <c r="AI374" i="4"/>
  <c r="AD374" i="4"/>
  <c r="X374" i="4"/>
  <c r="S374" i="4"/>
  <c r="N374" i="4"/>
  <c r="H374" i="4"/>
  <c r="AK373" i="4"/>
  <c r="AF373" i="4"/>
  <c r="Z373" i="4"/>
  <c r="U373" i="4"/>
  <c r="P373" i="4"/>
  <c r="J373" i="4"/>
  <c r="E373" i="4"/>
  <c r="AH372" i="4"/>
  <c r="AB372" i="4"/>
  <c r="W372" i="4"/>
  <c r="R372" i="4"/>
  <c r="N372" i="4"/>
  <c r="J372" i="4"/>
  <c r="F372" i="4"/>
  <c r="AJ371" i="4"/>
  <c r="AF371" i="4"/>
  <c r="AB371" i="4"/>
  <c r="X371" i="4"/>
  <c r="T371" i="4"/>
  <c r="P371" i="4"/>
  <c r="L371" i="4"/>
  <c r="H371" i="4"/>
  <c r="D371" i="4"/>
  <c r="AH370" i="4"/>
  <c r="AD370" i="4"/>
  <c r="Z370" i="4"/>
  <c r="V370" i="4"/>
  <c r="R370" i="4"/>
  <c r="N370" i="4"/>
  <c r="J370" i="4"/>
  <c r="F370" i="4"/>
  <c r="AJ369" i="4"/>
  <c r="AF369" i="4"/>
  <c r="AB369" i="4"/>
  <c r="X369" i="4"/>
  <c r="T369" i="4"/>
  <c r="P369" i="4"/>
  <c r="L369" i="4"/>
  <c r="H369" i="4"/>
  <c r="D369" i="4"/>
  <c r="AH368" i="4"/>
  <c r="AD368" i="4"/>
  <c r="Z368" i="4"/>
  <c r="V368" i="4"/>
  <c r="R368" i="4"/>
  <c r="N368" i="4"/>
  <c r="J368" i="4"/>
  <c r="F368" i="4"/>
  <c r="AJ367" i="4"/>
  <c r="AF367" i="4"/>
  <c r="AB367" i="4"/>
  <c r="X367" i="4"/>
  <c r="T367" i="4"/>
  <c r="P367" i="4"/>
  <c r="L367" i="4"/>
  <c r="H367" i="4"/>
  <c r="D367" i="4"/>
  <c r="AH366" i="4"/>
  <c r="AD366" i="4"/>
  <c r="Z366" i="4"/>
  <c r="V366" i="4"/>
  <c r="R366" i="4"/>
  <c r="N366" i="4"/>
  <c r="J366" i="4"/>
  <c r="F366" i="4"/>
  <c r="AJ365" i="4"/>
  <c r="AF365" i="4"/>
  <c r="AB365" i="4"/>
  <c r="X365" i="4"/>
  <c r="T365" i="4"/>
  <c r="P365" i="4"/>
  <c r="L365" i="4"/>
  <c r="H365" i="4"/>
  <c r="D365" i="4"/>
  <c r="AH364" i="4"/>
  <c r="AD364" i="4"/>
  <c r="Z364" i="4"/>
  <c r="V364" i="4"/>
  <c r="R364" i="4"/>
  <c r="N364" i="4"/>
  <c r="J364" i="4"/>
  <c r="F364" i="4"/>
  <c r="AJ363" i="4"/>
  <c r="AF363" i="4"/>
  <c r="AB363" i="4"/>
  <c r="X363" i="4"/>
  <c r="T363" i="4"/>
  <c r="P363" i="4"/>
  <c r="L363" i="4"/>
  <c r="H363" i="4"/>
  <c r="D363" i="4"/>
  <c r="AH362" i="4"/>
  <c r="AD362" i="4"/>
  <c r="Z362" i="4"/>
  <c r="V362" i="4"/>
  <c r="R362" i="4"/>
  <c r="N362" i="4"/>
  <c r="J362" i="4"/>
  <c r="F362" i="4"/>
  <c r="AJ361" i="4"/>
  <c r="AF361" i="4"/>
  <c r="AB361" i="4"/>
  <c r="X361" i="4"/>
  <c r="T361" i="4"/>
  <c r="P361" i="4"/>
  <c r="L361" i="4"/>
  <c r="H361" i="4"/>
  <c r="D361" i="4"/>
  <c r="AH360" i="4"/>
  <c r="AD360" i="4"/>
  <c r="Z360" i="4"/>
  <c r="V360" i="4"/>
  <c r="R360" i="4"/>
  <c r="N360" i="4"/>
  <c r="J360" i="4"/>
  <c r="F360" i="4"/>
  <c r="AJ359" i="4"/>
  <c r="AF359" i="4"/>
  <c r="AB359" i="4"/>
  <c r="X359" i="4"/>
  <c r="T359" i="4"/>
  <c r="P359" i="4"/>
  <c r="L359" i="4"/>
  <c r="H359" i="4"/>
  <c r="D359" i="4"/>
  <c r="AH358" i="4"/>
  <c r="AD358" i="4"/>
  <c r="Z358" i="4"/>
  <c r="V358" i="4"/>
  <c r="R358" i="4"/>
  <c r="N358" i="4"/>
  <c r="J358" i="4"/>
  <c r="F358" i="4"/>
  <c r="AJ357" i="4"/>
  <c r="AF357" i="4"/>
  <c r="AB357" i="4"/>
  <c r="X357" i="4"/>
  <c r="T357" i="4"/>
  <c r="P357" i="4"/>
  <c r="L357" i="4"/>
  <c r="H357" i="4"/>
  <c r="D357" i="4"/>
  <c r="AH356" i="4"/>
  <c r="AD356" i="4"/>
  <c r="Z356" i="4"/>
  <c r="V356" i="4"/>
  <c r="R356" i="4"/>
  <c r="N356" i="4"/>
  <c r="J356" i="4"/>
  <c r="F356" i="4"/>
  <c r="AJ389" i="4"/>
  <c r="AC389" i="4"/>
  <c r="V389" i="4"/>
  <c r="N389" i="4"/>
  <c r="H389" i="4"/>
  <c r="AI388" i="4"/>
  <c r="AA388" i="4"/>
  <c r="T388" i="4"/>
  <c r="N388" i="4"/>
  <c r="F388" i="4"/>
  <c r="AG387" i="4"/>
  <c r="Z387" i="4"/>
  <c r="R387" i="4"/>
  <c r="L387" i="4"/>
  <c r="E387" i="4"/>
  <c r="AE386" i="4"/>
  <c r="X386" i="4"/>
  <c r="R386" i="4"/>
  <c r="J386" i="4"/>
  <c r="AK385" i="4"/>
  <c r="AD385" i="4"/>
  <c r="V385" i="4"/>
  <c r="P385" i="4"/>
  <c r="I385" i="4"/>
  <c r="AI384" i="4"/>
  <c r="AB384" i="4"/>
  <c r="V384" i="4"/>
  <c r="N384" i="4"/>
  <c r="G384" i="4"/>
  <c r="AH383" i="4"/>
  <c r="Z383" i="4"/>
  <c r="T383" i="4"/>
  <c r="M383" i="4"/>
  <c r="E383" i="4"/>
  <c r="AF382" i="4"/>
  <c r="Z382" i="4"/>
  <c r="R382" i="4"/>
  <c r="K382" i="4"/>
  <c r="D382" i="4"/>
  <c r="AD381" i="4"/>
  <c r="X381" i="4"/>
  <c r="Q381" i="4"/>
  <c r="I381" i="4"/>
  <c r="AJ380" i="4"/>
  <c r="AD380" i="4"/>
  <c r="V380" i="4"/>
  <c r="O380" i="4"/>
  <c r="H380" i="4"/>
  <c r="AH379" i="4"/>
  <c r="AB379" i="4"/>
  <c r="U379" i="4"/>
  <c r="M379" i="4"/>
  <c r="F379" i="4"/>
  <c r="AH378" i="4"/>
  <c r="Z378" i="4"/>
  <c r="S378" i="4"/>
  <c r="L378" i="4"/>
  <c r="D378" i="4"/>
  <c r="AF377" i="4"/>
  <c r="Y377" i="4"/>
  <c r="Q377" i="4"/>
  <c r="J377" i="4"/>
  <c r="D377" i="4"/>
  <c r="AD376" i="4"/>
  <c r="W376" i="4"/>
  <c r="P376" i="4"/>
  <c r="H376" i="4"/>
  <c r="AJ375" i="4"/>
  <c r="AC375" i="4"/>
  <c r="U375" i="4"/>
  <c r="N375" i="4"/>
  <c r="H375" i="4"/>
  <c r="AH374" i="4"/>
  <c r="AA374" i="4"/>
  <c r="T374" i="4"/>
  <c r="L374" i="4"/>
  <c r="F374" i="4"/>
  <c r="AG373" i="4"/>
  <c r="Y373" i="4"/>
  <c r="R373" i="4"/>
  <c r="L373" i="4"/>
  <c r="D373" i="4"/>
  <c r="AE372" i="4"/>
  <c r="X372" i="4"/>
  <c r="Q372" i="4"/>
  <c r="L372" i="4"/>
  <c r="G372" i="4"/>
  <c r="AI371" i="4"/>
  <c r="AD371" i="4"/>
  <c r="Y371" i="4"/>
  <c r="S371" i="4"/>
  <c r="N371" i="4"/>
  <c r="I371" i="4"/>
  <c r="AK370" i="4"/>
  <c r="AF370" i="4"/>
  <c r="AA370" i="4"/>
  <c r="U370" i="4"/>
  <c r="P370" i="4"/>
  <c r="K370" i="4"/>
  <c r="E370" i="4"/>
  <c r="AH369" i="4"/>
  <c r="AC369" i="4"/>
  <c r="W369" i="4"/>
  <c r="R369" i="4"/>
  <c r="M369" i="4"/>
  <c r="G369" i="4"/>
  <c r="AJ368" i="4"/>
  <c r="AE368" i="4"/>
  <c r="Y368" i="4"/>
  <c r="T368" i="4"/>
  <c r="O368" i="4"/>
  <c r="I368" i="4"/>
  <c r="D368" i="4"/>
  <c r="AG367" i="4"/>
  <c r="AA367" i="4"/>
  <c r="V367" i="4"/>
  <c r="Q367" i="4"/>
  <c r="K367" i="4"/>
  <c r="F367" i="4"/>
  <c r="AI366" i="4"/>
  <c r="AC366" i="4"/>
  <c r="X366" i="4"/>
  <c r="S366" i="4"/>
  <c r="M366" i="4"/>
  <c r="H366" i="4"/>
  <c r="AK365" i="4"/>
  <c r="AE365" i="4"/>
  <c r="Z365" i="4"/>
  <c r="U365" i="4"/>
  <c r="O365" i="4"/>
  <c r="J365" i="4"/>
  <c r="E365" i="4"/>
  <c r="AG364" i="4"/>
  <c r="AB364" i="4"/>
  <c r="W364" i="4"/>
  <c r="Q364" i="4"/>
  <c r="L364" i="4"/>
  <c r="G364" i="4"/>
  <c r="AI363" i="4"/>
  <c r="AD363" i="4"/>
  <c r="Y363" i="4"/>
  <c r="S363" i="4"/>
  <c r="N363" i="4"/>
  <c r="I363" i="4"/>
  <c r="AK362" i="4"/>
  <c r="AF362" i="4"/>
  <c r="AA362" i="4"/>
  <c r="U362" i="4"/>
  <c r="P362" i="4"/>
  <c r="K362" i="4"/>
  <c r="E362" i="4"/>
  <c r="AH361" i="4"/>
  <c r="AC361" i="4"/>
  <c r="W361" i="4"/>
  <c r="R361" i="4"/>
  <c r="M361" i="4"/>
  <c r="G361" i="4"/>
  <c r="AJ360" i="4"/>
  <c r="AE360" i="4"/>
  <c r="Y360" i="4"/>
  <c r="T360" i="4"/>
  <c r="O360" i="4"/>
  <c r="I360" i="4"/>
  <c r="D360" i="4"/>
  <c r="AG359" i="4"/>
  <c r="AA359" i="4"/>
  <c r="V359" i="4"/>
  <c r="Q359" i="4"/>
  <c r="K359" i="4"/>
  <c r="F359" i="4"/>
  <c r="AI358" i="4"/>
  <c r="AC358" i="4"/>
  <c r="X358" i="4"/>
  <c r="S358" i="4"/>
  <c r="M358" i="4"/>
  <c r="H358" i="4"/>
  <c r="AK357" i="4"/>
  <c r="AE357" i="4"/>
  <c r="Z357" i="4"/>
  <c r="U357" i="4"/>
  <c r="O357" i="4"/>
  <c r="J357" i="4"/>
  <c r="E357" i="4"/>
  <c r="AG356" i="4"/>
  <c r="AB356" i="4"/>
  <c r="W356" i="4"/>
  <c r="Q356" i="4"/>
  <c r="L356" i="4"/>
  <c r="G356" i="4"/>
  <c r="AH389" i="4"/>
  <c r="AB389" i="4"/>
  <c r="T389" i="4"/>
  <c r="M389" i="4"/>
  <c r="F389" i="4"/>
  <c r="AF388" i="4"/>
  <c r="Z388" i="4"/>
  <c r="S388" i="4"/>
  <c r="K388" i="4"/>
  <c r="D388" i="4"/>
  <c r="AF387" i="4"/>
  <c r="X387" i="4"/>
  <c r="Q387" i="4"/>
  <c r="J387" i="4"/>
  <c r="AJ386" i="4"/>
  <c r="AD386" i="4"/>
  <c r="W386" i="4"/>
  <c r="O386" i="4"/>
  <c r="H386" i="4"/>
  <c r="AJ385" i="4"/>
  <c r="AB385" i="4"/>
  <c r="U385" i="4"/>
  <c r="N385" i="4"/>
  <c r="F385" i="4"/>
  <c r="AH384" i="4"/>
  <c r="AA384" i="4"/>
  <c r="S384" i="4"/>
  <c r="L384" i="4"/>
  <c r="F384" i="4"/>
  <c r="AF383" i="4"/>
  <c r="Y383" i="4"/>
  <c r="R383" i="4"/>
  <c r="J383" i="4"/>
  <c r="D383" i="4"/>
  <c r="AE382" i="4"/>
  <c r="W382" i="4"/>
  <c r="P382" i="4"/>
  <c r="J382" i="4"/>
  <c r="AJ381" i="4"/>
  <c r="AC381" i="4"/>
  <c r="V381" i="4"/>
  <c r="N381" i="4"/>
  <c r="H381" i="4"/>
  <c r="AI380" i="4"/>
  <c r="AA380" i="4"/>
  <c r="T380" i="4"/>
  <c r="N380" i="4"/>
  <c r="F380" i="4"/>
  <c r="AG379" i="4"/>
  <c r="Z379" i="4"/>
  <c r="R379" i="4"/>
  <c r="L379" i="4"/>
  <c r="E379" i="4"/>
  <c r="AE378" i="4"/>
  <c r="X378" i="4"/>
  <c r="R378" i="4"/>
  <c r="J378" i="4"/>
  <c r="AK377" i="4"/>
  <c r="AD377" i="4"/>
  <c r="V377" i="4"/>
  <c r="P377" i="4"/>
  <c r="I377" i="4"/>
  <c r="AI376" i="4"/>
  <c r="AB376" i="4"/>
  <c r="V376" i="4"/>
  <c r="N376" i="4"/>
  <c r="G376" i="4"/>
  <c r="AH375" i="4"/>
  <c r="Z375" i="4"/>
  <c r="T375" i="4"/>
  <c r="M375" i="4"/>
  <c r="E375" i="4"/>
  <c r="AF374" i="4"/>
  <c r="Z374" i="4"/>
  <c r="R374" i="4"/>
  <c r="K374" i="4"/>
  <c r="D374" i="4"/>
  <c r="AD373" i="4"/>
  <c r="X373" i="4"/>
  <c r="Q373" i="4"/>
  <c r="I373" i="4"/>
  <c r="AJ372" i="4"/>
  <c r="AD372" i="4"/>
  <c r="V372" i="4"/>
  <c r="P372" i="4"/>
  <c r="K372" i="4"/>
  <c r="E372" i="4"/>
  <c r="AH371" i="4"/>
  <c r="AC371" i="4"/>
  <c r="W371" i="4"/>
  <c r="R371" i="4"/>
  <c r="M371" i="4"/>
  <c r="G371" i="4"/>
  <c r="AJ370" i="4"/>
  <c r="AE370" i="4"/>
  <c r="Y370" i="4"/>
  <c r="T370" i="4"/>
  <c r="O370" i="4"/>
  <c r="AG389" i="4"/>
  <c r="R389" i="4"/>
  <c r="D389" i="4"/>
  <c r="X388" i="4"/>
  <c r="J388" i="4"/>
  <c r="AC387" i="4"/>
  <c r="P387" i="4"/>
  <c r="AI386" i="4"/>
  <c r="T386" i="4"/>
  <c r="G386" i="4"/>
  <c r="Z385" i="4"/>
  <c r="L385" i="4"/>
  <c r="AF384" i="4"/>
  <c r="R384" i="4"/>
  <c r="AK383" i="4"/>
  <c r="X383" i="4"/>
  <c r="I383" i="4"/>
  <c r="AB382" i="4"/>
  <c r="O382" i="4"/>
  <c r="AH381" i="4"/>
  <c r="T381" i="4"/>
  <c r="F381" i="4"/>
  <c r="Z380" i="4"/>
  <c r="K380" i="4"/>
  <c r="AF379" i="4"/>
  <c r="Q379" i="4"/>
  <c r="AJ378" i="4"/>
  <c r="W378" i="4"/>
  <c r="H378" i="4"/>
  <c r="AB377" i="4"/>
  <c r="N377" i="4"/>
  <c r="AH376" i="4"/>
  <c r="S376" i="4"/>
  <c r="F376" i="4"/>
  <c r="Y375" i="4"/>
  <c r="J375" i="4"/>
  <c r="AE374" i="4"/>
  <c r="P374" i="4"/>
  <c r="AJ373" i="4"/>
  <c r="V373" i="4"/>
  <c r="H373" i="4"/>
  <c r="AA372" i="4"/>
  <c r="O372" i="4"/>
  <c r="D372" i="4"/>
  <c r="AA371" i="4"/>
  <c r="Q371" i="4"/>
  <c r="F371" i="4"/>
  <c r="AC370" i="4"/>
  <c r="S370" i="4"/>
  <c r="I370" i="4"/>
  <c r="AK369" i="4"/>
  <c r="AD369" i="4"/>
  <c r="V369" i="4"/>
  <c r="O369" i="4"/>
  <c r="I369" i="4"/>
  <c r="AI368" i="4"/>
  <c r="AB368" i="4"/>
  <c r="U368" i="4"/>
  <c r="M368" i="4"/>
  <c r="G368" i="4"/>
  <c r="AH367" i="4"/>
  <c r="Z367" i="4"/>
  <c r="S367" i="4"/>
  <c r="M367" i="4"/>
  <c r="E367" i="4"/>
  <c r="AF366" i="4"/>
  <c r="Y366" i="4"/>
  <c r="Q366" i="4"/>
  <c r="K366" i="4"/>
  <c r="D366" i="4"/>
  <c r="AD365" i="4"/>
  <c r="W365" i="4"/>
  <c r="Q365" i="4"/>
  <c r="I365" i="4"/>
  <c r="AJ364" i="4"/>
  <c r="AC364" i="4"/>
  <c r="U364" i="4"/>
  <c r="O364" i="4"/>
  <c r="H364" i="4"/>
  <c r="AH363" i="4"/>
  <c r="AA363" i="4"/>
  <c r="U363" i="4"/>
  <c r="M363" i="4"/>
  <c r="F363" i="4"/>
  <c r="AG362" i="4"/>
  <c r="Y362" i="4"/>
  <c r="S362" i="4"/>
  <c r="L362" i="4"/>
  <c r="D362" i="4"/>
  <c r="AE361" i="4"/>
  <c r="Y361" i="4"/>
  <c r="Q361" i="4"/>
  <c r="J361" i="4"/>
  <c r="AK360" i="4"/>
  <c r="AC360" i="4"/>
  <c r="W360" i="4"/>
  <c r="P360" i="4"/>
  <c r="H360" i="4"/>
  <c r="AI359" i="4"/>
  <c r="AC359" i="4"/>
  <c r="U359" i="4"/>
  <c r="N359" i="4"/>
  <c r="G359" i="4"/>
  <c r="AG358" i="4"/>
  <c r="AA358" i="4"/>
  <c r="T358" i="4"/>
  <c r="L358" i="4"/>
  <c r="E358" i="4"/>
  <c r="AG357" i="4"/>
  <c r="Y357" i="4"/>
  <c r="R357" i="4"/>
  <c r="K357" i="4"/>
  <c r="AK356" i="4"/>
  <c r="AE356" i="4"/>
  <c r="X356" i="4"/>
  <c r="P356" i="4"/>
  <c r="I356" i="4"/>
  <c r="AD389" i="4"/>
  <c r="Q389" i="4"/>
  <c r="AJ388" i="4"/>
  <c r="V388" i="4"/>
  <c r="H388" i="4"/>
  <c r="AB387" i="4"/>
  <c r="M387" i="4"/>
  <c r="AH386" i="4"/>
  <c r="S386" i="4"/>
  <c r="D386" i="4"/>
  <c r="Y385" i="4"/>
  <c r="J385" i="4"/>
  <c r="AD384" i="4"/>
  <c r="P384" i="4"/>
  <c r="AJ383" i="4"/>
  <c r="U383" i="4"/>
  <c r="H383" i="4"/>
  <c r="AA382" i="4"/>
  <c r="L382" i="4"/>
  <c r="AG381" i="4"/>
  <c r="R381" i="4"/>
  <c r="D381" i="4"/>
  <c r="X380" i="4"/>
  <c r="J380" i="4"/>
  <c r="AC379" i="4"/>
  <c r="P379" i="4"/>
  <c r="AI378" i="4"/>
  <c r="T378" i="4"/>
  <c r="G378" i="4"/>
  <c r="Z377" i="4"/>
  <c r="L377" i="4"/>
  <c r="AF376" i="4"/>
  <c r="R376" i="4"/>
  <c r="AK375" i="4"/>
  <c r="X375" i="4"/>
  <c r="I375" i="4"/>
  <c r="AB374" i="4"/>
  <c r="O374" i="4"/>
  <c r="AH373" i="4"/>
  <c r="T373" i="4"/>
  <c r="F373" i="4"/>
  <c r="Z372" i="4"/>
  <c r="M372" i="4"/>
  <c r="AK371" i="4"/>
  <c r="Z371" i="4"/>
  <c r="O371" i="4"/>
  <c r="E371" i="4"/>
  <c r="AB370" i="4"/>
  <c r="Q370" i="4"/>
  <c r="H370" i="4"/>
  <c r="AI369" i="4"/>
  <c r="AA369" i="4"/>
  <c r="U369" i="4"/>
  <c r="N369" i="4"/>
  <c r="F369" i="4"/>
  <c r="AG368" i="4"/>
  <c r="AA368" i="4"/>
  <c r="S368" i="4"/>
  <c r="L368" i="4"/>
  <c r="E368" i="4"/>
  <c r="AE367" i="4"/>
  <c r="Y367" i="4"/>
  <c r="R367" i="4"/>
  <c r="J367" i="4"/>
  <c r="AK366" i="4"/>
  <c r="AE366" i="4"/>
  <c r="W366" i="4"/>
  <c r="P366" i="4"/>
  <c r="I366" i="4"/>
  <c r="AI365" i="4"/>
  <c r="AC365" i="4"/>
  <c r="V365" i="4"/>
  <c r="N365" i="4"/>
  <c r="G365" i="4"/>
  <c r="AI364" i="4"/>
  <c r="AA364" i="4"/>
  <c r="T364" i="4"/>
  <c r="M364" i="4"/>
  <c r="E364" i="4"/>
  <c r="AG363" i="4"/>
  <c r="Z363" i="4"/>
  <c r="R363" i="4"/>
  <c r="K363" i="4"/>
  <c r="E363" i="4"/>
  <c r="AE362" i="4"/>
  <c r="X362" i="4"/>
  <c r="Q362" i="4"/>
  <c r="I362" i="4"/>
  <c r="AK361" i="4"/>
  <c r="AD361" i="4"/>
  <c r="V361" i="4"/>
  <c r="O361" i="4"/>
  <c r="I361" i="4"/>
  <c r="AI360" i="4"/>
  <c r="AB360" i="4"/>
  <c r="U360" i="4"/>
  <c r="M360" i="4"/>
  <c r="G360" i="4"/>
  <c r="AH359" i="4"/>
  <c r="Z359" i="4"/>
  <c r="S359" i="4"/>
  <c r="M359" i="4"/>
  <c r="E359" i="4"/>
  <c r="AF358" i="4"/>
  <c r="Y358" i="4"/>
  <c r="Q358" i="4"/>
  <c r="K358" i="4"/>
  <c r="D358" i="4"/>
  <c r="AD357" i="4"/>
  <c r="W357" i="4"/>
  <c r="Q357" i="4"/>
  <c r="I357" i="4"/>
  <c r="AJ356" i="4"/>
  <c r="AC356" i="4"/>
  <c r="U356" i="4"/>
  <c r="O356" i="4"/>
  <c r="H356" i="4"/>
  <c r="Y389" i="4"/>
  <c r="AE388" i="4"/>
  <c r="AK387" i="4"/>
  <c r="H387" i="4"/>
  <c r="N386" i="4"/>
  <c r="T385" i="4"/>
  <c r="X384" i="4"/>
  <c r="AD383" i="4"/>
  <c r="AJ382" i="4"/>
  <c r="G382" i="4"/>
  <c r="M381" i="4"/>
  <c r="S380" i="4"/>
  <c r="X379" i="4"/>
  <c r="AD378" i="4"/>
  <c r="AJ377" i="4"/>
  <c r="F377" i="4"/>
  <c r="L376" i="4"/>
  <c r="R375" i="4"/>
  <c r="W374" i="4"/>
  <c r="AC373" i="4"/>
  <c r="AI372" i="4"/>
  <c r="I372" i="4"/>
  <c r="V371" i="4"/>
  <c r="AI370" i="4"/>
  <c r="M370" i="4"/>
  <c r="AG369" i="4"/>
  <c r="S369" i="4"/>
  <c r="E369" i="4"/>
  <c r="X368" i="4"/>
  <c r="K368" i="4"/>
  <c r="AD367" i="4"/>
  <c r="O367" i="4"/>
  <c r="AJ366" i="4"/>
  <c r="U366" i="4"/>
  <c r="G366" i="4"/>
  <c r="AA365" i="4"/>
  <c r="M365" i="4"/>
  <c r="AF364" i="4"/>
  <c r="S364" i="4"/>
  <c r="D364" i="4"/>
  <c r="W363" i="4"/>
  <c r="J363" i="4"/>
  <c r="AC362" i="4"/>
  <c r="O362" i="4"/>
  <c r="AI361" i="4"/>
  <c r="U361" i="4"/>
  <c r="F361" i="4"/>
  <c r="AA360" i="4"/>
  <c r="L360" i="4"/>
  <c r="AE359" i="4"/>
  <c r="R359" i="4"/>
  <c r="AK358" i="4"/>
  <c r="W358" i="4"/>
  <c r="I358" i="4"/>
  <c r="AC357" i="4"/>
  <c r="N357" i="4"/>
  <c r="AI356" i="4"/>
  <c r="T356" i="4"/>
  <c r="E356" i="4"/>
  <c r="X389" i="4"/>
  <c r="AD388" i="4"/>
  <c r="AH387" i="4"/>
  <c r="F387" i="4"/>
  <c r="L386" i="4"/>
  <c r="Q385" i="4"/>
  <c r="W384" i="4"/>
  <c r="AC383" i="4"/>
  <c r="AH382" i="4"/>
  <c r="F382" i="4"/>
  <c r="L381" i="4"/>
  <c r="P380" i="4"/>
  <c r="V379" i="4"/>
  <c r="AB378" i="4"/>
  <c r="AG377" i="4"/>
  <c r="E377" i="4"/>
  <c r="K376" i="4"/>
  <c r="P375" i="4"/>
  <c r="V374" i="4"/>
  <c r="AB373" i="4"/>
  <c r="AF372" i="4"/>
  <c r="H372" i="4"/>
  <c r="U371" i="4"/>
  <c r="AG370" i="4"/>
  <c r="L370" i="4"/>
  <c r="AE369" i="4"/>
  <c r="Q369" i="4"/>
  <c r="AK368" i="4"/>
  <c r="W368" i="4"/>
  <c r="H368" i="4"/>
  <c r="AC367" i="4"/>
  <c r="N367" i="4"/>
  <c r="AG366" i="4"/>
  <c r="T366" i="4"/>
  <c r="E366" i="4"/>
  <c r="Y365" i="4"/>
  <c r="K365" i="4"/>
  <c r="AE364" i="4"/>
  <c r="P364" i="4"/>
  <c r="AK363" i="4"/>
  <c r="V363" i="4"/>
  <c r="G363" i="4"/>
  <c r="AB362" i="4"/>
  <c r="M362" i="4"/>
  <c r="AG361" i="4"/>
  <c r="S361" i="4"/>
  <c r="E361" i="4"/>
  <c r="X360" i="4"/>
  <c r="K360" i="4"/>
  <c r="AD359" i="4"/>
  <c r="O359" i="4"/>
  <c r="AJ358" i="4"/>
  <c r="U358" i="4"/>
  <c r="G358" i="4"/>
  <c r="AA357" i="4"/>
  <c r="M357" i="4"/>
  <c r="AF356" i="4"/>
  <c r="S356" i="4"/>
  <c r="D356" i="4"/>
  <c r="L389" i="4"/>
  <c r="V387" i="4"/>
  <c r="AG385" i="4"/>
  <c r="K384" i="4"/>
  <c r="V382" i="4"/>
  <c r="AF380" i="4"/>
  <c r="J379" i="4"/>
  <c r="U377" i="4"/>
  <c r="AF375" i="4"/>
  <c r="J374" i="4"/>
  <c r="T372" i="4"/>
  <c r="K371" i="4"/>
  <c r="G370" i="4"/>
  <c r="K369" i="4"/>
  <c r="Q368" i="4"/>
  <c r="W367" i="4"/>
  <c r="AB366" i="4"/>
  <c r="AH365" i="4"/>
  <c r="F365" i="4"/>
  <c r="K364" i="4"/>
  <c r="Q363" i="4"/>
  <c r="W362" i="4"/>
  <c r="AA361" i="4"/>
  <c r="AG360" i="4"/>
  <c r="E360" i="4"/>
  <c r="J359" i="4"/>
  <c r="P358" i="4"/>
  <c r="V357" i="4"/>
  <c r="AA356" i="4"/>
  <c r="P388" i="4"/>
  <c r="AB386" i="4"/>
  <c r="E385" i="4"/>
  <c r="P383" i="4"/>
  <c r="AB381" i="4"/>
  <c r="D380" i="4"/>
  <c r="O378" i="4"/>
  <c r="AA376" i="4"/>
  <c r="D375" i="4"/>
  <c r="N373" i="4"/>
  <c r="AG371" i="4"/>
  <c r="X370" i="4"/>
  <c r="Z369" i="4"/>
  <c r="AF368" i="4"/>
  <c r="AK367" i="4"/>
  <c r="I367" i="4"/>
  <c r="O366" i="4"/>
  <c r="S365" i="4"/>
  <c r="Y364" i="4"/>
  <c r="AE363" i="4"/>
  <c r="AJ362" i="4"/>
  <c r="H362" i="4"/>
  <c r="N361" i="4"/>
  <c r="S360" i="4"/>
  <c r="Y359" i="4"/>
  <c r="AE358" i="4"/>
  <c r="AI357" i="4"/>
  <c r="G357" i="4"/>
  <c r="M356" i="4"/>
  <c r="O388" i="4"/>
  <c r="Z386" i="4"/>
  <c r="D385" i="4"/>
  <c r="N383" i="4"/>
  <c r="Y381" i="4"/>
  <c r="AK379" i="4"/>
  <c r="N378" i="4"/>
  <c r="X376" i="4"/>
  <c r="AJ374" i="4"/>
  <c r="M373" i="4"/>
  <c r="AE371" i="4"/>
  <c r="W370" i="4"/>
  <c r="Y369" i="4"/>
  <c r="AC368" i="4"/>
  <c r="AI367" i="4"/>
  <c r="G367" i="4"/>
  <c r="L366" i="4"/>
  <c r="R365" i="4"/>
  <c r="X364" i="4"/>
  <c r="AC363" i="4"/>
  <c r="AI362" i="4"/>
  <c r="G362" i="4"/>
  <c r="K361" i="4"/>
  <c r="Q360" i="4"/>
  <c r="W359" i="4"/>
  <c r="AB358" i="4"/>
  <c r="AH357" i="4"/>
  <c r="F357" i="4"/>
  <c r="K356" i="4"/>
  <c r="I389" i="4"/>
  <c r="U387" i="4"/>
  <c r="AF385" i="4"/>
  <c r="H384" i="4"/>
  <c r="T382" i="4"/>
  <c r="AE380" i="4"/>
  <c r="H379" i="4"/>
  <c r="T377" i="4"/>
  <c r="AD375" i="4"/>
  <c r="G374" i="4"/>
  <c r="S372" i="4"/>
  <c r="J371" i="4"/>
  <c r="D370" i="4"/>
  <c r="J369" i="4"/>
  <c r="P368" i="4"/>
  <c r="U367" i="4"/>
  <c r="AA366" i="4"/>
  <c r="AG365" i="4"/>
  <c r="AK364" i="4"/>
  <c r="I364" i="4"/>
  <c r="O363" i="4"/>
  <c r="T362" i="4"/>
  <c r="Z361" i="4"/>
  <c r="AF360" i="4"/>
  <c r="AK359" i="4"/>
  <c r="I359" i="4"/>
  <c r="O358" i="4"/>
  <c r="S357" i="4"/>
  <c r="Y356" i="4"/>
  <c r="C24" i="2"/>
  <c r="D25" i="2"/>
  <c r="C25" i="2"/>
  <c r="D24" i="2"/>
  <c r="D265" i="4" a="1"/>
  <c r="F112" i="1" l="1"/>
  <c r="D112" i="1"/>
  <c r="F111" i="1"/>
  <c r="E111" i="1"/>
  <c r="F110" i="1"/>
  <c r="D110" i="1"/>
  <c r="D111" i="1"/>
  <c r="E112" i="1"/>
  <c r="E110" i="1"/>
  <c r="D394" i="4" a="1"/>
  <c r="AJ298" i="4"/>
  <c r="AF298" i="4"/>
  <c r="AB298" i="4"/>
  <c r="X298" i="4"/>
  <c r="T298" i="4"/>
  <c r="P298" i="4"/>
  <c r="L298" i="4"/>
  <c r="H298" i="4"/>
  <c r="D298" i="4"/>
  <c r="AH297" i="4"/>
  <c r="AD297" i="4"/>
  <c r="Z297" i="4"/>
  <c r="V297" i="4"/>
  <c r="R297" i="4"/>
  <c r="N297" i="4"/>
  <c r="J297" i="4"/>
  <c r="F297" i="4"/>
  <c r="AJ296" i="4"/>
  <c r="AF296" i="4"/>
  <c r="AB296" i="4"/>
  <c r="X296" i="4"/>
  <c r="T296" i="4"/>
  <c r="P296" i="4"/>
  <c r="L296" i="4"/>
  <c r="H296" i="4"/>
  <c r="D296" i="4"/>
  <c r="AH295" i="4"/>
  <c r="AD295" i="4"/>
  <c r="Z295" i="4"/>
  <c r="V295" i="4"/>
  <c r="R295" i="4"/>
  <c r="N295" i="4"/>
  <c r="J295" i="4"/>
  <c r="F295" i="4"/>
  <c r="AJ294" i="4"/>
  <c r="AF294" i="4"/>
  <c r="AB294" i="4"/>
  <c r="AH298" i="4"/>
  <c r="AC298" i="4"/>
  <c r="W298" i="4"/>
  <c r="R298" i="4"/>
  <c r="M298" i="4"/>
  <c r="G298" i="4"/>
  <c r="AJ297" i="4"/>
  <c r="AE297" i="4"/>
  <c r="Y297" i="4"/>
  <c r="T297" i="4"/>
  <c r="O297" i="4"/>
  <c r="I297" i="4"/>
  <c r="D297" i="4"/>
  <c r="AG296" i="4"/>
  <c r="AA296" i="4"/>
  <c r="V296" i="4"/>
  <c r="Q296" i="4"/>
  <c r="K296" i="4"/>
  <c r="F296" i="4"/>
  <c r="AI295" i="4"/>
  <c r="AC295" i="4"/>
  <c r="X295" i="4"/>
  <c r="S295" i="4"/>
  <c r="M295" i="4"/>
  <c r="H295" i="4"/>
  <c r="AK294" i="4"/>
  <c r="AE294" i="4"/>
  <c r="Z294" i="4"/>
  <c r="V294" i="4"/>
  <c r="R294" i="4"/>
  <c r="N294" i="4"/>
  <c r="J294" i="4"/>
  <c r="F294" i="4"/>
  <c r="AJ293" i="4"/>
  <c r="AF293" i="4"/>
  <c r="AB293" i="4"/>
  <c r="X293" i="4"/>
  <c r="T293" i="4"/>
  <c r="P293" i="4"/>
  <c r="L293" i="4"/>
  <c r="H293" i="4"/>
  <c r="D293" i="4"/>
  <c r="AH292" i="4"/>
  <c r="AD292" i="4"/>
  <c r="Z292" i="4"/>
  <c r="V292" i="4"/>
  <c r="R292" i="4"/>
  <c r="N292" i="4"/>
  <c r="J292" i="4"/>
  <c r="F292" i="4"/>
  <c r="AJ291" i="4"/>
  <c r="AF291" i="4"/>
  <c r="AB291" i="4"/>
  <c r="X291" i="4"/>
  <c r="T291" i="4"/>
  <c r="P291" i="4"/>
  <c r="L291" i="4"/>
  <c r="H291" i="4"/>
  <c r="D291" i="4"/>
  <c r="AH290" i="4"/>
  <c r="AD290" i="4"/>
  <c r="Z290" i="4"/>
  <c r="V290" i="4"/>
  <c r="R290" i="4"/>
  <c r="N290" i="4"/>
  <c r="J290" i="4"/>
  <c r="F290" i="4"/>
  <c r="AJ289" i="4"/>
  <c r="AF289" i="4"/>
  <c r="AB289" i="4"/>
  <c r="X289" i="4"/>
  <c r="T289" i="4"/>
  <c r="P289" i="4"/>
  <c r="L289" i="4"/>
  <c r="H289" i="4"/>
  <c r="D289" i="4"/>
  <c r="AH288" i="4"/>
  <c r="AD288" i="4"/>
  <c r="Z288" i="4"/>
  <c r="V288" i="4"/>
  <c r="R288" i="4"/>
  <c r="N288" i="4"/>
  <c r="J288" i="4"/>
  <c r="F288" i="4"/>
  <c r="AJ287" i="4"/>
  <c r="AF287" i="4"/>
  <c r="AB287" i="4"/>
  <c r="X287" i="4"/>
  <c r="T287" i="4"/>
  <c r="P287" i="4"/>
  <c r="L287" i="4"/>
  <c r="H287" i="4"/>
  <c r="D287" i="4"/>
  <c r="AH286" i="4"/>
  <c r="AD286" i="4"/>
  <c r="Z286" i="4"/>
  <c r="V286" i="4"/>
  <c r="R286" i="4"/>
  <c r="N286" i="4"/>
  <c r="J286" i="4"/>
  <c r="F286" i="4"/>
  <c r="AJ285" i="4"/>
  <c r="AF285" i="4"/>
  <c r="AB285" i="4"/>
  <c r="X285" i="4"/>
  <c r="T285" i="4"/>
  <c r="P285" i="4"/>
  <c r="L285" i="4"/>
  <c r="H285" i="4"/>
  <c r="D285" i="4"/>
  <c r="AH284" i="4"/>
  <c r="AD284" i="4"/>
  <c r="Z284" i="4"/>
  <c r="V284" i="4"/>
  <c r="R284" i="4"/>
  <c r="N284" i="4"/>
  <c r="J284" i="4"/>
  <c r="F284" i="4"/>
  <c r="AJ283" i="4"/>
  <c r="AF283" i="4"/>
  <c r="AB283" i="4"/>
  <c r="X283" i="4"/>
  <c r="T283" i="4"/>
  <c r="P283" i="4"/>
  <c r="L283" i="4"/>
  <c r="H283" i="4"/>
  <c r="D283" i="4"/>
  <c r="AH282" i="4"/>
  <c r="AD282" i="4"/>
  <c r="Z282" i="4"/>
  <c r="V282" i="4"/>
  <c r="R282" i="4"/>
  <c r="N282" i="4"/>
  <c r="J282" i="4"/>
  <c r="F282" i="4"/>
  <c r="AJ281" i="4"/>
  <c r="AF281" i="4"/>
  <c r="AB281" i="4"/>
  <c r="X281" i="4"/>
  <c r="T281" i="4"/>
  <c r="P281" i="4"/>
  <c r="L281" i="4"/>
  <c r="H281" i="4"/>
  <c r="D281" i="4"/>
  <c r="AH280" i="4"/>
  <c r="AD280" i="4"/>
  <c r="Z280" i="4"/>
  <c r="V280" i="4"/>
  <c r="R280" i="4"/>
  <c r="N280" i="4"/>
  <c r="J280" i="4"/>
  <c r="F280" i="4"/>
  <c r="AJ279" i="4"/>
  <c r="AF279" i="4"/>
  <c r="AB279" i="4"/>
  <c r="X279" i="4"/>
  <c r="T279" i="4"/>
  <c r="P279" i="4"/>
  <c r="L279" i="4"/>
  <c r="H279" i="4"/>
  <c r="D279" i="4"/>
  <c r="AH278" i="4"/>
  <c r="AD278" i="4"/>
  <c r="Z278" i="4"/>
  <c r="V278" i="4"/>
  <c r="R278" i="4"/>
  <c r="N278" i="4"/>
  <c r="J278" i="4"/>
  <c r="F278" i="4"/>
  <c r="AJ277" i="4"/>
  <c r="AF277" i="4"/>
  <c r="AB277" i="4"/>
  <c r="X277" i="4"/>
  <c r="T277" i="4"/>
  <c r="P277" i="4"/>
  <c r="L277" i="4"/>
  <c r="H277" i="4"/>
  <c r="D277" i="4"/>
  <c r="AH276" i="4"/>
  <c r="AD276" i="4"/>
  <c r="Z276" i="4"/>
  <c r="V276" i="4"/>
  <c r="R276" i="4"/>
  <c r="N276" i="4"/>
  <c r="J276" i="4"/>
  <c r="F276" i="4"/>
  <c r="AJ275" i="4"/>
  <c r="AF275" i="4"/>
  <c r="AB275" i="4"/>
  <c r="X275" i="4"/>
  <c r="T275" i="4"/>
  <c r="P275" i="4"/>
  <c r="L275" i="4"/>
  <c r="H275" i="4"/>
  <c r="D275" i="4"/>
  <c r="AH274" i="4"/>
  <c r="AD274" i="4"/>
  <c r="Z274" i="4"/>
  <c r="V274" i="4"/>
  <c r="R274" i="4"/>
  <c r="N274" i="4"/>
  <c r="J274" i="4"/>
  <c r="F274" i="4"/>
  <c r="AJ273" i="4"/>
  <c r="AF273" i="4"/>
  <c r="AB273" i="4"/>
  <c r="X273" i="4"/>
  <c r="T273" i="4"/>
  <c r="P273" i="4"/>
  <c r="L273" i="4"/>
  <c r="H273" i="4"/>
  <c r="D273" i="4"/>
  <c r="AH272" i="4"/>
  <c r="AD272" i="4"/>
  <c r="Z272" i="4"/>
  <c r="V272" i="4"/>
  <c r="R272" i="4"/>
  <c r="N272" i="4"/>
  <c r="J272" i="4"/>
  <c r="F272" i="4"/>
  <c r="AJ271" i="4"/>
  <c r="AF271" i="4"/>
  <c r="AB271" i="4"/>
  <c r="X271" i="4"/>
  <c r="T271" i="4"/>
  <c r="P271" i="4"/>
  <c r="L271" i="4"/>
  <c r="H271" i="4"/>
  <c r="D271" i="4"/>
  <c r="AH270" i="4"/>
  <c r="AD270" i="4"/>
  <c r="Z270" i="4"/>
  <c r="V270" i="4"/>
  <c r="R270" i="4"/>
  <c r="N270" i="4"/>
  <c r="J270" i="4"/>
  <c r="F270" i="4"/>
  <c r="AJ269" i="4"/>
  <c r="AF269" i="4"/>
  <c r="AB269" i="4"/>
  <c r="X269" i="4"/>
  <c r="T269" i="4"/>
  <c r="P269" i="4"/>
  <c r="L269" i="4"/>
  <c r="H269" i="4"/>
  <c r="D269" i="4"/>
  <c r="AH268" i="4"/>
  <c r="AD268" i="4"/>
  <c r="Z268" i="4"/>
  <c r="V268" i="4"/>
  <c r="R268" i="4"/>
  <c r="N268" i="4"/>
  <c r="J268" i="4"/>
  <c r="F268" i="4"/>
  <c r="AJ267" i="4"/>
  <c r="AF267" i="4"/>
  <c r="AB267" i="4"/>
  <c r="X267" i="4"/>
  <c r="T267" i="4"/>
  <c r="P267" i="4"/>
  <c r="L267" i="4"/>
  <c r="H267" i="4"/>
  <c r="D267" i="4"/>
  <c r="AH266" i="4"/>
  <c r="AD266" i="4"/>
  <c r="Z266" i="4"/>
  <c r="V266" i="4"/>
  <c r="R266" i="4"/>
  <c r="N266" i="4"/>
  <c r="J266" i="4"/>
  <c r="F266" i="4"/>
  <c r="AJ265" i="4"/>
  <c r="AF265" i="4"/>
  <c r="AB265" i="4"/>
  <c r="X265" i="4"/>
  <c r="T265" i="4"/>
  <c r="P265" i="4"/>
  <c r="L265" i="4"/>
  <c r="H265" i="4"/>
  <c r="D265" i="4"/>
  <c r="AI298" i="4"/>
  <c r="AA298" i="4"/>
  <c r="U298" i="4"/>
  <c r="N298" i="4"/>
  <c r="F298" i="4"/>
  <c r="AG297" i="4"/>
  <c r="AA297" i="4"/>
  <c r="S297" i="4"/>
  <c r="L297" i="4"/>
  <c r="E297" i="4"/>
  <c r="AE296" i="4"/>
  <c r="Y296" i="4"/>
  <c r="R296" i="4"/>
  <c r="J296" i="4"/>
  <c r="AK295" i="4"/>
  <c r="AE295" i="4"/>
  <c r="W295" i="4"/>
  <c r="P295" i="4"/>
  <c r="I295" i="4"/>
  <c r="AI294" i="4"/>
  <c r="AC294" i="4"/>
  <c r="W294" i="4"/>
  <c r="Q294" i="4"/>
  <c r="L294" i="4"/>
  <c r="G294" i="4"/>
  <c r="AI293" i="4"/>
  <c r="AD293" i="4"/>
  <c r="Y293" i="4"/>
  <c r="S293" i="4"/>
  <c r="N293" i="4"/>
  <c r="I293" i="4"/>
  <c r="AK292" i="4"/>
  <c r="AF292" i="4"/>
  <c r="AA292" i="4"/>
  <c r="U292" i="4"/>
  <c r="P292" i="4"/>
  <c r="K292" i="4"/>
  <c r="E292" i="4"/>
  <c r="AH291" i="4"/>
  <c r="AC291" i="4"/>
  <c r="W291" i="4"/>
  <c r="R291" i="4"/>
  <c r="M291" i="4"/>
  <c r="G291" i="4"/>
  <c r="AJ290" i="4"/>
  <c r="AE290" i="4"/>
  <c r="Y290" i="4"/>
  <c r="T290" i="4"/>
  <c r="O290" i="4"/>
  <c r="I290" i="4"/>
  <c r="D290" i="4"/>
  <c r="AG289" i="4"/>
  <c r="AA289" i="4"/>
  <c r="V289" i="4"/>
  <c r="Q289" i="4"/>
  <c r="K289" i="4"/>
  <c r="F289" i="4"/>
  <c r="AI288" i="4"/>
  <c r="AC288" i="4"/>
  <c r="X288" i="4"/>
  <c r="S288" i="4"/>
  <c r="M288" i="4"/>
  <c r="H288" i="4"/>
  <c r="AK287" i="4"/>
  <c r="AE287" i="4"/>
  <c r="Z287" i="4"/>
  <c r="U287" i="4"/>
  <c r="O287" i="4"/>
  <c r="J287" i="4"/>
  <c r="E287" i="4"/>
  <c r="AG286" i="4"/>
  <c r="AB286" i="4"/>
  <c r="W286" i="4"/>
  <c r="Q286" i="4"/>
  <c r="L286" i="4"/>
  <c r="G286" i="4"/>
  <c r="AI285" i="4"/>
  <c r="AD285" i="4"/>
  <c r="Y285" i="4"/>
  <c r="S285" i="4"/>
  <c r="N285" i="4"/>
  <c r="I285" i="4"/>
  <c r="AK284" i="4"/>
  <c r="AF284" i="4"/>
  <c r="AA284" i="4"/>
  <c r="U284" i="4"/>
  <c r="P284" i="4"/>
  <c r="K284" i="4"/>
  <c r="E284" i="4"/>
  <c r="AH283" i="4"/>
  <c r="AC283" i="4"/>
  <c r="W283" i="4"/>
  <c r="R283" i="4"/>
  <c r="M283" i="4"/>
  <c r="G283" i="4"/>
  <c r="AJ282" i="4"/>
  <c r="AE282" i="4"/>
  <c r="Y282" i="4"/>
  <c r="T282" i="4"/>
  <c r="O282" i="4"/>
  <c r="I282" i="4"/>
  <c r="D282" i="4"/>
  <c r="AG281" i="4"/>
  <c r="AA281" i="4"/>
  <c r="V281" i="4"/>
  <c r="Q281" i="4"/>
  <c r="K281" i="4"/>
  <c r="F281" i="4"/>
  <c r="AI280" i="4"/>
  <c r="AC280" i="4"/>
  <c r="X280" i="4"/>
  <c r="S280" i="4"/>
  <c r="M280" i="4"/>
  <c r="H280" i="4"/>
  <c r="AK279" i="4"/>
  <c r="AE279" i="4"/>
  <c r="Z279" i="4"/>
  <c r="U279" i="4"/>
  <c r="O279" i="4"/>
  <c r="J279" i="4"/>
  <c r="E279" i="4"/>
  <c r="AG278" i="4"/>
  <c r="AB278" i="4"/>
  <c r="W278" i="4"/>
  <c r="Q278" i="4"/>
  <c r="L278" i="4"/>
  <c r="G278" i="4"/>
  <c r="AI277" i="4"/>
  <c r="AD277" i="4"/>
  <c r="Y277" i="4"/>
  <c r="S277" i="4"/>
  <c r="N277" i="4"/>
  <c r="I277" i="4"/>
  <c r="AK276" i="4"/>
  <c r="AF276" i="4"/>
  <c r="AA276" i="4"/>
  <c r="U276" i="4"/>
  <c r="P276" i="4"/>
  <c r="K276" i="4"/>
  <c r="E276" i="4"/>
  <c r="AH275" i="4"/>
  <c r="AC275" i="4"/>
  <c r="W275" i="4"/>
  <c r="R275" i="4"/>
  <c r="M275" i="4"/>
  <c r="G275" i="4"/>
  <c r="AJ274" i="4"/>
  <c r="AE274" i="4"/>
  <c r="Y274" i="4"/>
  <c r="T274" i="4"/>
  <c r="O274" i="4"/>
  <c r="I274" i="4"/>
  <c r="D274" i="4"/>
  <c r="AG273" i="4"/>
  <c r="AA273" i="4"/>
  <c r="V273" i="4"/>
  <c r="Q273" i="4"/>
  <c r="K273" i="4"/>
  <c r="F273" i="4"/>
  <c r="AI272" i="4"/>
  <c r="AC272" i="4"/>
  <c r="X272" i="4"/>
  <c r="S272" i="4"/>
  <c r="M272" i="4"/>
  <c r="H272" i="4"/>
  <c r="AK271" i="4"/>
  <c r="AE271" i="4"/>
  <c r="Z271" i="4"/>
  <c r="U271" i="4"/>
  <c r="O271" i="4"/>
  <c r="J271" i="4"/>
  <c r="E271" i="4"/>
  <c r="AG270" i="4"/>
  <c r="AB270" i="4"/>
  <c r="W270" i="4"/>
  <c r="Q270" i="4"/>
  <c r="L270" i="4"/>
  <c r="G270" i="4"/>
  <c r="AI269" i="4"/>
  <c r="AD269" i="4"/>
  <c r="Y269" i="4"/>
  <c r="S269" i="4"/>
  <c r="N269" i="4"/>
  <c r="AK298" i="4"/>
  <c r="Z298" i="4"/>
  <c r="Q298" i="4"/>
  <c r="I298" i="4"/>
  <c r="AF297" i="4"/>
  <c r="W297" i="4"/>
  <c r="M297" i="4"/>
  <c r="AK296" i="4"/>
  <c r="AC296" i="4"/>
  <c r="S296" i="4"/>
  <c r="I296" i="4"/>
  <c r="AG295" i="4"/>
  <c r="Y295" i="4"/>
  <c r="O295" i="4"/>
  <c r="E295" i="4"/>
  <c r="AD294" i="4"/>
  <c r="U294" i="4"/>
  <c r="O294" i="4"/>
  <c r="H294" i="4"/>
  <c r="AH293" i="4"/>
  <c r="AA293" i="4"/>
  <c r="U293" i="4"/>
  <c r="M293" i="4"/>
  <c r="F293" i="4"/>
  <c r="AG292" i="4"/>
  <c r="Y292" i="4"/>
  <c r="S292" i="4"/>
  <c r="L292" i="4"/>
  <c r="D292" i="4"/>
  <c r="AE291" i="4"/>
  <c r="Y291" i="4"/>
  <c r="Q291" i="4"/>
  <c r="J291" i="4"/>
  <c r="AK290" i="4"/>
  <c r="AC290" i="4"/>
  <c r="W290" i="4"/>
  <c r="P290" i="4"/>
  <c r="H290" i="4"/>
  <c r="AI289" i="4"/>
  <c r="AC289" i="4"/>
  <c r="U289" i="4"/>
  <c r="N289" i="4"/>
  <c r="G289" i="4"/>
  <c r="AG288" i="4"/>
  <c r="AA288" i="4"/>
  <c r="T288" i="4"/>
  <c r="L288" i="4"/>
  <c r="E288" i="4"/>
  <c r="AG287" i="4"/>
  <c r="Y287" i="4"/>
  <c r="R287" i="4"/>
  <c r="K287" i="4"/>
  <c r="AK286" i="4"/>
  <c r="AE286" i="4"/>
  <c r="X286" i="4"/>
  <c r="P286" i="4"/>
  <c r="I286" i="4"/>
  <c r="AK285" i="4"/>
  <c r="AC285" i="4"/>
  <c r="V285" i="4"/>
  <c r="O285" i="4"/>
  <c r="G285" i="4"/>
  <c r="AI284" i="4"/>
  <c r="AB284" i="4"/>
  <c r="T284" i="4"/>
  <c r="M284" i="4"/>
  <c r="G284" i="4"/>
  <c r="AG283" i="4"/>
  <c r="Z283" i="4"/>
  <c r="S283" i="4"/>
  <c r="K283" i="4"/>
  <c r="E283" i="4"/>
  <c r="AF282" i="4"/>
  <c r="X282" i="4"/>
  <c r="Q282" i="4"/>
  <c r="K282" i="4"/>
  <c r="AK281" i="4"/>
  <c r="AD281" i="4"/>
  <c r="W281" i="4"/>
  <c r="O281" i="4"/>
  <c r="I281" i="4"/>
  <c r="AJ280" i="4"/>
  <c r="AB280" i="4"/>
  <c r="U280" i="4"/>
  <c r="O280" i="4"/>
  <c r="G280" i="4"/>
  <c r="AH279" i="4"/>
  <c r="AA279" i="4"/>
  <c r="S279" i="4"/>
  <c r="M279" i="4"/>
  <c r="F279" i="4"/>
  <c r="AF278" i="4"/>
  <c r="Y278" i="4"/>
  <c r="S278" i="4"/>
  <c r="K278" i="4"/>
  <c r="D278" i="4"/>
  <c r="AE277" i="4"/>
  <c r="W277" i="4"/>
  <c r="Q277" i="4"/>
  <c r="J277" i="4"/>
  <c r="AJ276" i="4"/>
  <c r="AC276" i="4"/>
  <c r="W276" i="4"/>
  <c r="O276" i="4"/>
  <c r="H276" i="4"/>
  <c r="AI275" i="4"/>
  <c r="AA275" i="4"/>
  <c r="U275" i="4"/>
  <c r="N275" i="4"/>
  <c r="F275" i="4"/>
  <c r="AG274" i="4"/>
  <c r="AA274" i="4"/>
  <c r="S274" i="4"/>
  <c r="L274" i="4"/>
  <c r="E274" i="4"/>
  <c r="AE273" i="4"/>
  <c r="Y273" i="4"/>
  <c r="R273" i="4"/>
  <c r="J273" i="4"/>
  <c r="AK272" i="4"/>
  <c r="AE272" i="4"/>
  <c r="W272" i="4"/>
  <c r="P272" i="4"/>
  <c r="I272" i="4"/>
  <c r="AI271" i="4"/>
  <c r="AC271" i="4"/>
  <c r="V271" i="4"/>
  <c r="N271" i="4"/>
  <c r="G271" i="4"/>
  <c r="AI270" i="4"/>
  <c r="AA270" i="4"/>
  <c r="T270" i="4"/>
  <c r="M270" i="4"/>
  <c r="E270" i="4"/>
  <c r="AG269" i="4"/>
  <c r="Z269" i="4"/>
  <c r="R269" i="4"/>
  <c r="K269" i="4"/>
  <c r="F269" i="4"/>
  <c r="AI268" i="4"/>
  <c r="AC268" i="4"/>
  <c r="X268" i="4"/>
  <c r="S268" i="4"/>
  <c r="M268" i="4"/>
  <c r="H268" i="4"/>
  <c r="AK267" i="4"/>
  <c r="AE267" i="4"/>
  <c r="Z267" i="4"/>
  <c r="U267" i="4"/>
  <c r="O267" i="4"/>
  <c r="J267" i="4"/>
  <c r="E267" i="4"/>
  <c r="AG266" i="4"/>
  <c r="AB266" i="4"/>
  <c r="W266" i="4"/>
  <c r="Q266" i="4"/>
  <c r="L266" i="4"/>
  <c r="G266" i="4"/>
  <c r="AI265" i="4"/>
  <c r="AD265" i="4"/>
  <c r="Y265" i="4"/>
  <c r="S265" i="4"/>
  <c r="N265" i="4"/>
  <c r="I265" i="4"/>
  <c r="AG298" i="4"/>
  <c r="Y298" i="4"/>
  <c r="O298" i="4"/>
  <c r="E298" i="4"/>
  <c r="AC297" i="4"/>
  <c r="U297" i="4"/>
  <c r="K297" i="4"/>
  <c r="AI296" i="4"/>
  <c r="Z296" i="4"/>
  <c r="O296" i="4"/>
  <c r="G296" i="4"/>
  <c r="AF295" i="4"/>
  <c r="U295" i="4"/>
  <c r="L295" i="4"/>
  <c r="D295" i="4"/>
  <c r="AA294" i="4"/>
  <c r="T294" i="4"/>
  <c r="M294" i="4"/>
  <c r="E294" i="4"/>
  <c r="AG293" i="4"/>
  <c r="Z293" i="4"/>
  <c r="R293" i="4"/>
  <c r="K293" i="4"/>
  <c r="E293" i="4"/>
  <c r="AE292" i="4"/>
  <c r="X292" i="4"/>
  <c r="Q292" i="4"/>
  <c r="I292" i="4"/>
  <c r="AK291" i="4"/>
  <c r="AD291" i="4"/>
  <c r="V291" i="4"/>
  <c r="O291" i="4"/>
  <c r="I291" i="4"/>
  <c r="AI290" i="4"/>
  <c r="AB290" i="4"/>
  <c r="U290" i="4"/>
  <c r="M290" i="4"/>
  <c r="G290" i="4"/>
  <c r="AH289" i="4"/>
  <c r="Z289" i="4"/>
  <c r="S289" i="4"/>
  <c r="M289" i="4"/>
  <c r="E289" i="4"/>
  <c r="AF288" i="4"/>
  <c r="Y288" i="4"/>
  <c r="Q288" i="4"/>
  <c r="K288" i="4"/>
  <c r="D288" i="4"/>
  <c r="AD287" i="4"/>
  <c r="W287" i="4"/>
  <c r="Q287" i="4"/>
  <c r="I287" i="4"/>
  <c r="AJ286" i="4"/>
  <c r="AC286" i="4"/>
  <c r="U286" i="4"/>
  <c r="O286" i="4"/>
  <c r="H286" i="4"/>
  <c r="AH285" i="4"/>
  <c r="AA285" i="4"/>
  <c r="U285" i="4"/>
  <c r="M285" i="4"/>
  <c r="F285" i="4"/>
  <c r="AG284" i="4"/>
  <c r="Y284" i="4"/>
  <c r="S284" i="4"/>
  <c r="L284" i="4"/>
  <c r="D284" i="4"/>
  <c r="AE283" i="4"/>
  <c r="Y283" i="4"/>
  <c r="Q283" i="4"/>
  <c r="J283" i="4"/>
  <c r="AK282" i="4"/>
  <c r="AC282" i="4"/>
  <c r="W282" i="4"/>
  <c r="P282" i="4"/>
  <c r="H282" i="4"/>
  <c r="AI281" i="4"/>
  <c r="AC281" i="4"/>
  <c r="U281" i="4"/>
  <c r="N281" i="4"/>
  <c r="G281" i="4"/>
  <c r="AG280" i="4"/>
  <c r="AA280" i="4"/>
  <c r="T280" i="4"/>
  <c r="L280" i="4"/>
  <c r="E280" i="4"/>
  <c r="AG279" i="4"/>
  <c r="Y279" i="4"/>
  <c r="R279" i="4"/>
  <c r="K279" i="4"/>
  <c r="AK278" i="4"/>
  <c r="AE278" i="4"/>
  <c r="X278" i="4"/>
  <c r="P278" i="4"/>
  <c r="I278" i="4"/>
  <c r="AK277" i="4"/>
  <c r="AC277" i="4"/>
  <c r="V277" i="4"/>
  <c r="O277" i="4"/>
  <c r="G277" i="4"/>
  <c r="AI276" i="4"/>
  <c r="AB276" i="4"/>
  <c r="T276" i="4"/>
  <c r="M276" i="4"/>
  <c r="G276" i="4"/>
  <c r="AG275" i="4"/>
  <c r="Z275" i="4"/>
  <c r="S275" i="4"/>
  <c r="K275" i="4"/>
  <c r="E275" i="4"/>
  <c r="AF274" i="4"/>
  <c r="X274" i="4"/>
  <c r="Q274" i="4"/>
  <c r="K274" i="4"/>
  <c r="AK273" i="4"/>
  <c r="AD273" i="4"/>
  <c r="W273" i="4"/>
  <c r="O273" i="4"/>
  <c r="I273" i="4"/>
  <c r="AJ272" i="4"/>
  <c r="AB272" i="4"/>
  <c r="U272" i="4"/>
  <c r="O272" i="4"/>
  <c r="G272" i="4"/>
  <c r="AH271" i="4"/>
  <c r="AA271" i="4"/>
  <c r="S271" i="4"/>
  <c r="M271" i="4"/>
  <c r="F271" i="4"/>
  <c r="AF270" i="4"/>
  <c r="Y270" i="4"/>
  <c r="S270" i="4"/>
  <c r="K270" i="4"/>
  <c r="D270" i="4"/>
  <c r="AE269" i="4"/>
  <c r="W269" i="4"/>
  <c r="Q269" i="4"/>
  <c r="J269" i="4"/>
  <c r="E269" i="4"/>
  <c r="AG268" i="4"/>
  <c r="AB268" i="4"/>
  <c r="W268" i="4"/>
  <c r="Q268" i="4"/>
  <c r="L268" i="4"/>
  <c r="G268" i="4"/>
  <c r="AI267" i="4"/>
  <c r="AD267" i="4"/>
  <c r="Y267" i="4"/>
  <c r="S267" i="4"/>
  <c r="N267" i="4"/>
  <c r="I267" i="4"/>
  <c r="AK266" i="4"/>
  <c r="AF266" i="4"/>
  <c r="AA266" i="4"/>
  <c r="U266" i="4"/>
  <c r="P266" i="4"/>
  <c r="K266" i="4"/>
  <c r="E266" i="4"/>
  <c r="AH265" i="4"/>
  <c r="AC265" i="4"/>
  <c r="W265" i="4"/>
  <c r="R265" i="4"/>
  <c r="M265" i="4"/>
  <c r="G265" i="4"/>
  <c r="AE298" i="4"/>
  <c r="K298" i="4"/>
  <c r="AB297" i="4"/>
  <c r="H297" i="4"/>
  <c r="W296" i="4"/>
  <c r="E296" i="4"/>
  <c r="T295" i="4"/>
  <c r="AH294" i="4"/>
  <c r="S294" i="4"/>
  <c r="D294" i="4"/>
  <c r="W293" i="4"/>
  <c r="J293" i="4"/>
  <c r="AC292" i="4"/>
  <c r="O292" i="4"/>
  <c r="AI291" i="4"/>
  <c r="U291" i="4"/>
  <c r="F291" i="4"/>
  <c r="AA290" i="4"/>
  <c r="L290" i="4"/>
  <c r="AE289" i="4"/>
  <c r="R289" i="4"/>
  <c r="AK288" i="4"/>
  <c r="W288" i="4"/>
  <c r="I288" i="4"/>
  <c r="AC287" i="4"/>
  <c r="N287" i="4"/>
  <c r="AI286" i="4"/>
  <c r="T286" i="4"/>
  <c r="E286" i="4"/>
  <c r="Z285" i="4"/>
  <c r="K285" i="4"/>
  <c r="AE284" i="4"/>
  <c r="Q284" i="4"/>
  <c r="AK283" i="4"/>
  <c r="V283" i="4"/>
  <c r="I283" i="4"/>
  <c r="AB282" i="4"/>
  <c r="M282" i="4"/>
  <c r="AH281" i="4"/>
  <c r="S281" i="4"/>
  <c r="E281" i="4"/>
  <c r="Y280" i="4"/>
  <c r="K280" i="4"/>
  <c r="AD279" i="4"/>
  <c r="Q279" i="4"/>
  <c r="AJ278" i="4"/>
  <c r="U278" i="4"/>
  <c r="H278" i="4"/>
  <c r="AA277" i="4"/>
  <c r="M277" i="4"/>
  <c r="AG276" i="4"/>
  <c r="S276" i="4"/>
  <c r="D276" i="4"/>
  <c r="Y275" i="4"/>
  <c r="J275" i="4"/>
  <c r="AC274" i="4"/>
  <c r="P274" i="4"/>
  <c r="AI273" i="4"/>
  <c r="U273" i="4"/>
  <c r="G273" i="4"/>
  <c r="AA272" i="4"/>
  <c r="L272" i="4"/>
  <c r="AG271" i="4"/>
  <c r="R271" i="4"/>
  <c r="AK270" i="4"/>
  <c r="X270" i="4"/>
  <c r="I270" i="4"/>
  <c r="AC269" i="4"/>
  <c r="O269" i="4"/>
  <c r="AK268" i="4"/>
  <c r="AA268" i="4"/>
  <c r="P268" i="4"/>
  <c r="E268" i="4"/>
  <c r="AC267" i="4"/>
  <c r="R267" i="4"/>
  <c r="G267" i="4"/>
  <c r="AE266" i="4"/>
  <c r="T266" i="4"/>
  <c r="I266" i="4"/>
  <c r="AG265" i="4"/>
  <c r="V265" i="4"/>
  <c r="K265" i="4"/>
  <c r="V298" i="4"/>
  <c r="AK297" i="4"/>
  <c r="Q297" i="4"/>
  <c r="AH296" i="4"/>
  <c r="AB295" i="4"/>
  <c r="K295" i="4"/>
  <c r="Y294" i="4"/>
  <c r="K294" i="4"/>
  <c r="AE293" i="4"/>
  <c r="Q293" i="4"/>
  <c r="AJ292" i="4"/>
  <c r="W292" i="4"/>
  <c r="H292" i="4"/>
  <c r="AA291" i="4"/>
  <c r="N291" i="4"/>
  <c r="AG290" i="4"/>
  <c r="S290" i="4"/>
  <c r="E290" i="4"/>
  <c r="Y289" i="4"/>
  <c r="J289" i="4"/>
  <c r="AE288" i="4"/>
  <c r="P288" i="4"/>
  <c r="V287" i="4"/>
  <c r="G287" i="4"/>
  <c r="AA286" i="4"/>
  <c r="M286" i="4"/>
  <c r="AG285" i="4"/>
  <c r="R285" i="4"/>
  <c r="X284" i="4"/>
  <c r="I284" i="4"/>
  <c r="AD283" i="4"/>
  <c r="AI282" i="4"/>
  <c r="G282" i="4"/>
  <c r="M281" i="4"/>
  <c r="Q280" i="4"/>
  <c r="W279" i="4"/>
  <c r="AC278" i="4"/>
  <c r="U277" i="4"/>
  <c r="Y276" i="4"/>
  <c r="AE275" i="4"/>
  <c r="AK274" i="4"/>
  <c r="H274" i="4"/>
  <c r="N273" i="4"/>
  <c r="T272" i="4"/>
  <c r="Y271" i="4"/>
  <c r="AE270" i="4"/>
  <c r="AK269" i="4"/>
  <c r="I269" i="4"/>
  <c r="U268" i="4"/>
  <c r="AH267" i="4"/>
  <c r="M267" i="4"/>
  <c r="Y266" i="4"/>
  <c r="D266" i="4"/>
  <c r="Q265" i="4"/>
  <c r="Q304" i="4" s="1"/>
  <c r="S298" i="4"/>
  <c r="AI297" i="4"/>
  <c r="P297" i="4"/>
  <c r="AD296" i="4"/>
  <c r="M296" i="4"/>
  <c r="AA295" i="4"/>
  <c r="G295" i="4"/>
  <c r="X294" i="4"/>
  <c r="I294" i="4"/>
  <c r="AC293" i="4"/>
  <c r="O293" i="4"/>
  <c r="AI292" i="4"/>
  <c r="T292" i="4"/>
  <c r="G292" i="4"/>
  <c r="Z291" i="4"/>
  <c r="K291" i="4"/>
  <c r="AF290" i="4"/>
  <c r="Q290" i="4"/>
  <c r="AK289" i="4"/>
  <c r="W289" i="4"/>
  <c r="I289" i="4"/>
  <c r="AB288" i="4"/>
  <c r="O288" i="4"/>
  <c r="AH287" i="4"/>
  <c r="S287" i="4"/>
  <c r="F287" i="4"/>
  <c r="Y286" i="4"/>
  <c r="K286" i="4"/>
  <c r="AE285" i="4"/>
  <c r="Q285" i="4"/>
  <c r="AJ284" i="4"/>
  <c r="W284" i="4"/>
  <c r="H284" i="4"/>
  <c r="AA283" i="4"/>
  <c r="N283" i="4"/>
  <c r="AG282" i="4"/>
  <c r="S282" i="4"/>
  <c r="E282" i="4"/>
  <c r="Y281" i="4"/>
  <c r="J281" i="4"/>
  <c r="AE280" i="4"/>
  <c r="P280" i="4"/>
  <c r="AI279" i="4"/>
  <c r="V279" i="4"/>
  <c r="G279" i="4"/>
  <c r="AA278" i="4"/>
  <c r="M278" i="4"/>
  <c r="AG277" i="4"/>
  <c r="R277" i="4"/>
  <c r="E277" i="4"/>
  <c r="X276" i="4"/>
  <c r="I276" i="4"/>
  <c r="AD275" i="4"/>
  <c r="O275" i="4"/>
  <c r="AI274" i="4"/>
  <c r="U274" i="4"/>
  <c r="G274" i="4"/>
  <c r="Z273" i="4"/>
  <c r="M273" i="4"/>
  <c r="AF272" i="4"/>
  <c r="Q272" i="4"/>
  <c r="D272" i="4"/>
  <c r="W271" i="4"/>
  <c r="I271" i="4"/>
  <c r="AC270" i="4"/>
  <c r="O270" i="4"/>
  <c r="AH269" i="4"/>
  <c r="U269" i="4"/>
  <c r="G269" i="4"/>
  <c r="AE268" i="4"/>
  <c r="T268" i="4"/>
  <c r="I268" i="4"/>
  <c r="AG267" i="4"/>
  <c r="V267" i="4"/>
  <c r="K267" i="4"/>
  <c r="AI266" i="4"/>
  <c r="X266" i="4"/>
  <c r="M266" i="4"/>
  <c r="AK265" i="4"/>
  <c r="Z265" i="4"/>
  <c r="Z304" i="4" s="1"/>
  <c r="O265" i="4"/>
  <c r="E265" i="4"/>
  <c r="AD298" i="4"/>
  <c r="J298" i="4"/>
  <c r="X297" i="4"/>
  <c r="G297" i="4"/>
  <c r="U296" i="4"/>
  <c r="AJ295" i="4"/>
  <c r="Q295" i="4"/>
  <c r="AG294" i="4"/>
  <c r="P294" i="4"/>
  <c r="AK293" i="4"/>
  <c r="V293" i="4"/>
  <c r="G293" i="4"/>
  <c r="AB292" i="4"/>
  <c r="M292" i="4"/>
  <c r="AG291" i="4"/>
  <c r="S291" i="4"/>
  <c r="E291" i="4"/>
  <c r="X290" i="4"/>
  <c r="K290" i="4"/>
  <c r="AD289" i="4"/>
  <c r="O289" i="4"/>
  <c r="AJ288" i="4"/>
  <c r="U288" i="4"/>
  <c r="G288" i="4"/>
  <c r="AA287" i="4"/>
  <c r="M287" i="4"/>
  <c r="AF286" i="4"/>
  <c r="S286" i="4"/>
  <c r="D286" i="4"/>
  <c r="W285" i="4"/>
  <c r="J285" i="4"/>
  <c r="AC284" i="4"/>
  <c r="O284" i="4"/>
  <c r="AI283" i="4"/>
  <c r="U283" i="4"/>
  <c r="F283" i="4"/>
  <c r="AA282" i="4"/>
  <c r="L282" i="4"/>
  <c r="AE281" i="4"/>
  <c r="R281" i="4"/>
  <c r="AK280" i="4"/>
  <c r="W280" i="4"/>
  <c r="I280" i="4"/>
  <c r="AC279" i="4"/>
  <c r="N279" i="4"/>
  <c r="AI278" i="4"/>
  <c r="T278" i="4"/>
  <c r="E278" i="4"/>
  <c r="Z277" i="4"/>
  <c r="K277" i="4"/>
  <c r="AE276" i="4"/>
  <c r="Q276" i="4"/>
  <c r="AK275" i="4"/>
  <c r="V275" i="4"/>
  <c r="I275" i="4"/>
  <c r="AB274" i="4"/>
  <c r="M274" i="4"/>
  <c r="AH273" i="4"/>
  <c r="S273" i="4"/>
  <c r="E273" i="4"/>
  <c r="Y272" i="4"/>
  <c r="K272" i="4"/>
  <c r="AD271" i="4"/>
  <c r="Q271" i="4"/>
  <c r="AJ270" i="4"/>
  <c r="U270" i="4"/>
  <c r="H270" i="4"/>
  <c r="AA269" i="4"/>
  <c r="M269" i="4"/>
  <c r="AJ268" i="4"/>
  <c r="Y268" i="4"/>
  <c r="O268" i="4"/>
  <c r="D268" i="4"/>
  <c r="AA267" i="4"/>
  <c r="Q267" i="4"/>
  <c r="F267" i="4"/>
  <c r="AC266" i="4"/>
  <c r="S266" i="4"/>
  <c r="H266" i="4"/>
  <c r="AE265" i="4"/>
  <c r="U265" i="4"/>
  <c r="J265" i="4"/>
  <c r="J304" i="4" s="1"/>
  <c r="N296" i="4"/>
  <c r="AI287" i="4"/>
  <c r="E285" i="4"/>
  <c r="O283" i="4"/>
  <c r="U282" i="4"/>
  <c r="Z281" i="4"/>
  <c r="AF280" i="4"/>
  <c r="D280" i="4"/>
  <c r="I279" i="4"/>
  <c r="O278" i="4"/>
  <c r="AH277" i="4"/>
  <c r="F277" i="4"/>
  <c r="L276" i="4"/>
  <c r="Q275" i="4"/>
  <c r="W274" i="4"/>
  <c r="AC273" i="4"/>
  <c r="AG272" i="4"/>
  <c r="E272" i="4"/>
  <c r="K271" i="4"/>
  <c r="P270" i="4"/>
  <c r="V269" i="4"/>
  <c r="AF268" i="4"/>
  <c r="K268" i="4"/>
  <c r="W267" i="4"/>
  <c r="AJ266" i="4"/>
  <c r="O266" i="4"/>
  <c r="AA265" i="4"/>
  <c r="F265" i="4"/>
  <c r="F304" i="4" s="1"/>
  <c r="C27" i="2" a="1"/>
  <c r="D114" i="1" l="1" a="1"/>
  <c r="AG304" i="4"/>
  <c r="G304" i="4"/>
  <c r="AC304" i="4"/>
  <c r="I304" i="4"/>
  <c r="AD304" i="4"/>
  <c r="H304" i="4"/>
  <c r="X304" i="4"/>
  <c r="AA304" i="4"/>
  <c r="U304" i="4"/>
  <c r="AK304" i="4"/>
  <c r="M304" i="4"/>
  <c r="AH304" i="4"/>
  <c r="N304" i="4"/>
  <c r="AI304" i="4"/>
  <c r="L304" i="4"/>
  <c r="AB304" i="4"/>
  <c r="AE304" i="4"/>
  <c r="E304" i="4"/>
  <c r="K304" i="4"/>
  <c r="R304" i="4"/>
  <c r="S304" i="4"/>
  <c r="P304" i="4"/>
  <c r="AF304" i="4"/>
  <c r="C27" i="2"/>
  <c r="C28" i="2"/>
  <c r="O304" i="4"/>
  <c r="V304" i="4"/>
  <c r="W304" i="4"/>
  <c r="Y304" i="4"/>
  <c r="I8" i="3" a="1"/>
  <c r="D304" i="4"/>
  <c r="AV8" i="4" a="1"/>
  <c r="T304" i="4"/>
  <c r="AJ304" i="4"/>
  <c r="AK427" i="4"/>
  <c r="AG427" i="4"/>
  <c r="AC427" i="4"/>
  <c r="Y427" i="4"/>
  <c r="U427" i="4"/>
  <c r="Q427" i="4"/>
  <c r="M427" i="4"/>
  <c r="I427" i="4"/>
  <c r="E427" i="4"/>
  <c r="AI426" i="4"/>
  <c r="AE426" i="4"/>
  <c r="AA426" i="4"/>
  <c r="W426" i="4"/>
  <c r="S426" i="4"/>
  <c r="O426" i="4"/>
  <c r="K426" i="4"/>
  <c r="G426" i="4"/>
  <c r="AK425" i="4"/>
  <c r="AG425" i="4"/>
  <c r="AC425" i="4"/>
  <c r="Y425" i="4"/>
  <c r="U425" i="4"/>
  <c r="Q425" i="4"/>
  <c r="M425" i="4"/>
  <c r="I425" i="4"/>
  <c r="E425" i="4"/>
  <c r="AI424" i="4"/>
  <c r="AE424" i="4"/>
  <c r="AA424" i="4"/>
  <c r="W424" i="4"/>
  <c r="AH427" i="4"/>
  <c r="AD427" i="4"/>
  <c r="Z427" i="4"/>
  <c r="V427" i="4"/>
  <c r="R427" i="4"/>
  <c r="N427" i="4"/>
  <c r="J427" i="4"/>
  <c r="F427" i="4"/>
  <c r="AJ426" i="4"/>
  <c r="AF426" i="4"/>
  <c r="AB426" i="4"/>
  <c r="X426" i="4"/>
  <c r="T426" i="4"/>
  <c r="P426" i="4"/>
  <c r="L426" i="4"/>
  <c r="H426" i="4"/>
  <c r="D426" i="4"/>
  <c r="AH425" i="4"/>
  <c r="AD425" i="4"/>
  <c r="Z425" i="4"/>
  <c r="V425" i="4"/>
  <c r="R425" i="4"/>
  <c r="N425" i="4"/>
  <c r="J425" i="4"/>
  <c r="F425" i="4"/>
  <c r="AJ424" i="4"/>
  <c r="AF424" i="4"/>
  <c r="AB424" i="4"/>
  <c r="X424" i="4"/>
  <c r="T424" i="4"/>
  <c r="P424" i="4"/>
  <c r="L424" i="4"/>
  <c r="H424" i="4"/>
  <c r="D424" i="4"/>
  <c r="AH423" i="4"/>
  <c r="AD423" i="4"/>
  <c r="Z423" i="4"/>
  <c r="V423" i="4"/>
  <c r="R423" i="4"/>
  <c r="N423" i="4"/>
  <c r="J423" i="4"/>
  <c r="F423" i="4"/>
  <c r="AJ422" i="4"/>
  <c r="AF422" i="4"/>
  <c r="AB422" i="4"/>
  <c r="X422" i="4"/>
  <c r="T422" i="4"/>
  <c r="P422" i="4"/>
  <c r="L422" i="4"/>
  <c r="H422" i="4"/>
  <c r="D422" i="4"/>
  <c r="AH421" i="4"/>
  <c r="AD421" i="4"/>
  <c r="Z421" i="4"/>
  <c r="V421" i="4"/>
  <c r="R421" i="4"/>
  <c r="N421" i="4"/>
  <c r="J421" i="4"/>
  <c r="F421" i="4"/>
  <c r="AJ420" i="4"/>
  <c r="AF420" i="4"/>
  <c r="AB420" i="4"/>
  <c r="X420" i="4"/>
  <c r="T420" i="4"/>
  <c r="P420" i="4"/>
  <c r="L420" i="4"/>
  <c r="H420" i="4"/>
  <c r="D420" i="4"/>
  <c r="AH419" i="4"/>
  <c r="AD419" i="4"/>
  <c r="Z419" i="4"/>
  <c r="V419" i="4"/>
  <c r="R419" i="4"/>
  <c r="N419" i="4"/>
  <c r="J419" i="4"/>
  <c r="F419" i="4"/>
  <c r="AJ418" i="4"/>
  <c r="AF418" i="4"/>
  <c r="AB418" i="4"/>
  <c r="X418" i="4"/>
  <c r="T418" i="4"/>
  <c r="P418" i="4"/>
  <c r="L418" i="4"/>
  <c r="H418" i="4"/>
  <c r="D418" i="4"/>
  <c r="AJ427" i="4"/>
  <c r="AB427" i="4"/>
  <c r="T427" i="4"/>
  <c r="L427" i="4"/>
  <c r="D427" i="4"/>
  <c r="AD426" i="4"/>
  <c r="V426" i="4"/>
  <c r="N426" i="4"/>
  <c r="F426" i="4"/>
  <c r="AF425" i="4"/>
  <c r="X425" i="4"/>
  <c r="P425" i="4"/>
  <c r="H425" i="4"/>
  <c r="AH424" i="4"/>
  <c r="Z424" i="4"/>
  <c r="S424" i="4"/>
  <c r="N424" i="4"/>
  <c r="I424" i="4"/>
  <c r="AK423" i="4"/>
  <c r="AF423" i="4"/>
  <c r="AA423" i="4"/>
  <c r="U423" i="4"/>
  <c r="P423" i="4"/>
  <c r="K423" i="4"/>
  <c r="E423" i="4"/>
  <c r="AH422" i="4"/>
  <c r="AC422" i="4"/>
  <c r="W422" i="4"/>
  <c r="R422" i="4"/>
  <c r="M422" i="4"/>
  <c r="G422" i="4"/>
  <c r="AJ421" i="4"/>
  <c r="AE421" i="4"/>
  <c r="Y421" i="4"/>
  <c r="T421" i="4"/>
  <c r="O421" i="4"/>
  <c r="I421" i="4"/>
  <c r="D421" i="4"/>
  <c r="AG420" i="4"/>
  <c r="AA420" i="4"/>
  <c r="V420" i="4"/>
  <c r="Q420" i="4"/>
  <c r="K420" i="4"/>
  <c r="F420" i="4"/>
  <c r="AI419" i="4"/>
  <c r="AC419" i="4"/>
  <c r="X419" i="4"/>
  <c r="S419" i="4"/>
  <c r="M419" i="4"/>
  <c r="H419" i="4"/>
  <c r="AK418" i="4"/>
  <c r="AE418" i="4"/>
  <c r="Z418" i="4"/>
  <c r="U418" i="4"/>
  <c r="O418" i="4"/>
  <c r="J418" i="4"/>
  <c r="E418" i="4"/>
  <c r="AH417" i="4"/>
  <c r="AD417" i="4"/>
  <c r="Z417" i="4"/>
  <c r="V417" i="4"/>
  <c r="R417" i="4"/>
  <c r="N417" i="4"/>
  <c r="J417" i="4"/>
  <c r="F417" i="4"/>
  <c r="AJ416" i="4"/>
  <c r="AF416" i="4"/>
  <c r="AB416" i="4"/>
  <c r="X416" i="4"/>
  <c r="T416" i="4"/>
  <c r="P416" i="4"/>
  <c r="L416" i="4"/>
  <c r="H416" i="4"/>
  <c r="D416" i="4"/>
  <c r="AH415" i="4"/>
  <c r="AD415" i="4"/>
  <c r="Z415" i="4"/>
  <c r="V415" i="4"/>
  <c r="R415" i="4"/>
  <c r="N415" i="4"/>
  <c r="J415" i="4"/>
  <c r="F415" i="4"/>
  <c r="AJ414" i="4"/>
  <c r="AF414" i="4"/>
  <c r="AB414" i="4"/>
  <c r="AI427" i="4"/>
  <c r="X427" i="4"/>
  <c r="O427" i="4"/>
  <c r="AK426" i="4"/>
  <c r="Z426" i="4"/>
  <c r="Q426" i="4"/>
  <c r="E426" i="4"/>
  <c r="AB425" i="4"/>
  <c r="S425" i="4"/>
  <c r="G425" i="4"/>
  <c r="AD424" i="4"/>
  <c r="U424" i="4"/>
  <c r="M424" i="4"/>
  <c r="F424" i="4"/>
  <c r="AG423" i="4"/>
  <c r="Y423" i="4"/>
  <c r="S423" i="4"/>
  <c r="L423" i="4"/>
  <c r="D423" i="4"/>
  <c r="AE422" i="4"/>
  <c r="Y422" i="4"/>
  <c r="Q422" i="4"/>
  <c r="J422" i="4"/>
  <c r="AK421" i="4"/>
  <c r="AC421" i="4"/>
  <c r="W421" i="4"/>
  <c r="P421" i="4"/>
  <c r="H421" i="4"/>
  <c r="AI420" i="4"/>
  <c r="AC420" i="4"/>
  <c r="U420" i="4"/>
  <c r="N420" i="4"/>
  <c r="G420" i="4"/>
  <c r="AG419" i="4"/>
  <c r="AA419" i="4"/>
  <c r="T419" i="4"/>
  <c r="L419" i="4"/>
  <c r="E419" i="4"/>
  <c r="AG418" i="4"/>
  <c r="Y418" i="4"/>
  <c r="R418" i="4"/>
  <c r="K418" i="4"/>
  <c r="AK417" i="4"/>
  <c r="AF417" i="4"/>
  <c r="AA417" i="4"/>
  <c r="U417" i="4"/>
  <c r="P417" i="4"/>
  <c r="K417" i="4"/>
  <c r="E417" i="4"/>
  <c r="AH416" i="4"/>
  <c r="AC416" i="4"/>
  <c r="W416" i="4"/>
  <c r="R416" i="4"/>
  <c r="M416" i="4"/>
  <c r="G416" i="4"/>
  <c r="AJ415" i="4"/>
  <c r="AE415" i="4"/>
  <c r="Y415" i="4"/>
  <c r="T415" i="4"/>
  <c r="O415" i="4"/>
  <c r="I415" i="4"/>
  <c r="D415" i="4"/>
  <c r="AG414" i="4"/>
  <c r="AA414" i="4"/>
  <c r="W414" i="4"/>
  <c r="S414" i="4"/>
  <c r="O414" i="4"/>
  <c r="K414" i="4"/>
  <c r="G414" i="4"/>
  <c r="AK413" i="4"/>
  <c r="AG413" i="4"/>
  <c r="AC413" i="4"/>
  <c r="Y413" i="4"/>
  <c r="U413" i="4"/>
  <c r="Q413" i="4"/>
  <c r="M413" i="4"/>
  <c r="I413" i="4"/>
  <c r="E413" i="4"/>
  <c r="AI412" i="4"/>
  <c r="AE412" i="4"/>
  <c r="AA412" i="4"/>
  <c r="W412" i="4"/>
  <c r="S412" i="4"/>
  <c r="O412" i="4"/>
  <c r="K412" i="4"/>
  <c r="G412" i="4"/>
  <c r="AK411" i="4"/>
  <c r="AG411" i="4"/>
  <c r="AC411" i="4"/>
  <c r="Y411" i="4"/>
  <c r="U411" i="4"/>
  <c r="Q411" i="4"/>
  <c r="M411" i="4"/>
  <c r="I411" i="4"/>
  <c r="E411" i="4"/>
  <c r="AI410" i="4"/>
  <c r="AE410" i="4"/>
  <c r="AA410" i="4"/>
  <c r="W410" i="4"/>
  <c r="S410" i="4"/>
  <c r="O410" i="4"/>
  <c r="K410" i="4"/>
  <c r="G410" i="4"/>
  <c r="AK409" i="4"/>
  <c r="AG409" i="4"/>
  <c r="AC409" i="4"/>
  <c r="Y409" i="4"/>
  <c r="U409" i="4"/>
  <c r="Q409" i="4"/>
  <c r="M409" i="4"/>
  <c r="I409" i="4"/>
  <c r="E409" i="4"/>
  <c r="AI408" i="4"/>
  <c r="AE408" i="4"/>
  <c r="AA408" i="4"/>
  <c r="W408" i="4"/>
  <c r="S408" i="4"/>
  <c r="O408" i="4"/>
  <c r="K408" i="4"/>
  <c r="G408" i="4"/>
  <c r="AK407" i="4"/>
  <c r="AG407" i="4"/>
  <c r="AC407" i="4"/>
  <c r="Y407" i="4"/>
  <c r="U407" i="4"/>
  <c r="Q407" i="4"/>
  <c r="M407" i="4"/>
  <c r="I407" i="4"/>
  <c r="E407" i="4"/>
  <c r="AI406" i="4"/>
  <c r="AE406" i="4"/>
  <c r="AA406" i="4"/>
  <c r="W406" i="4"/>
  <c r="S406" i="4"/>
  <c r="O406" i="4"/>
  <c r="K406" i="4"/>
  <c r="G406" i="4"/>
  <c r="AK405" i="4"/>
  <c r="AG405" i="4"/>
  <c r="AC405" i="4"/>
  <c r="Y405" i="4"/>
  <c r="U405" i="4"/>
  <c r="Q405" i="4"/>
  <c r="M405" i="4"/>
  <c r="I405" i="4"/>
  <c r="E405" i="4"/>
  <c r="AI404" i="4"/>
  <c r="AE404" i="4"/>
  <c r="AA404" i="4"/>
  <c r="W404" i="4"/>
  <c r="S404" i="4"/>
  <c r="O404" i="4"/>
  <c r="K404" i="4"/>
  <c r="G404" i="4"/>
  <c r="AK403" i="4"/>
  <c r="AG403" i="4"/>
  <c r="AC403" i="4"/>
  <c r="Y403" i="4"/>
  <c r="U403" i="4"/>
  <c r="Q403" i="4"/>
  <c r="M403" i="4"/>
  <c r="I403" i="4"/>
  <c r="E403" i="4"/>
  <c r="AI402" i="4"/>
  <c r="AE402" i="4"/>
  <c r="AA402" i="4"/>
  <c r="W402" i="4"/>
  <c r="S402" i="4"/>
  <c r="O402" i="4"/>
  <c r="K402" i="4"/>
  <c r="AF427" i="4"/>
  <c r="W427" i="4"/>
  <c r="K427" i="4"/>
  <c r="AH426" i="4"/>
  <c r="Y426" i="4"/>
  <c r="M426" i="4"/>
  <c r="AJ425" i="4"/>
  <c r="AA425" i="4"/>
  <c r="O425" i="4"/>
  <c r="D425" i="4"/>
  <c r="AC424" i="4"/>
  <c r="R424" i="4"/>
  <c r="K424" i="4"/>
  <c r="E424" i="4"/>
  <c r="AE423" i="4"/>
  <c r="X423" i="4"/>
  <c r="Q423" i="4"/>
  <c r="I423" i="4"/>
  <c r="AK422" i="4"/>
  <c r="AD422" i="4"/>
  <c r="V422" i="4"/>
  <c r="AE427" i="4"/>
  <c r="H427" i="4"/>
  <c r="U426" i="4"/>
  <c r="AI425" i="4"/>
  <c r="L425" i="4"/>
  <c r="Y424" i="4"/>
  <c r="J424" i="4"/>
  <c r="AC423" i="4"/>
  <c r="O423" i="4"/>
  <c r="AI422" i="4"/>
  <c r="U422" i="4"/>
  <c r="K422" i="4"/>
  <c r="AI421" i="4"/>
  <c r="AA421" i="4"/>
  <c r="Q421" i="4"/>
  <c r="G421" i="4"/>
  <c r="AE420" i="4"/>
  <c r="W420" i="4"/>
  <c r="M420" i="4"/>
  <c r="AK419" i="4"/>
  <c r="AB419" i="4"/>
  <c r="Q419" i="4"/>
  <c r="I419" i="4"/>
  <c r="AH418" i="4"/>
  <c r="W418" i="4"/>
  <c r="N418" i="4"/>
  <c r="F418" i="4"/>
  <c r="AE417" i="4"/>
  <c r="X417" i="4"/>
  <c r="Q417" i="4"/>
  <c r="I417" i="4"/>
  <c r="AK416" i="4"/>
  <c r="AD416" i="4"/>
  <c r="V416" i="4"/>
  <c r="O416" i="4"/>
  <c r="I416" i="4"/>
  <c r="AI415" i="4"/>
  <c r="AB415" i="4"/>
  <c r="U415" i="4"/>
  <c r="M415" i="4"/>
  <c r="G415" i="4"/>
  <c r="AH414" i="4"/>
  <c r="Z414" i="4"/>
  <c r="U414" i="4"/>
  <c r="P414" i="4"/>
  <c r="J414" i="4"/>
  <c r="E414" i="4"/>
  <c r="AH413" i="4"/>
  <c r="AB413" i="4"/>
  <c r="W413" i="4"/>
  <c r="R413" i="4"/>
  <c r="L413" i="4"/>
  <c r="G413" i="4"/>
  <c r="AJ412" i="4"/>
  <c r="AD412" i="4"/>
  <c r="Y412" i="4"/>
  <c r="T412" i="4"/>
  <c r="N412" i="4"/>
  <c r="I412" i="4"/>
  <c r="D412" i="4"/>
  <c r="AF411" i="4"/>
  <c r="AA411" i="4"/>
  <c r="V411" i="4"/>
  <c r="P411" i="4"/>
  <c r="K411" i="4"/>
  <c r="F411" i="4"/>
  <c r="AH410" i="4"/>
  <c r="AC410" i="4"/>
  <c r="X410" i="4"/>
  <c r="R410" i="4"/>
  <c r="M410" i="4"/>
  <c r="H410" i="4"/>
  <c r="AJ409" i="4"/>
  <c r="AE409" i="4"/>
  <c r="Z409" i="4"/>
  <c r="T409" i="4"/>
  <c r="O409" i="4"/>
  <c r="J409" i="4"/>
  <c r="D409" i="4"/>
  <c r="AG408" i="4"/>
  <c r="AB408" i="4"/>
  <c r="V408" i="4"/>
  <c r="Q408" i="4"/>
  <c r="L408" i="4"/>
  <c r="F408" i="4"/>
  <c r="AI407" i="4"/>
  <c r="AD407" i="4"/>
  <c r="X407" i="4"/>
  <c r="S407" i="4"/>
  <c r="N407" i="4"/>
  <c r="H407" i="4"/>
  <c r="AK406" i="4"/>
  <c r="AF406" i="4"/>
  <c r="Z406" i="4"/>
  <c r="U406" i="4"/>
  <c r="P406" i="4"/>
  <c r="J406" i="4"/>
  <c r="E406" i="4"/>
  <c r="AH405" i="4"/>
  <c r="AB405" i="4"/>
  <c r="W405" i="4"/>
  <c r="R405" i="4"/>
  <c r="L405" i="4"/>
  <c r="G405" i="4"/>
  <c r="AJ404" i="4"/>
  <c r="AD404" i="4"/>
  <c r="Y404" i="4"/>
  <c r="T404" i="4"/>
  <c r="N404" i="4"/>
  <c r="I404" i="4"/>
  <c r="D404" i="4"/>
  <c r="AF403" i="4"/>
  <c r="AA403" i="4"/>
  <c r="V403" i="4"/>
  <c r="P403" i="4"/>
  <c r="K403" i="4"/>
  <c r="F403" i="4"/>
  <c r="AH402" i="4"/>
  <c r="AC402" i="4"/>
  <c r="X402" i="4"/>
  <c r="R402" i="4"/>
  <c r="M402" i="4"/>
  <c r="H402" i="4"/>
  <c r="D402" i="4"/>
  <c r="AH401" i="4"/>
  <c r="AD401" i="4"/>
  <c r="Z401" i="4"/>
  <c r="V401" i="4"/>
  <c r="R401" i="4"/>
  <c r="N401" i="4"/>
  <c r="J401" i="4"/>
  <c r="F401" i="4"/>
  <c r="AJ400" i="4"/>
  <c r="AF400" i="4"/>
  <c r="AB400" i="4"/>
  <c r="X400" i="4"/>
  <c r="T400" i="4"/>
  <c r="P400" i="4"/>
  <c r="L400" i="4"/>
  <c r="H400" i="4"/>
  <c r="D400" i="4"/>
  <c r="AH399" i="4"/>
  <c r="AD399" i="4"/>
  <c r="Z399" i="4"/>
  <c r="V399" i="4"/>
  <c r="R399" i="4"/>
  <c r="N399" i="4"/>
  <c r="J399" i="4"/>
  <c r="F399" i="4"/>
  <c r="AJ398" i="4"/>
  <c r="AF398" i="4"/>
  <c r="AB398" i="4"/>
  <c r="X398" i="4"/>
  <c r="T398" i="4"/>
  <c r="P398" i="4"/>
  <c r="L398" i="4"/>
  <c r="H398" i="4"/>
  <c r="D398" i="4"/>
  <c r="AH397" i="4"/>
  <c r="AD397" i="4"/>
  <c r="Z397" i="4"/>
  <c r="V397" i="4"/>
  <c r="R397" i="4"/>
  <c r="N397" i="4"/>
  <c r="J397" i="4"/>
  <c r="F397" i="4"/>
  <c r="AJ396" i="4"/>
  <c r="AF396" i="4"/>
  <c r="AB396" i="4"/>
  <c r="X396" i="4"/>
  <c r="T396" i="4"/>
  <c r="P396" i="4"/>
  <c r="L396" i="4"/>
  <c r="H396" i="4"/>
  <c r="D396" i="4"/>
  <c r="AH395" i="4"/>
  <c r="AD395" i="4"/>
  <c r="Z395" i="4"/>
  <c r="V395" i="4"/>
  <c r="R395" i="4"/>
  <c r="N395" i="4"/>
  <c r="J395" i="4"/>
  <c r="F395" i="4"/>
  <c r="AJ394" i="4"/>
  <c r="AF394" i="4"/>
  <c r="AB394" i="4"/>
  <c r="X394" i="4"/>
  <c r="T394" i="4"/>
  <c r="P394" i="4"/>
  <c r="L394" i="4"/>
  <c r="H394" i="4"/>
  <c r="D394" i="4"/>
  <c r="AA427" i="4"/>
  <c r="G427" i="4"/>
  <c r="R426" i="4"/>
  <c r="AE425" i="4"/>
  <c r="K425" i="4"/>
  <c r="V424" i="4"/>
  <c r="G424" i="4"/>
  <c r="AB423" i="4"/>
  <c r="M423" i="4"/>
  <c r="AG422" i="4"/>
  <c r="S422" i="4"/>
  <c r="I422" i="4"/>
  <c r="AG421" i="4"/>
  <c r="X421" i="4"/>
  <c r="M421" i="4"/>
  <c r="E421" i="4"/>
  <c r="AD420" i="4"/>
  <c r="S420" i="4"/>
  <c r="J420" i="4"/>
  <c r="AJ419" i="4"/>
  <c r="Y419" i="4"/>
  <c r="P419" i="4"/>
  <c r="G419" i="4"/>
  <c r="AD418" i="4"/>
  <c r="V418" i="4"/>
  <c r="M418" i="4"/>
  <c r="AJ417" i="4"/>
  <c r="AC417" i="4"/>
  <c r="W417" i="4"/>
  <c r="O417" i="4"/>
  <c r="H417" i="4"/>
  <c r="AI416" i="4"/>
  <c r="AA416" i="4"/>
  <c r="U416" i="4"/>
  <c r="S427" i="4"/>
  <c r="J426" i="4"/>
  <c r="AK424" i="4"/>
  <c r="AJ423" i="4"/>
  <c r="H423" i="4"/>
  <c r="O422" i="4"/>
  <c r="AF421" i="4"/>
  <c r="L421" i="4"/>
  <c r="Z420" i="4"/>
  <c r="I420" i="4"/>
  <c r="W419" i="4"/>
  <c r="D419" i="4"/>
  <c r="S418" i="4"/>
  <c r="AI417" i="4"/>
  <c r="T417" i="4"/>
  <c r="G417" i="4"/>
  <c r="Z416" i="4"/>
  <c r="N416" i="4"/>
  <c r="E416" i="4"/>
  <c r="AC415" i="4"/>
  <c r="S415" i="4"/>
  <c r="K415" i="4"/>
  <c r="AI414" i="4"/>
  <c r="Y414" i="4"/>
  <c r="R414" i="4"/>
  <c r="L414" i="4"/>
  <c r="D414" i="4"/>
  <c r="AE413" i="4"/>
  <c r="X413" i="4"/>
  <c r="P413" i="4"/>
  <c r="J413" i="4"/>
  <c r="AK412" i="4"/>
  <c r="AC412" i="4"/>
  <c r="V412" i="4"/>
  <c r="P412" i="4"/>
  <c r="H412" i="4"/>
  <c r="AI411" i="4"/>
  <c r="AB411" i="4"/>
  <c r="T411" i="4"/>
  <c r="N411" i="4"/>
  <c r="G411" i="4"/>
  <c r="AG410" i="4"/>
  <c r="Z410" i="4"/>
  <c r="T410" i="4"/>
  <c r="L410" i="4"/>
  <c r="E410" i="4"/>
  <c r="AF409" i="4"/>
  <c r="X409" i="4"/>
  <c r="R409" i="4"/>
  <c r="K409" i="4"/>
  <c r="AK408" i="4"/>
  <c r="AD408" i="4"/>
  <c r="X408" i="4"/>
  <c r="P408" i="4"/>
  <c r="I408" i="4"/>
  <c r="AJ407" i="4"/>
  <c r="AB407" i="4"/>
  <c r="V407" i="4"/>
  <c r="O407" i="4"/>
  <c r="G407" i="4"/>
  <c r="AH406" i="4"/>
  <c r="AB406" i="4"/>
  <c r="T406" i="4"/>
  <c r="M406" i="4"/>
  <c r="F406" i="4"/>
  <c r="AF405" i="4"/>
  <c r="Z405" i="4"/>
  <c r="S405" i="4"/>
  <c r="K405" i="4"/>
  <c r="D405" i="4"/>
  <c r="AF404" i="4"/>
  <c r="P427" i="4"/>
  <c r="I426" i="4"/>
  <c r="AG424" i="4"/>
  <c r="AI423" i="4"/>
  <c r="G423" i="4"/>
  <c r="N422" i="4"/>
  <c r="AB421" i="4"/>
  <c r="K421" i="4"/>
  <c r="Y420" i="4"/>
  <c r="E420" i="4"/>
  <c r="U419" i="4"/>
  <c r="AI418" i="4"/>
  <c r="Q418" i="4"/>
  <c r="AG417" i="4"/>
  <c r="S417" i="4"/>
  <c r="D417" i="4"/>
  <c r="Y416" i="4"/>
  <c r="K416" i="4"/>
  <c r="AK415" i="4"/>
  <c r="AA415" i="4"/>
  <c r="Q415" i="4"/>
  <c r="H415" i="4"/>
  <c r="AE414" i="4"/>
  <c r="X414" i="4"/>
  <c r="Q414" i="4"/>
  <c r="I414" i="4"/>
  <c r="AJ413" i="4"/>
  <c r="AD413" i="4"/>
  <c r="V413" i="4"/>
  <c r="O413" i="4"/>
  <c r="H413" i="4"/>
  <c r="AH412" i="4"/>
  <c r="AB412" i="4"/>
  <c r="U412" i="4"/>
  <c r="M412" i="4"/>
  <c r="F412" i="4"/>
  <c r="AH411" i="4"/>
  <c r="Z411" i="4"/>
  <c r="S411" i="4"/>
  <c r="L411" i="4"/>
  <c r="D411" i="4"/>
  <c r="AF410" i="4"/>
  <c r="Y410" i="4"/>
  <c r="Q410" i="4"/>
  <c r="J410" i="4"/>
  <c r="D410" i="4"/>
  <c r="AD409" i="4"/>
  <c r="W409" i="4"/>
  <c r="P409" i="4"/>
  <c r="H409" i="4"/>
  <c r="AJ408" i="4"/>
  <c r="AC408" i="4"/>
  <c r="U408" i="4"/>
  <c r="N408" i="4"/>
  <c r="H408" i="4"/>
  <c r="AH407" i="4"/>
  <c r="AA407" i="4"/>
  <c r="T407" i="4"/>
  <c r="L407" i="4"/>
  <c r="F407" i="4"/>
  <c r="AG406" i="4"/>
  <c r="Y406" i="4"/>
  <c r="R406" i="4"/>
  <c r="L406" i="4"/>
  <c r="D406" i="4"/>
  <c r="AE405" i="4"/>
  <c r="X405" i="4"/>
  <c r="P405" i="4"/>
  <c r="J405" i="4"/>
  <c r="AK404" i="4"/>
  <c r="AC404" i="4"/>
  <c r="V404" i="4"/>
  <c r="P404" i="4"/>
  <c r="H404" i="4"/>
  <c r="AI403" i="4"/>
  <c r="AB403" i="4"/>
  <c r="T403" i="4"/>
  <c r="N403" i="4"/>
  <c r="G403" i="4"/>
  <c r="AG402" i="4"/>
  <c r="Z402" i="4"/>
  <c r="T402" i="4"/>
  <c r="L402" i="4"/>
  <c r="F402" i="4"/>
  <c r="AI401" i="4"/>
  <c r="AG426" i="4"/>
  <c r="Q424" i="4"/>
  <c r="AA422" i="4"/>
  <c r="U421" i="4"/>
  <c r="R420" i="4"/>
  <c r="O419" i="4"/>
  <c r="I418" i="4"/>
  <c r="M417" i="4"/>
  <c r="S416" i="4"/>
  <c r="AG415" i="4"/>
  <c r="P415" i="4"/>
  <c r="AD414" i="4"/>
  <c r="N414" i="4"/>
  <c r="AI413" i="4"/>
  <c r="T413" i="4"/>
  <c r="F413" i="4"/>
  <c r="Z412" i="4"/>
  <c r="L412" i="4"/>
  <c r="AE411" i="4"/>
  <c r="R411" i="4"/>
  <c r="AK410" i="4"/>
  <c r="V410" i="4"/>
  <c r="I410" i="4"/>
  <c r="AB409" i="4"/>
  <c r="N409" i="4"/>
  <c r="AH408" i="4"/>
  <c r="T408" i="4"/>
  <c r="E408" i="4"/>
  <c r="Z407" i="4"/>
  <c r="K407" i="4"/>
  <c r="AD406" i="4"/>
  <c r="Q406" i="4"/>
  <c r="AJ405" i="4"/>
  <c r="V405" i="4"/>
  <c r="H405" i="4"/>
  <c r="AB404" i="4"/>
  <c r="R404" i="4"/>
  <c r="J404" i="4"/>
  <c r="AH403" i="4"/>
  <c r="X403" i="4"/>
  <c r="O403" i="4"/>
  <c r="D403" i="4"/>
  <c r="AD402" i="4"/>
  <c r="U402" i="4"/>
  <c r="J402" i="4"/>
  <c r="AK401" i="4"/>
  <c r="AE401" i="4"/>
  <c r="Y401" i="4"/>
  <c r="T401" i="4"/>
  <c r="O401" i="4"/>
  <c r="I401" i="4"/>
  <c r="D401" i="4"/>
  <c r="AG400" i="4"/>
  <c r="AA400" i="4"/>
  <c r="V400" i="4"/>
  <c r="Q400" i="4"/>
  <c r="K400" i="4"/>
  <c r="F400" i="4"/>
  <c r="AI399" i="4"/>
  <c r="AC399" i="4"/>
  <c r="X399" i="4"/>
  <c r="S399" i="4"/>
  <c r="M399" i="4"/>
  <c r="H399" i="4"/>
  <c r="AK398" i="4"/>
  <c r="AE398" i="4"/>
  <c r="Z398" i="4"/>
  <c r="U398" i="4"/>
  <c r="O398" i="4"/>
  <c r="J398" i="4"/>
  <c r="E398" i="4"/>
  <c r="AG397" i="4"/>
  <c r="AB397" i="4"/>
  <c r="W397" i="4"/>
  <c r="Q397" i="4"/>
  <c r="L397" i="4"/>
  <c r="G397" i="4"/>
  <c r="AI396" i="4"/>
  <c r="AD396" i="4"/>
  <c r="Y396" i="4"/>
  <c r="S396" i="4"/>
  <c r="N396" i="4"/>
  <c r="I396" i="4"/>
  <c r="AK395" i="4"/>
  <c r="AF395" i="4"/>
  <c r="AA395" i="4"/>
  <c r="U395" i="4"/>
  <c r="P395" i="4"/>
  <c r="K395" i="4"/>
  <c r="E395" i="4"/>
  <c r="AH394" i="4"/>
  <c r="AC394" i="4"/>
  <c r="W394" i="4"/>
  <c r="R394" i="4"/>
  <c r="M394" i="4"/>
  <c r="G394" i="4"/>
  <c r="AC426" i="4"/>
  <c r="W423" i="4"/>
  <c r="E422" i="4"/>
  <c r="O420" i="4"/>
  <c r="AC418" i="4"/>
  <c r="Y417" i="4"/>
  <c r="Q416" i="4"/>
  <c r="X415" i="4"/>
  <c r="AK414" i="4"/>
  <c r="M414" i="4"/>
  <c r="AA413" i="4"/>
  <c r="K413" i="4"/>
  <c r="X412" i="4"/>
  <c r="E412" i="4"/>
  <c r="W411" i="4"/>
  <c r="AJ410" i="4"/>
  <c r="P410" i="4"/>
  <c r="AH409" i="4"/>
  <c r="L409" i="4"/>
  <c r="Z408" i="4"/>
  <c r="J408" i="4"/>
  <c r="W407" i="4"/>
  <c r="D407" i="4"/>
  <c r="V406" i="4"/>
  <c r="AI405" i="4"/>
  <c r="O405" i="4"/>
  <c r="AG404" i="4"/>
  <c r="Q404" i="4"/>
  <c r="E404" i="4"/>
  <c r="Z403" i="4"/>
  <c r="L403" i="4"/>
  <c r="AJ402" i="4"/>
  <c r="V402" i="4"/>
  <c r="I402" i="4"/>
  <c r="AG401" i="4"/>
  <c r="AA401" i="4"/>
  <c r="S401" i="4"/>
  <c r="L401" i="4"/>
  <c r="E401" i="4"/>
  <c r="AE400" i="4"/>
  <c r="Y400" i="4"/>
  <c r="R400" i="4"/>
  <c r="J400" i="4"/>
  <c r="AK399" i="4"/>
  <c r="AE399" i="4"/>
  <c r="W399" i="4"/>
  <c r="P399" i="4"/>
  <c r="I399" i="4"/>
  <c r="AI398" i="4"/>
  <c r="AC398" i="4"/>
  <c r="V398" i="4"/>
  <c r="N398" i="4"/>
  <c r="G398" i="4"/>
  <c r="AI397" i="4"/>
  <c r="AA397" i="4"/>
  <c r="T397" i="4"/>
  <c r="M397" i="4"/>
  <c r="E397" i="4"/>
  <c r="AG396" i="4"/>
  <c r="Z396" i="4"/>
  <c r="R396" i="4"/>
  <c r="K396" i="4"/>
  <c r="E396" i="4"/>
  <c r="AE395" i="4"/>
  <c r="X395" i="4"/>
  <c r="Q395" i="4"/>
  <c r="I395" i="4"/>
  <c r="AK394" i="4"/>
  <c r="AD394" i="4"/>
  <c r="V394" i="4"/>
  <c r="O394" i="4"/>
  <c r="I394" i="4"/>
  <c r="W425" i="4"/>
  <c r="T423" i="4"/>
  <c r="S421" i="4"/>
  <c r="AF419" i="4"/>
  <c r="AA418" i="4"/>
  <c r="L417" i="4"/>
  <c r="J416" i="4"/>
  <c r="W415" i="4"/>
  <c r="AC414" i="4"/>
  <c r="H414" i="4"/>
  <c r="Z413" i="4"/>
  <c r="D413" i="4"/>
  <c r="R412" i="4"/>
  <c r="AJ411" i="4"/>
  <c r="O411" i="4"/>
  <c r="AD410" i="4"/>
  <c r="N410" i="4"/>
  <c r="AA409" i="4"/>
  <c r="G409" i="4"/>
  <c r="Y408" i="4"/>
  <c r="D408" i="4"/>
  <c r="R407" i="4"/>
  <c r="AJ406" i="4"/>
  <c r="N406" i="4"/>
  <c r="AD405" i="4"/>
  <c r="N405" i="4"/>
  <c r="Z404" i="4"/>
  <c r="M404" i="4"/>
  <c r="AJ403" i="4"/>
  <c r="W403" i="4"/>
  <c r="J403" i="4"/>
  <c r="AF402" i="4"/>
  <c r="Q402" i="4"/>
  <c r="G402" i="4"/>
  <c r="AF401" i="4"/>
  <c r="X401" i="4"/>
  <c r="Q401" i="4"/>
  <c r="K401" i="4"/>
  <c r="AK400" i="4"/>
  <c r="AD400" i="4"/>
  <c r="W400" i="4"/>
  <c r="O400" i="4"/>
  <c r="I400" i="4"/>
  <c r="AJ399" i="4"/>
  <c r="AB399" i="4"/>
  <c r="U399" i="4"/>
  <c r="O399" i="4"/>
  <c r="G399" i="4"/>
  <c r="AH398" i="4"/>
  <c r="AA398" i="4"/>
  <c r="S398" i="4"/>
  <c r="M398" i="4"/>
  <c r="F398" i="4"/>
  <c r="AF397" i="4"/>
  <c r="Y397" i="4"/>
  <c r="S397" i="4"/>
  <c r="K397" i="4"/>
  <c r="D397" i="4"/>
  <c r="AE396" i="4"/>
  <c r="W396" i="4"/>
  <c r="Q396" i="4"/>
  <c r="J396" i="4"/>
  <c r="AJ395" i="4"/>
  <c r="AC395" i="4"/>
  <c r="W395" i="4"/>
  <c r="O395" i="4"/>
  <c r="H395" i="4"/>
  <c r="AI394" i="4"/>
  <c r="AA394" i="4"/>
  <c r="U394" i="4"/>
  <c r="N394" i="4"/>
  <c r="F394" i="4"/>
  <c r="T425" i="4"/>
  <c r="AK420" i="4"/>
  <c r="G418" i="4"/>
  <c r="F416" i="4"/>
  <c r="V414" i="4"/>
  <c r="S413" i="4"/>
  <c r="Q412" i="4"/>
  <c r="J411" i="4"/>
  <c r="F410" i="4"/>
  <c r="F409" i="4"/>
  <c r="AF407" i="4"/>
  <c r="AC406" i="4"/>
  <c r="AA405" i="4"/>
  <c r="X404" i="4"/>
  <c r="AE403" i="4"/>
  <c r="H403" i="4"/>
  <c r="P402" i="4"/>
  <c r="AC401" i="4"/>
  <c r="P401" i="4"/>
  <c r="AI400" i="4"/>
  <c r="U400" i="4"/>
  <c r="G400" i="4"/>
  <c r="AA399" i="4"/>
  <c r="L399" i="4"/>
  <c r="AG398" i="4"/>
  <c r="R398" i="4"/>
  <c r="AK397" i="4"/>
  <c r="X397" i="4"/>
  <c r="I397" i="4"/>
  <c r="AC396" i="4"/>
  <c r="O396" i="4"/>
  <c r="AI395" i="4"/>
  <c r="T395" i="4"/>
  <c r="G395" i="4"/>
  <c r="Z394" i="4"/>
  <c r="K394" i="4"/>
  <c r="O424" i="4"/>
  <c r="AH420" i="4"/>
  <c r="AB417" i="4"/>
  <c r="AF415" i="4"/>
  <c r="T414" i="4"/>
  <c r="N413" i="4"/>
  <c r="J412" i="4"/>
  <c r="H411" i="4"/>
  <c r="AI409" i="4"/>
  <c r="AF408" i="4"/>
  <c r="AE407" i="4"/>
  <c r="X406" i="4"/>
  <c r="T405" i="4"/>
  <c r="U404" i="4"/>
  <c r="AD403" i="4"/>
  <c r="AK402" i="4"/>
  <c r="N402" i="4"/>
  <c r="AB401" i="4"/>
  <c r="M401" i="4"/>
  <c r="AH400" i="4"/>
  <c r="S400" i="4"/>
  <c r="E400" i="4"/>
  <c r="Y399" i="4"/>
  <c r="K399" i="4"/>
  <c r="AD398" i="4"/>
  <c r="Q398" i="4"/>
  <c r="AJ397" i="4"/>
  <c r="U397" i="4"/>
  <c r="H397" i="4"/>
  <c r="AA396" i="4"/>
  <c r="M396" i="4"/>
  <c r="AG395" i="4"/>
  <c r="S395" i="4"/>
  <c r="D395" i="4"/>
  <c r="Y394" i="4"/>
  <c r="J394" i="4"/>
  <c r="Z422" i="4"/>
  <c r="AG416" i="4"/>
  <c r="F414" i="4"/>
  <c r="AD411" i="4"/>
  <c r="V409" i="4"/>
  <c r="P407" i="4"/>
  <c r="F405" i="4"/>
  <c r="S403" i="4"/>
  <c r="E402" i="4"/>
  <c r="H401" i="4"/>
  <c r="N400" i="4"/>
  <c r="T399" i="4"/>
  <c r="Y398" i="4"/>
  <c r="AE397" i="4"/>
  <c r="AK396" i="4"/>
  <c r="G396" i="4"/>
  <c r="M395" i="4"/>
  <c r="S394" i="4"/>
  <c r="F422" i="4"/>
  <c r="AE416" i="4"/>
  <c r="AF413" i="4"/>
  <c r="X411" i="4"/>
  <c r="S409" i="4"/>
  <c r="J407" i="4"/>
  <c r="AH404" i="4"/>
  <c r="R403" i="4"/>
  <c r="AJ401" i="4"/>
  <c r="G401" i="4"/>
  <c r="M400" i="4"/>
  <c r="Q399" i="4"/>
  <c r="W398" i="4"/>
  <c r="AC397" i="4"/>
  <c r="AH396" i="4"/>
  <c r="F396" i="4"/>
  <c r="L395" i="4"/>
  <c r="Q394" i="4"/>
  <c r="AE419" i="4"/>
  <c r="AG412" i="4"/>
  <c r="R408" i="4"/>
  <c r="L404" i="4"/>
  <c r="W401" i="4"/>
  <c r="AG399" i="4"/>
  <c r="K398" i="4"/>
  <c r="V396" i="4"/>
  <c r="AG394" i="4"/>
  <c r="L415" i="4"/>
  <c r="I406" i="4"/>
  <c r="AB402" i="4"/>
  <c r="AC400" i="4"/>
  <c r="E399" i="4"/>
  <c r="P397" i="4"/>
  <c r="AB395" i="4"/>
  <c r="E394" i="4"/>
  <c r="E415" i="4"/>
  <c r="K419" i="4"/>
  <c r="AF412" i="4"/>
  <c r="M408" i="4"/>
  <c r="F404" i="4"/>
  <c r="U401" i="4"/>
  <c r="AF399" i="4"/>
  <c r="I398" i="4"/>
  <c r="U396" i="4"/>
  <c r="AE394" i="4"/>
  <c r="AB410" i="4"/>
  <c r="U410" i="4"/>
  <c r="H406" i="4"/>
  <c r="Y402" i="4"/>
  <c r="Z400" i="4"/>
  <c r="D399" i="4"/>
  <c r="O397" i="4"/>
  <c r="Y395" i="4"/>
  <c r="F115" i="1" l="1"/>
  <c r="E115" i="1"/>
  <c r="D115" i="1"/>
  <c r="D114" i="1"/>
  <c r="F116" i="1"/>
  <c r="E116" i="1"/>
  <c r="D116" i="1"/>
  <c r="F114" i="1"/>
  <c r="E114" i="1"/>
  <c r="I41" i="3"/>
  <c r="I37" i="3"/>
  <c r="I33" i="3"/>
  <c r="I29" i="3"/>
  <c r="I25" i="3"/>
  <c r="I21" i="3"/>
  <c r="I17" i="3"/>
  <c r="I13" i="3"/>
  <c r="I9" i="3"/>
  <c r="I36" i="3"/>
  <c r="I28" i="3"/>
  <c r="I20" i="3"/>
  <c r="I12" i="3"/>
  <c r="I39" i="3"/>
  <c r="I35" i="3"/>
  <c r="I31" i="3"/>
  <c r="I27" i="3"/>
  <c r="I23" i="3"/>
  <c r="I19" i="3"/>
  <c r="I15" i="3"/>
  <c r="I11" i="3"/>
  <c r="I38" i="3"/>
  <c r="I34" i="3"/>
  <c r="I26" i="3"/>
  <c r="I18" i="3"/>
  <c r="I10" i="3"/>
  <c r="I40" i="3"/>
  <c r="I32" i="3"/>
  <c r="I24" i="3"/>
  <c r="I16" i="3"/>
  <c r="I8" i="3"/>
  <c r="I30" i="3"/>
  <c r="I22" i="3"/>
  <c r="I14" i="3"/>
  <c r="AV38" i="4"/>
  <c r="AW38" i="4" s="1"/>
  <c r="AV34" i="4"/>
  <c r="AW34" i="4" s="1"/>
  <c r="AV30" i="4"/>
  <c r="AW30" i="4" s="1"/>
  <c r="AV26" i="4"/>
  <c r="AW26" i="4" s="1"/>
  <c r="AV22" i="4"/>
  <c r="AW22" i="4" s="1"/>
  <c r="AV18" i="4"/>
  <c r="AW18" i="4" s="1"/>
  <c r="AV14" i="4"/>
  <c r="AW14" i="4" s="1"/>
  <c r="AV10" i="4"/>
  <c r="AW10" i="4" s="1"/>
  <c r="AV41" i="4"/>
  <c r="AW41" i="4" s="1"/>
  <c r="AV36" i="4"/>
  <c r="AW36" i="4" s="1"/>
  <c r="AV31" i="4"/>
  <c r="AW31" i="4" s="1"/>
  <c r="AV25" i="4"/>
  <c r="AW25" i="4" s="1"/>
  <c r="AV20" i="4"/>
  <c r="AW20" i="4" s="1"/>
  <c r="AV15" i="4"/>
  <c r="AW15" i="4" s="1"/>
  <c r="AV9" i="4"/>
  <c r="AW9" i="4" s="1"/>
  <c r="AV28" i="4"/>
  <c r="AW28" i="4" s="1"/>
  <c r="AV12" i="4"/>
  <c r="AW12" i="4" s="1"/>
  <c r="AV27" i="4"/>
  <c r="AW27" i="4" s="1"/>
  <c r="AV16" i="4"/>
  <c r="AW16" i="4" s="1"/>
  <c r="AV40" i="4"/>
  <c r="AW40" i="4" s="1"/>
  <c r="AV35" i="4"/>
  <c r="AW35" i="4" s="1"/>
  <c r="AV29" i="4"/>
  <c r="AW29" i="4" s="1"/>
  <c r="AV24" i="4"/>
  <c r="AW24" i="4" s="1"/>
  <c r="AV19" i="4"/>
  <c r="AW19" i="4" s="1"/>
  <c r="AV13" i="4"/>
  <c r="AW13" i="4" s="1"/>
  <c r="AV8" i="4"/>
  <c r="AW8" i="4" s="1"/>
  <c r="AV39" i="4"/>
  <c r="AW39" i="4" s="1"/>
  <c r="AV33" i="4"/>
  <c r="AW33" i="4" s="1"/>
  <c r="AV23" i="4"/>
  <c r="AW23" i="4" s="1"/>
  <c r="AV17" i="4"/>
  <c r="AW17" i="4" s="1"/>
  <c r="AV37" i="4"/>
  <c r="AW37" i="4" s="1"/>
  <c r="AV32" i="4"/>
  <c r="AW32" i="4" s="1"/>
  <c r="AV21" i="4"/>
  <c r="AW21" i="4" s="1"/>
  <c r="AV11" i="4"/>
  <c r="AW11" i="4" s="1"/>
  <c r="AA13" i="3" l="1"/>
  <c r="V13" i="3"/>
  <c r="R13" i="3"/>
  <c r="Z13" i="3"/>
  <c r="Q13" i="3"/>
  <c r="AC13" i="3"/>
  <c r="X13" i="3"/>
  <c r="T13" i="3"/>
  <c r="P13" i="3"/>
  <c r="AB13" i="3"/>
  <c r="W13" i="3"/>
  <c r="AD13" i="3"/>
  <c r="U13" i="3"/>
  <c r="J13" i="3"/>
  <c r="S13" i="3"/>
  <c r="AC14" i="3"/>
  <c r="X14" i="3"/>
  <c r="T14" i="3"/>
  <c r="P14" i="3"/>
  <c r="AB14" i="3"/>
  <c r="W14" i="3"/>
  <c r="AA14" i="3"/>
  <c r="V14" i="3"/>
  <c r="R14" i="3"/>
  <c r="Z14" i="3"/>
  <c r="Q14" i="3"/>
  <c r="S14" i="3"/>
  <c r="AD14" i="3"/>
  <c r="U14" i="3"/>
  <c r="J14" i="3"/>
  <c r="AC16" i="3"/>
  <c r="X16" i="3"/>
  <c r="T16" i="3"/>
  <c r="P16" i="3"/>
  <c r="S16" i="3"/>
  <c r="AA16" i="3"/>
  <c r="V16" i="3"/>
  <c r="R16" i="3"/>
  <c r="Z16" i="3"/>
  <c r="Q16" i="3"/>
  <c r="AB16" i="3"/>
  <c r="W16" i="3"/>
  <c r="AD16" i="3"/>
  <c r="U16" i="3"/>
  <c r="J16" i="3"/>
  <c r="AC10" i="3"/>
  <c r="X10" i="3"/>
  <c r="T10" i="3"/>
  <c r="P10" i="3"/>
  <c r="W10" i="3"/>
  <c r="AA10" i="3"/>
  <c r="V10" i="3"/>
  <c r="R10" i="3"/>
  <c r="AD10" i="3"/>
  <c r="Z10" i="3"/>
  <c r="U10" i="3"/>
  <c r="J10" i="3"/>
  <c r="AB10" i="3"/>
  <c r="S10" i="3"/>
  <c r="Q10" i="3"/>
  <c r="AC38" i="3"/>
  <c r="X38" i="3"/>
  <c r="T38" i="3"/>
  <c r="P38" i="3"/>
  <c r="AA38" i="3"/>
  <c r="V38" i="3"/>
  <c r="R38" i="3"/>
  <c r="AD38" i="3"/>
  <c r="U38" i="3"/>
  <c r="J38" i="3"/>
  <c r="AB38" i="3"/>
  <c r="W38" i="3"/>
  <c r="S38" i="3"/>
  <c r="Z38" i="3"/>
  <c r="Q38" i="3"/>
  <c r="AA23" i="3"/>
  <c r="V23" i="3"/>
  <c r="R23" i="3"/>
  <c r="AC23" i="3"/>
  <c r="X23" i="3"/>
  <c r="T23" i="3"/>
  <c r="P23" i="3"/>
  <c r="W23" i="3"/>
  <c r="AD23" i="3"/>
  <c r="Z23" i="3"/>
  <c r="U23" i="3"/>
  <c r="Q23" i="3"/>
  <c r="J23" i="3"/>
  <c r="AB23" i="3"/>
  <c r="S23" i="3"/>
  <c r="AA39" i="3"/>
  <c r="V39" i="3"/>
  <c r="R39" i="3"/>
  <c r="AC39" i="3"/>
  <c r="X39" i="3"/>
  <c r="T39" i="3"/>
  <c r="P39" i="3"/>
  <c r="AB39" i="3"/>
  <c r="W39" i="3"/>
  <c r="S39" i="3"/>
  <c r="AD39" i="3"/>
  <c r="Z39" i="3"/>
  <c r="U39" i="3"/>
  <c r="Q39" i="3"/>
  <c r="J39" i="3"/>
  <c r="AC36" i="3"/>
  <c r="X36" i="3"/>
  <c r="T36" i="3"/>
  <c r="P36" i="3"/>
  <c r="AA36" i="3"/>
  <c r="V36" i="3"/>
  <c r="R36" i="3"/>
  <c r="Z36" i="3"/>
  <c r="Q36" i="3"/>
  <c r="AB36" i="3"/>
  <c r="W36" i="3"/>
  <c r="S36" i="3"/>
  <c r="AD36" i="3"/>
  <c r="U36" i="3"/>
  <c r="J36" i="3"/>
  <c r="AA21" i="3"/>
  <c r="V21" i="3"/>
  <c r="R21" i="3"/>
  <c r="J21" i="3"/>
  <c r="AC21" i="3"/>
  <c r="X21" i="3"/>
  <c r="T21" i="3"/>
  <c r="P21" i="3"/>
  <c r="S21" i="3"/>
  <c r="AD21" i="3"/>
  <c r="Z21" i="3"/>
  <c r="U21" i="3"/>
  <c r="Q21" i="3"/>
  <c r="AB21" i="3"/>
  <c r="W21" i="3"/>
  <c r="AA37" i="3"/>
  <c r="V37" i="3"/>
  <c r="R37" i="3"/>
  <c r="AC37" i="3"/>
  <c r="X37" i="3"/>
  <c r="T37" i="3"/>
  <c r="P37" i="3"/>
  <c r="S37" i="3"/>
  <c r="AD37" i="3"/>
  <c r="Z37" i="3"/>
  <c r="U37" i="3"/>
  <c r="Q37" i="3"/>
  <c r="J37" i="3"/>
  <c r="AB37" i="3"/>
  <c r="W37" i="3"/>
  <c r="AC30" i="3"/>
  <c r="X30" i="3"/>
  <c r="T30" i="3"/>
  <c r="P30" i="3"/>
  <c r="AA30" i="3"/>
  <c r="V30" i="3"/>
  <c r="R30" i="3"/>
  <c r="Z30" i="3"/>
  <c r="Q30" i="3"/>
  <c r="AB30" i="3"/>
  <c r="W30" i="3"/>
  <c r="S30" i="3"/>
  <c r="AD30" i="3"/>
  <c r="U30" i="3"/>
  <c r="J30" i="3"/>
  <c r="AC32" i="3"/>
  <c r="X32" i="3"/>
  <c r="T32" i="3"/>
  <c r="P32" i="3"/>
  <c r="AA32" i="3"/>
  <c r="V32" i="3"/>
  <c r="R32" i="3"/>
  <c r="Z32" i="3"/>
  <c r="Q32" i="3"/>
  <c r="AB32" i="3"/>
  <c r="W32" i="3"/>
  <c r="S32" i="3"/>
  <c r="AD32" i="3"/>
  <c r="U32" i="3"/>
  <c r="J32" i="3"/>
  <c r="AC26" i="3"/>
  <c r="X26" i="3"/>
  <c r="T26" i="3"/>
  <c r="P26" i="3"/>
  <c r="AA26" i="3"/>
  <c r="V26" i="3"/>
  <c r="R26" i="3"/>
  <c r="Z26" i="3"/>
  <c r="Q26" i="3"/>
  <c r="AB26" i="3"/>
  <c r="W26" i="3"/>
  <c r="S26" i="3"/>
  <c r="AD26" i="3"/>
  <c r="U26" i="3"/>
  <c r="J26" i="3"/>
  <c r="AA15" i="3"/>
  <c r="V15" i="3"/>
  <c r="R15" i="3"/>
  <c r="AD15" i="3"/>
  <c r="U15" i="3"/>
  <c r="Q15" i="3"/>
  <c r="AC15" i="3"/>
  <c r="X15" i="3"/>
  <c r="T15" i="3"/>
  <c r="P15" i="3"/>
  <c r="AB15" i="3"/>
  <c r="W15" i="3"/>
  <c r="Z15" i="3"/>
  <c r="J15" i="3"/>
  <c r="S15" i="3"/>
  <c r="AA31" i="3"/>
  <c r="V31" i="3"/>
  <c r="R31" i="3"/>
  <c r="AC31" i="3"/>
  <c r="X31" i="3"/>
  <c r="T31" i="3"/>
  <c r="P31" i="3"/>
  <c r="AB31" i="3"/>
  <c r="W31" i="3"/>
  <c r="AD31" i="3"/>
  <c r="Z31" i="3"/>
  <c r="U31" i="3"/>
  <c r="Q31" i="3"/>
  <c r="J31" i="3"/>
  <c r="S31" i="3"/>
  <c r="AC20" i="3"/>
  <c r="X20" i="3"/>
  <c r="T20" i="3"/>
  <c r="P20" i="3"/>
  <c r="AB20" i="3"/>
  <c r="W20" i="3"/>
  <c r="S20" i="3"/>
  <c r="AA20" i="3"/>
  <c r="V20" i="3"/>
  <c r="R20" i="3"/>
  <c r="AD20" i="3"/>
  <c r="Q20" i="3"/>
  <c r="Z20" i="3"/>
  <c r="U20" i="3"/>
  <c r="J20" i="3"/>
  <c r="AA29" i="3"/>
  <c r="V29" i="3"/>
  <c r="R29" i="3"/>
  <c r="AC29" i="3"/>
  <c r="X29" i="3"/>
  <c r="T29" i="3"/>
  <c r="P29" i="3"/>
  <c r="AB29" i="3"/>
  <c r="W29" i="3"/>
  <c r="AD29" i="3"/>
  <c r="Z29" i="3"/>
  <c r="U29" i="3"/>
  <c r="Q29" i="3"/>
  <c r="J29" i="3"/>
  <c r="S29" i="3"/>
  <c r="I42" i="3"/>
  <c r="AC8" i="3"/>
  <c r="X8" i="3"/>
  <c r="T8" i="3"/>
  <c r="P8" i="3"/>
  <c r="W8" i="3"/>
  <c r="AA8" i="3"/>
  <c r="V8" i="3"/>
  <c r="R8" i="3"/>
  <c r="Z8" i="3"/>
  <c r="Q8" i="3"/>
  <c r="AB8" i="3"/>
  <c r="S8" i="3"/>
  <c r="AD8" i="3"/>
  <c r="U8" i="3"/>
  <c r="J8" i="3"/>
  <c r="AC40" i="3"/>
  <c r="X40" i="3"/>
  <c r="T40" i="3"/>
  <c r="P40" i="3"/>
  <c r="AA40" i="3"/>
  <c r="V40" i="3"/>
  <c r="R40" i="3"/>
  <c r="Z40" i="3"/>
  <c r="Q40" i="3"/>
  <c r="AB40" i="3"/>
  <c r="W40" i="3"/>
  <c r="S40" i="3"/>
  <c r="AD40" i="3"/>
  <c r="U40" i="3"/>
  <c r="J40" i="3"/>
  <c r="AC34" i="3"/>
  <c r="X34" i="3"/>
  <c r="T34" i="3"/>
  <c r="P34" i="3"/>
  <c r="AA34" i="3"/>
  <c r="V34" i="3"/>
  <c r="R34" i="3"/>
  <c r="Z34" i="3"/>
  <c r="Q34" i="3"/>
  <c r="AB34" i="3"/>
  <c r="W34" i="3"/>
  <c r="S34" i="3"/>
  <c r="AD34" i="3"/>
  <c r="U34" i="3"/>
  <c r="J34" i="3"/>
  <c r="AA19" i="3"/>
  <c r="V19" i="3"/>
  <c r="R19" i="3"/>
  <c r="AD19" i="3"/>
  <c r="Z19" i="3"/>
  <c r="U19" i="3"/>
  <c r="Q19" i="3"/>
  <c r="J19" i="3"/>
  <c r="AC19" i="3"/>
  <c r="X19" i="3"/>
  <c r="T19" i="3"/>
  <c r="P19" i="3"/>
  <c r="AB19" i="3"/>
  <c r="S19" i="3"/>
  <c r="W19" i="3"/>
  <c r="AA35" i="3"/>
  <c r="V35" i="3"/>
  <c r="R35" i="3"/>
  <c r="AC35" i="3"/>
  <c r="X35" i="3"/>
  <c r="T35" i="3"/>
  <c r="P35" i="3"/>
  <c r="AB35" i="3"/>
  <c r="W35" i="3"/>
  <c r="AD35" i="3"/>
  <c r="Z35" i="3"/>
  <c r="U35" i="3"/>
  <c r="Q35" i="3"/>
  <c r="J35" i="3"/>
  <c r="S35" i="3"/>
  <c r="AC28" i="3"/>
  <c r="X28" i="3"/>
  <c r="T28" i="3"/>
  <c r="P28" i="3"/>
  <c r="AA28" i="3"/>
  <c r="V28" i="3"/>
  <c r="R28" i="3"/>
  <c r="Z28" i="3"/>
  <c r="Q28" i="3"/>
  <c r="AB28" i="3"/>
  <c r="W28" i="3"/>
  <c r="S28" i="3"/>
  <c r="AD28" i="3"/>
  <c r="U28" i="3"/>
  <c r="J28" i="3"/>
  <c r="AA17" i="3"/>
  <c r="V17" i="3"/>
  <c r="R17" i="3"/>
  <c r="AD17" i="3"/>
  <c r="U17" i="3"/>
  <c r="J17" i="3"/>
  <c r="AC17" i="3"/>
  <c r="X17" i="3"/>
  <c r="T17" i="3"/>
  <c r="P17" i="3"/>
  <c r="M17" i="3" s="1"/>
  <c r="N17" i="3" s="1"/>
  <c r="W17" i="3"/>
  <c r="Z17" i="3"/>
  <c r="Q17" i="3"/>
  <c r="AB17" i="3"/>
  <c r="S17" i="3"/>
  <c r="AA33" i="3"/>
  <c r="V33" i="3"/>
  <c r="R33" i="3"/>
  <c r="AC33" i="3"/>
  <c r="X33" i="3"/>
  <c r="T33" i="3"/>
  <c r="P33" i="3"/>
  <c r="AB33" i="3"/>
  <c r="W33" i="3"/>
  <c r="AD33" i="3"/>
  <c r="Z33" i="3"/>
  <c r="U33" i="3"/>
  <c r="Q33" i="3"/>
  <c r="J33" i="3"/>
  <c r="S33" i="3"/>
  <c r="AC22" i="3"/>
  <c r="X22" i="3"/>
  <c r="T22" i="3"/>
  <c r="P22" i="3"/>
  <c r="AB22" i="3"/>
  <c r="AA22" i="3"/>
  <c r="V22" i="3"/>
  <c r="R22" i="3"/>
  <c r="Z22" i="3"/>
  <c r="U22" i="3"/>
  <c r="J22" i="3"/>
  <c r="W22" i="3"/>
  <c r="S22" i="3"/>
  <c r="AD22" i="3"/>
  <c r="Q22" i="3"/>
  <c r="AC24" i="3"/>
  <c r="X24" i="3"/>
  <c r="T24" i="3"/>
  <c r="P24" i="3"/>
  <c r="AA24" i="3"/>
  <c r="V24" i="3"/>
  <c r="R24" i="3"/>
  <c r="AD24" i="3"/>
  <c r="U24" i="3"/>
  <c r="J24" i="3"/>
  <c r="AB24" i="3"/>
  <c r="W24" i="3"/>
  <c r="S24" i="3"/>
  <c r="Z24" i="3"/>
  <c r="Q24" i="3"/>
  <c r="AC18" i="3"/>
  <c r="X18" i="3"/>
  <c r="T18" i="3"/>
  <c r="P18" i="3"/>
  <c r="W18" i="3"/>
  <c r="S18" i="3"/>
  <c r="AA18" i="3"/>
  <c r="V18" i="3"/>
  <c r="R18" i="3"/>
  <c r="AD18" i="3"/>
  <c r="U18" i="3"/>
  <c r="J18" i="3"/>
  <c r="AB18" i="3"/>
  <c r="Z18" i="3"/>
  <c r="Q18" i="3"/>
  <c r="AA11" i="3"/>
  <c r="V11" i="3"/>
  <c r="R11" i="3"/>
  <c r="AD11" i="3"/>
  <c r="U11" i="3"/>
  <c r="J11" i="3"/>
  <c r="AC11" i="3"/>
  <c r="X11" i="3"/>
  <c r="T11" i="3"/>
  <c r="P11" i="3"/>
  <c r="AB11" i="3"/>
  <c r="S11" i="3"/>
  <c r="Z11" i="3"/>
  <c r="Q11" i="3"/>
  <c r="W11" i="3"/>
  <c r="AA27" i="3"/>
  <c r="V27" i="3"/>
  <c r="R27" i="3"/>
  <c r="AC27" i="3"/>
  <c r="X27" i="3"/>
  <c r="T27" i="3"/>
  <c r="P27" i="3"/>
  <c r="AB27" i="3"/>
  <c r="W27" i="3"/>
  <c r="AD27" i="3"/>
  <c r="Z27" i="3"/>
  <c r="U27" i="3"/>
  <c r="Q27" i="3"/>
  <c r="J27" i="3"/>
  <c r="S27" i="3"/>
  <c r="AC12" i="3"/>
  <c r="X12" i="3"/>
  <c r="T12" i="3"/>
  <c r="P12" i="3"/>
  <c r="AB12" i="3"/>
  <c r="S12" i="3"/>
  <c r="AA12" i="3"/>
  <c r="V12" i="3"/>
  <c r="R12" i="3"/>
  <c r="Z12" i="3"/>
  <c r="Q12" i="3"/>
  <c r="W12" i="3"/>
  <c r="AD12" i="3"/>
  <c r="U12" i="3"/>
  <c r="J12" i="3"/>
  <c r="AA9" i="3"/>
  <c r="V9" i="3"/>
  <c r="R9" i="3"/>
  <c r="Z9" i="3"/>
  <c r="Q9" i="3"/>
  <c r="J9" i="3"/>
  <c r="AC9" i="3"/>
  <c r="X9" i="3"/>
  <c r="T9" i="3"/>
  <c r="P9" i="3"/>
  <c r="M9" i="3" s="1"/>
  <c r="N9" i="3" s="1"/>
  <c r="W9" i="3"/>
  <c r="AD9" i="3"/>
  <c r="U9" i="3"/>
  <c r="AB9" i="3"/>
  <c r="S9" i="3"/>
  <c r="AA25" i="3"/>
  <c r="V25" i="3"/>
  <c r="R25" i="3"/>
  <c r="AC25" i="3"/>
  <c r="X25" i="3"/>
  <c r="T25" i="3"/>
  <c r="P25" i="3"/>
  <c r="AB25" i="3"/>
  <c r="S25" i="3"/>
  <c r="AD25" i="3"/>
  <c r="Z25" i="3"/>
  <c r="U25" i="3"/>
  <c r="Q25" i="3"/>
  <c r="J25" i="3"/>
  <c r="W25" i="3"/>
  <c r="AA41" i="3"/>
  <c r="V41" i="3"/>
  <c r="R41" i="3"/>
  <c r="AC41" i="3"/>
  <c r="X41" i="3"/>
  <c r="T41" i="3"/>
  <c r="P41" i="3"/>
  <c r="M41" i="3" s="1"/>
  <c r="N41" i="3" s="1"/>
  <c r="AB41" i="3"/>
  <c r="W41" i="3"/>
  <c r="S41" i="3"/>
  <c r="AD41" i="3"/>
  <c r="Z41" i="3"/>
  <c r="U41" i="3"/>
  <c r="Q41" i="3"/>
  <c r="J41" i="3"/>
  <c r="M40" i="3" l="1"/>
  <c r="N40" i="3" s="1"/>
  <c r="J42" i="3"/>
  <c r="T42" i="3"/>
  <c r="M29" i="3"/>
  <c r="N29" i="3" s="1"/>
  <c r="M14" i="3"/>
  <c r="N14" i="3" s="1"/>
  <c r="M35" i="3"/>
  <c r="N35" i="3" s="1"/>
  <c r="V42" i="3"/>
  <c r="M18" i="3"/>
  <c r="N18" i="3" s="1"/>
  <c r="M34" i="3"/>
  <c r="N34" i="3" s="1"/>
  <c r="U42" i="3"/>
  <c r="Q42" i="3"/>
  <c r="AA42" i="3"/>
  <c r="X42" i="3"/>
  <c r="M30" i="3"/>
  <c r="N30" i="3" s="1"/>
  <c r="M37" i="3"/>
  <c r="N37" i="3" s="1"/>
  <c r="M23" i="3"/>
  <c r="N23" i="3" s="1"/>
  <c r="M16" i="3"/>
  <c r="N16" i="3" s="1"/>
  <c r="M25" i="3"/>
  <c r="N25" i="3" s="1"/>
  <c r="M22" i="3"/>
  <c r="N22" i="3" s="1"/>
  <c r="M33" i="3"/>
  <c r="N33" i="3" s="1"/>
  <c r="S42" i="3"/>
  <c r="R42" i="3"/>
  <c r="M8" i="3"/>
  <c r="P42" i="3"/>
  <c r="M26" i="3"/>
  <c r="N26" i="3" s="1"/>
  <c r="M21" i="3"/>
  <c r="N21" i="3" s="1"/>
  <c r="M38" i="3"/>
  <c r="N38" i="3" s="1"/>
  <c r="M12" i="3"/>
  <c r="N12" i="3" s="1"/>
  <c r="M27" i="3"/>
  <c r="N27" i="3" s="1"/>
  <c r="M11" i="3"/>
  <c r="N11" i="3" s="1"/>
  <c r="M24" i="3"/>
  <c r="N24" i="3" s="1"/>
  <c r="M28" i="3"/>
  <c r="N28" i="3" s="1"/>
  <c r="AB42" i="3"/>
  <c r="M19" i="3"/>
  <c r="N19" i="3" s="1"/>
  <c r="AD42" i="3"/>
  <c r="Z42" i="3"/>
  <c r="W42" i="3"/>
  <c r="AC42" i="3"/>
  <c r="M20" i="3"/>
  <c r="N20" i="3" s="1"/>
  <c r="M31" i="3"/>
  <c r="N31" i="3" s="1"/>
  <c r="M15" i="3"/>
  <c r="N15" i="3" s="1"/>
  <c r="M32" i="3"/>
  <c r="N32" i="3" s="1"/>
  <c r="M36" i="3"/>
  <c r="N36" i="3" s="1"/>
  <c r="M39" i="3"/>
  <c r="N39" i="3" s="1"/>
  <c r="M10" i="3"/>
  <c r="N10" i="3" s="1"/>
  <c r="M13" i="3"/>
  <c r="N13" i="3" s="1"/>
  <c r="N8" i="3" l="1"/>
  <c r="M42" i="3"/>
  <c r="N42" i="3" s="1"/>
  <c r="D75" i="1" l="1" a="1"/>
  <c r="D84" i="1" s="1" a="1"/>
  <c r="E88" i="1" s="1"/>
  <c r="D57" i="1" a="1"/>
  <c r="D57" i="1" s="1"/>
  <c r="D47" i="1" a="1"/>
  <c r="D50" i="1" a="1"/>
  <c r="D50" i="1" s="1"/>
  <c r="E89" i="1" l="1"/>
  <c r="H89" i="1"/>
  <c r="H88" i="1"/>
  <c r="J88" i="1" s="1"/>
  <c r="D58" i="1"/>
  <c r="E58" i="1"/>
  <c r="E57" i="1"/>
  <c r="D52" i="1"/>
  <c r="F50" i="1"/>
  <c r="D51" i="1"/>
  <c r="F51" i="1"/>
  <c r="E50" i="1"/>
  <c r="E52" i="1"/>
  <c r="F52" i="1"/>
  <c r="E51" i="1"/>
  <c r="D60" i="1" l="1" a="1"/>
  <c r="D54" i="1" a="1"/>
  <c r="J89" i="1"/>
  <c r="D39" i="1" a="1"/>
  <c r="F41" i="1" s="1"/>
  <c r="D36" i="1" a="1"/>
  <c r="D36" i="1" s="1"/>
  <c r="D29" i="1" a="1"/>
  <c r="D29" i="1" s="1"/>
  <c r="D26" i="1" a="1"/>
  <c r="E26" i="1" s="1"/>
  <c r="D20" i="1" a="1"/>
  <c r="D20" i="1" s="1"/>
  <c r="D14" i="1" a="1"/>
  <c r="E14" i="1" s="1"/>
  <c r="D8" i="1" a="1"/>
  <c r="D8" i="1" s="1"/>
  <c r="F60" i="1" l="1"/>
  <c r="D60" i="1"/>
  <c r="F61" i="1"/>
  <c r="D61" i="1"/>
  <c r="E60" i="1"/>
  <c r="E61" i="1"/>
  <c r="D54" i="1"/>
  <c r="D55" i="1"/>
  <c r="E55" i="1"/>
  <c r="F54" i="1"/>
  <c r="F55" i="1"/>
  <c r="E54" i="1"/>
  <c r="E40" i="1"/>
  <c r="D39" i="1"/>
  <c r="E41" i="1"/>
  <c r="D40" i="1"/>
  <c r="D41" i="1"/>
  <c r="F39" i="1"/>
  <c r="F40" i="1"/>
  <c r="E39" i="1"/>
  <c r="E37" i="1"/>
  <c r="D37" i="1"/>
  <c r="F36" i="1"/>
  <c r="F37" i="1"/>
  <c r="E36" i="1"/>
  <c r="D30" i="1"/>
  <c r="F29" i="1"/>
  <c r="F30" i="1"/>
  <c r="E29" i="1"/>
  <c r="E30" i="1"/>
  <c r="E27" i="1"/>
  <c r="D26" i="1"/>
  <c r="D27" i="1"/>
  <c r="F26" i="1"/>
  <c r="F27" i="1"/>
  <c r="D21" i="1"/>
  <c r="F20" i="1"/>
  <c r="F21" i="1"/>
  <c r="E20" i="1"/>
  <c r="E21" i="1"/>
  <c r="F14" i="1"/>
  <c r="E15" i="1"/>
  <c r="D14" i="1"/>
  <c r="D15" i="1"/>
  <c r="F15" i="1"/>
  <c r="E9" i="1"/>
  <c r="D9" i="1"/>
  <c r="F8" i="1"/>
  <c r="F9" i="1"/>
  <c r="E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<sst xmlns="http://schemas.openxmlformats.org/spreadsheetml/2006/main" count="1789" uniqueCount="360">
  <si>
    <t xml:space="preserve">M = </t>
  </si>
  <si>
    <t xml:space="preserve">N = </t>
  </si>
  <si>
    <t>N</t>
  </si>
  <si>
    <t>Matrices</t>
  </si>
  <si>
    <t>O =</t>
  </si>
  <si>
    <t>M + N =</t>
  </si>
  <si>
    <t>M + O =</t>
  </si>
  <si>
    <t>M - N =</t>
  </si>
  <si>
    <t>M * 2 =</t>
  </si>
  <si>
    <t xml:space="preserve">Q = </t>
  </si>
  <si>
    <t>M * Q =</t>
  </si>
  <si>
    <t>Q * M =</t>
  </si>
  <si>
    <t>I =</t>
  </si>
  <si>
    <t>TM =</t>
  </si>
  <si>
    <t>M * TM =</t>
  </si>
  <si>
    <t xml:space="preserve">M * I = </t>
  </si>
  <si>
    <t xml:space="preserve">IP = </t>
  </si>
  <si>
    <t xml:space="preserve">IP * M = </t>
  </si>
  <si>
    <t>A</t>
  </si>
  <si>
    <t>2x1 + x2 = 10</t>
  </si>
  <si>
    <t>5x1 + 3x2 = 26</t>
  </si>
  <si>
    <t>b</t>
  </si>
  <si>
    <t xml:space="preserve">A^-1 = </t>
  </si>
  <si>
    <t>x = A^-1 * b =</t>
  </si>
  <si>
    <t>Test</t>
  </si>
  <si>
    <t>=</t>
  </si>
  <si>
    <t>x1</t>
  </si>
  <si>
    <t>x2</t>
  </si>
  <si>
    <t>+</t>
  </si>
  <si>
    <t>ISUM2</t>
  </si>
  <si>
    <t>ISUM</t>
  </si>
  <si>
    <t>M * ISUM =</t>
  </si>
  <si>
    <t>ISUM2 * M =</t>
  </si>
  <si>
    <t>ZETA =</t>
  </si>
  <si>
    <t xml:space="preserve">M + ZETA = </t>
  </si>
  <si>
    <t>Agriculture</t>
  </si>
  <si>
    <t>Manufacturing</t>
  </si>
  <si>
    <t>Final demand</t>
  </si>
  <si>
    <t>Total Output</t>
  </si>
  <si>
    <t>Total Output (x)</t>
  </si>
  <si>
    <t>Value Added</t>
  </si>
  <si>
    <t>Total outlays</t>
  </si>
  <si>
    <t>Payments</t>
  </si>
  <si>
    <t>xhat</t>
  </si>
  <si>
    <t>xhat ^-1</t>
  </si>
  <si>
    <t>A = Z * xhat ^-1 =</t>
  </si>
  <si>
    <t>Identity matrix</t>
  </si>
  <si>
    <t>Leontief = L =</t>
  </si>
  <si>
    <t>Model Calibration</t>
  </si>
  <si>
    <t>The World Bank</t>
  </si>
  <si>
    <t>Kyrgyz Republic</t>
  </si>
  <si>
    <t>Rapid Environmentally Extended Input-Output Analysis Tool</t>
  </si>
  <si>
    <t>(current prices, $ million)</t>
  </si>
  <si>
    <t>Initial setup</t>
  </si>
  <si>
    <t>Output</t>
  </si>
  <si>
    <t>Employment</t>
  </si>
  <si>
    <t>Modeled regional employment</t>
  </si>
  <si>
    <t>Modeled Environmental Factors</t>
  </si>
  <si>
    <t>Total Initial Final Demand</t>
  </si>
  <si>
    <t>Changes in final demand per sector</t>
  </si>
  <si>
    <t>New final demand</t>
  </si>
  <si>
    <t>Initial Output</t>
  </si>
  <si>
    <t>New Output</t>
  </si>
  <si>
    <t>Changes in Output</t>
  </si>
  <si>
    <t>Initial Employment</t>
  </si>
  <si>
    <t>Total Modeled employment</t>
  </si>
  <si>
    <t>Changes in Employment</t>
  </si>
  <si>
    <t>Batken oblast</t>
  </si>
  <si>
    <t>Djalal-Abad</t>
  </si>
  <si>
    <t>Issyk-Kul</t>
  </si>
  <si>
    <t>Naryn oblast</t>
  </si>
  <si>
    <t>Osh oblast</t>
  </si>
  <si>
    <t>Talas oblast</t>
  </si>
  <si>
    <t>Chui oblast</t>
  </si>
  <si>
    <t>Bishkek city</t>
  </si>
  <si>
    <t>Osh city</t>
  </si>
  <si>
    <t>Energy Usage (TJ)</t>
  </si>
  <si>
    <t>Total CO2 emissions (Gg)</t>
  </si>
  <si>
    <t>WFN: Total water footprint (Mm3/yr) - Blue</t>
  </si>
  <si>
    <t>WFN: Total water footprint (Mm3/yr) - Green</t>
  </si>
  <si>
    <t>WFN: Total water footprint (Mm3/yr) - Grey</t>
  </si>
  <si>
    <t>Agriculture, hunting, forestry, and fishing</t>
  </si>
  <si>
    <t>c1</t>
  </si>
  <si>
    <t>Mining and quarrying</t>
  </si>
  <si>
    <t>c2</t>
  </si>
  <si>
    <t>Food, beverages, and tobacco</t>
  </si>
  <si>
    <t>c3</t>
  </si>
  <si>
    <t>Textiles and textile products</t>
  </si>
  <si>
    <t>c4</t>
  </si>
  <si>
    <t>Leather, leather products, and footwear</t>
  </si>
  <si>
    <t>c5</t>
  </si>
  <si>
    <t>Wood and products of wood and cork</t>
  </si>
  <si>
    <t>c6</t>
  </si>
  <si>
    <t>Pulp, paper, paper products, printing, and publishing</t>
  </si>
  <si>
    <t>c7</t>
  </si>
  <si>
    <t>Coke, refined petroleum, and nuclear fuel</t>
  </si>
  <si>
    <t>c8</t>
  </si>
  <si>
    <t>Chemicals and chemical products</t>
  </si>
  <si>
    <t>c9</t>
  </si>
  <si>
    <t>Rubber and plastics</t>
  </si>
  <si>
    <t>c10</t>
  </si>
  <si>
    <t>Other nonmetallic minerals</t>
  </si>
  <si>
    <t>c11</t>
  </si>
  <si>
    <t>Basic metals and fabricated metal</t>
  </si>
  <si>
    <t>c12</t>
  </si>
  <si>
    <t>Machinery, nec</t>
  </si>
  <si>
    <t>c13</t>
  </si>
  <si>
    <t>Electrical and optical equipment</t>
  </si>
  <si>
    <t>c14</t>
  </si>
  <si>
    <t>Transport equipment</t>
  </si>
  <si>
    <t>c15</t>
  </si>
  <si>
    <t>Manufacturing, nec; recycling</t>
  </si>
  <si>
    <t>c16</t>
  </si>
  <si>
    <t>Electricity, gas, and water supply</t>
  </si>
  <si>
    <t>c17</t>
  </si>
  <si>
    <t>Construction</t>
  </si>
  <si>
    <t>c18</t>
  </si>
  <si>
    <t>Sale, maintenance, and repair of motor vehicles and motorcycles; retail sale of fuel</t>
  </si>
  <si>
    <t>c19</t>
  </si>
  <si>
    <t>Wholesale trade and commission trade, except of motor vehicles and motorcycles</t>
  </si>
  <si>
    <t>c20</t>
  </si>
  <si>
    <t>Retail trade, except of motor vehicles and motorcycles; repair of household goods</t>
  </si>
  <si>
    <t>c21</t>
  </si>
  <si>
    <t>Hotels and restaurants</t>
  </si>
  <si>
    <t>c22</t>
  </si>
  <si>
    <t>Inland transport</t>
  </si>
  <si>
    <t>c23</t>
  </si>
  <si>
    <t>Water transport</t>
  </si>
  <si>
    <t>c24</t>
  </si>
  <si>
    <t>Air transport</t>
  </si>
  <si>
    <t>c25</t>
  </si>
  <si>
    <t>Other supporting and auxiliary transport activities; activities of travel agencies</t>
  </si>
  <si>
    <t>c26</t>
  </si>
  <si>
    <t>Post and telecommunications</t>
  </si>
  <si>
    <t>c27</t>
  </si>
  <si>
    <t>Financial intermediation</t>
  </si>
  <si>
    <t>c28</t>
  </si>
  <si>
    <t>Real estate activities</t>
  </si>
  <si>
    <t>c29</t>
  </si>
  <si>
    <t>Renting of M&amp;Eq and other business activities</t>
  </si>
  <si>
    <t>c30</t>
  </si>
  <si>
    <t>Public administration and defense; compulsory social security</t>
  </si>
  <si>
    <t>c31</t>
  </si>
  <si>
    <t>Education</t>
  </si>
  <si>
    <t>c32</t>
  </si>
  <si>
    <t>Health and social work</t>
  </si>
  <si>
    <t>c33</t>
  </si>
  <si>
    <t>Other community, social, and personal services</t>
  </si>
  <si>
    <t>c34</t>
  </si>
  <si>
    <t>Total</t>
  </si>
  <si>
    <t>Input-Output Table for 2017</t>
  </si>
  <si>
    <t>Kyrgyz Republic Input-Output Table, 2017</t>
  </si>
  <si>
    <t>in current prices</t>
  </si>
  <si>
    <t>Regional disaggregation of value added</t>
  </si>
  <si>
    <t>Employment/Output Coefficients</t>
  </si>
  <si>
    <t>Environmental Factors</t>
  </si>
  <si>
    <t>Environmental Factors by unit of output</t>
  </si>
  <si>
    <t>(industry-by-industry)</t>
  </si>
  <si>
    <t>AtB</t>
  </si>
  <si>
    <t>C</t>
  </si>
  <si>
    <t>15t16</t>
  </si>
  <si>
    <t>17t18</t>
  </si>
  <si>
    <t>21t22</t>
  </si>
  <si>
    <t>27t28</t>
  </si>
  <si>
    <t>30t33</t>
  </si>
  <si>
    <t>34t35</t>
  </si>
  <si>
    <t>36t37</t>
  </si>
  <si>
    <t>E</t>
  </si>
  <si>
    <t>F</t>
  </si>
  <si>
    <t>H</t>
  </si>
  <si>
    <t>J</t>
  </si>
  <si>
    <t>71t74</t>
  </si>
  <si>
    <t>L</t>
  </si>
  <si>
    <t>M</t>
  </si>
  <si>
    <t>O</t>
  </si>
  <si>
    <t>(millions of US$)</t>
  </si>
  <si>
    <t>Industry</t>
  </si>
  <si>
    <t>Agriculture, Hunting, Forestry, and Fishing</t>
  </si>
  <si>
    <t>Mining and Quarrying</t>
  </si>
  <si>
    <t>Food, Beverages, and Tobacco</t>
  </si>
  <si>
    <t>Textiles and Textile Products</t>
  </si>
  <si>
    <t>Leather, Leather Products, and Footwear</t>
  </si>
  <si>
    <t>Wood and Products of Wood and Cork</t>
  </si>
  <si>
    <t>Pulp, Paper, Paper Products, Printing, and Publishing</t>
  </si>
  <si>
    <t>Coke, Refined Petroleum, and Nuclear Fuel</t>
  </si>
  <si>
    <t>Chemicals and Chemical Products</t>
  </si>
  <si>
    <t>Rubber and Plastics</t>
  </si>
  <si>
    <t>Other Nonmetallic Minerals</t>
  </si>
  <si>
    <t>Basic Metals and Fabricated Metal</t>
  </si>
  <si>
    <t>Electrical and Optical Equipment</t>
  </si>
  <si>
    <t>Transport Equipment</t>
  </si>
  <si>
    <t>Manufacturing, nec; Recycling</t>
  </si>
  <si>
    <t>Electricity, Gas, and Water Supply</t>
  </si>
  <si>
    <t>Sale, Maintenance, and Repair of Motor Vehicles and Motorcycles; Retail Sale of Fuel</t>
  </si>
  <si>
    <t>Wholesale Trade and Commission Trade, Except of Motor Vehicles and Motorcycles</t>
  </si>
  <si>
    <t>Retail Trade, Except of Motor Vehicles and Motorcycles; Repair of Household Goods</t>
  </si>
  <si>
    <t>Hotels and Restaurants</t>
  </si>
  <si>
    <t>Inland Transport</t>
  </si>
  <si>
    <t>Water Transport</t>
  </si>
  <si>
    <t>Air Transport</t>
  </si>
  <si>
    <t>Other Supporting and Auxiliary Transport Activities; Activities of Travel Agencies</t>
  </si>
  <si>
    <t>Post and Telecommunications</t>
  </si>
  <si>
    <t>Financial Intermediation</t>
  </si>
  <si>
    <t>Real Estate Activities</t>
  </si>
  <si>
    <t>Renting of M&amp;Eq and Other Business Activities</t>
  </si>
  <si>
    <t>Public Administration and Defense; Compulsory Social Security</t>
  </si>
  <si>
    <t>Health and Social Work</t>
  </si>
  <si>
    <t>Other Community, Social, and Personal Services</t>
  </si>
  <si>
    <t>Final Consumption Expenditure by Households</t>
  </si>
  <si>
    <t>Final Consumption Expenditure by NPISHs</t>
  </si>
  <si>
    <t>Final Consumption Expenditure by Government</t>
  </si>
  <si>
    <t>Gross Fixed Capital Formation</t>
  </si>
  <si>
    <t>Changes in Inventories and Valuables</t>
  </si>
  <si>
    <t>Exports</t>
  </si>
  <si>
    <t>Total Final Demand</t>
  </si>
  <si>
    <t>Modeled Output (test)</t>
  </si>
  <si>
    <t>Calibration</t>
  </si>
  <si>
    <t>Value Added Coefficient</t>
  </si>
  <si>
    <t>Total CO2 emissions (Gg) from EDGAR</t>
  </si>
  <si>
    <t>c36</t>
  </si>
  <si>
    <t>c37</t>
  </si>
  <si>
    <t>c38</t>
  </si>
  <si>
    <t>c39</t>
  </si>
  <si>
    <t>c40</t>
  </si>
  <si>
    <t>c41</t>
  </si>
  <si>
    <t>Domestic</t>
  </si>
  <si>
    <t>Textile products</t>
  </si>
  <si>
    <t>Leather products &amp; footwear</t>
  </si>
  <si>
    <t>Wood products</t>
  </si>
  <si>
    <t>Paper products</t>
  </si>
  <si>
    <t>Chemical products</t>
  </si>
  <si>
    <t>Sale of motor vehicles and fuel</t>
  </si>
  <si>
    <t>Wholesale trade</t>
  </si>
  <si>
    <t>Retail trade</t>
  </si>
  <si>
    <t>Travel agencies</t>
  </si>
  <si>
    <t>Other business activities</t>
  </si>
  <si>
    <t>Public administration and defense</t>
  </si>
  <si>
    <t>Other services</t>
  </si>
  <si>
    <t>Imports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</si>
  <si>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</si>
  <si>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</si>
  <si>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</si>
  <si>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</si>
  <si>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</si>
  <si>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</si>
  <si>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</si>
  <si>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</si>
  <si>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</si>
  <si>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</si>
  <si>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</si>
  <si>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</si>
  <si>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</si>
  <si>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</si>
  <si>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</si>
  <si>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</si>
  <si>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</si>
  <si>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</si>
  <si>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</si>
  <si>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</si>
  <si>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</si>
  <si>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</si>
  <si>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</si>
  <si>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</si>
  <si>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</si>
  <si>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</si>
  <si>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</si>
  <si>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</si>
  <si>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</si>
  <si>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</si>
  <si>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</si>
  <si>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</si>
  <si>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</si>
  <si>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</si>
  <si>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Total intermediate consumption</t>
  </si>
  <si>
    <t>r60</t>
  </si>
  <si>
    <t>Taxes less subsidies on products</t>
  </si>
  <si>
    <t>r99</t>
  </si>
  <si>
    <t>Cif/ fob adjustments on exports</t>
  </si>
  <si>
    <t>r61</t>
  </si>
  <si>
    <t>Direct purchases abroad by residents</t>
  </si>
  <si>
    <t>r62</t>
  </si>
  <si>
    <t xml:space="preserve">Purchases on the domestic territory by nonresidents </t>
  </si>
  <si>
    <t>r63</t>
  </si>
  <si>
    <t>Value added at basic prices</t>
  </si>
  <si>
    <t>r64</t>
  </si>
  <si>
    <t>International transport margins</t>
  </si>
  <si>
    <t>Output at basic prices</t>
  </si>
  <si>
    <t>r69</t>
  </si>
  <si>
    <t>$ = United States dollar; cif = cost, insurance, and freight; fob = free on board; M&amp;Eq = machinery and equipment; nec = not elsewhere classified; NPISHs = nonprofit institutions serving households.</t>
  </si>
  <si>
    <t>Source: Asian Development Bank Multiregional Input–Output Database</t>
  </si>
  <si>
    <t>Social vectors</t>
  </si>
  <si>
    <t>GDP Computation</t>
  </si>
  <si>
    <t>Production approach</t>
  </si>
  <si>
    <t>Expenditure approach</t>
  </si>
  <si>
    <t>Total output at basic prices</t>
  </si>
  <si>
    <t>Household final consumption expenditure</t>
  </si>
  <si>
    <t>- Intermediate consumption</t>
  </si>
  <si>
    <t>+ NPISH final consumption expenditure</t>
  </si>
  <si>
    <t>= Value added at basic prices</t>
  </si>
  <si>
    <t>+ Government consumption expenditure</t>
  </si>
  <si>
    <t>+ Taxes less subsidies on products</t>
  </si>
  <si>
    <t>+ Gross fixed capital formation</t>
  </si>
  <si>
    <t>+ Changes in inventories</t>
  </si>
  <si>
    <t>+ Acquisitions less disposals of valuables</t>
  </si>
  <si>
    <t>+ Exports of goods and services</t>
  </si>
  <si>
    <t>- Imports of goods and services</t>
  </si>
  <si>
    <t>- Direct purchases abroad by residents</t>
  </si>
  <si>
    <t>= Gross domestic product</t>
  </si>
  <si>
    <t>Total employment</t>
  </si>
  <si>
    <t>Environmental Vectors</t>
  </si>
  <si>
    <t>Vector output coefficients</t>
  </si>
  <si>
    <t>Input-Output Calculations</t>
  </si>
  <si>
    <t>Technical coefficients matrix (A matrix)</t>
  </si>
  <si>
    <t>Identity matrix (I Matrix)</t>
  </si>
  <si>
    <t>(I - A Matrix)</t>
  </si>
  <si>
    <t>Leontief Inverse ( I - A ) ^ ( -1 )</t>
  </si>
  <si>
    <t>Multipliers</t>
  </si>
  <si>
    <t>Input-output multipliers</t>
  </si>
  <si>
    <t>MultEnergy</t>
  </si>
  <si>
    <t>MultCO2</t>
  </si>
  <si>
    <t>MultWFBL</t>
  </si>
  <si>
    <t>MultWFGR</t>
  </si>
  <si>
    <t>MultWFGY</t>
  </si>
  <si>
    <t>MultEmp</t>
  </si>
  <si>
    <t>FOR REFERENCE</t>
  </si>
  <si>
    <t>x hat</t>
  </si>
  <si>
    <t>Z xhat ^ -1</t>
  </si>
  <si>
    <t>New Demand</t>
  </si>
  <si>
    <t>L * Fnew = Xnew</t>
  </si>
  <si>
    <t>Xnew diag</t>
  </si>
  <si>
    <t>A * xnew diag =</t>
  </si>
  <si>
    <t>New table</t>
  </si>
  <si>
    <t>Adición</t>
  </si>
  <si>
    <t>Adición no posible</t>
  </si>
  <si>
    <t>Resta</t>
  </si>
  <si>
    <t>Matriz nula</t>
  </si>
  <si>
    <t>Multiplicación por un escalar</t>
  </si>
  <si>
    <t>Multiplicación de matrices</t>
  </si>
  <si>
    <t>Multiplicación no posible</t>
  </si>
  <si>
    <t>Matriz identidad incorrecta</t>
  </si>
  <si>
    <t>Matriz identidad para posmultiplicación</t>
  </si>
  <si>
    <t>Matriz identidad para premultiplicación</t>
  </si>
  <si>
    <t>Sistemas de ecuaciones</t>
  </si>
  <si>
    <t>Vectores sumatorios</t>
  </si>
  <si>
    <t>Suma de columnas</t>
  </si>
  <si>
    <t>Suma de filas</t>
  </si>
  <si>
    <t>Igualdad</t>
  </si>
  <si>
    <t>M = N</t>
  </si>
  <si>
    <t xml:space="preserve">C = </t>
  </si>
  <si>
    <t xml:space="preserve">C^-1 = </t>
  </si>
  <si>
    <t>g'=</t>
  </si>
  <si>
    <t>g'hat =</t>
  </si>
  <si>
    <t>g'hat^-1=</t>
  </si>
  <si>
    <t>Diagonal invertida</t>
  </si>
  <si>
    <t>Vector horizontal</t>
  </si>
  <si>
    <t>Matriz de vector horizontal diagonal</t>
  </si>
  <si>
    <t>g'hat^-1 * g'hat=</t>
  </si>
  <si>
    <t>Matrices recíprocas</t>
  </si>
  <si>
    <t>suma columnas</t>
  </si>
  <si>
    <t>suma filas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</si>
</sst>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000"/>
    <numFmt numFmtId="165" formatCode="0.0000"/>
    <numFmt numFmtId="166" formatCode="0.0_)"/>
    <numFmt numFmtId="167" formatCode="0.0"/>
    <numFmt numFmtId="168" formatCode="0.0000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 tint="0.249977111117893"/>
      <name val="Arial"/>
      <family val="2"/>
    </font>
    <font>
      <sz val="12"/>
      <name val="Courier"/>
      <family val="3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A5C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8DA2B"/>
        <bgColor indexed="64"/>
      </patternFill>
    </fill>
    <fill>
      <patternFill patternType="solid">
        <fgColor rgb="FF8DC63F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A5C9"/>
      </top>
      <bottom style="thin">
        <color rgb="FF00A5C9"/>
      </bottom>
      <diagonal/>
    </border>
    <border>
      <left/>
      <right/>
      <top/>
      <bottom style="thin">
        <color rgb="FF00A5C9"/>
      </bottom>
      <diagonal/>
    </border>
    <border>
      <left/>
      <right/>
      <top/>
      <bottom style="thin">
        <color indexed="64"/>
      </bottom>
      <diagonal/>
    </border>
    <border>
      <left style="thin">
        <color theme="7" tint="-0.24994659260841701"/>
      </left>
      <right/>
      <top style="thin">
        <color theme="7" tint="-0.24994659260841701"/>
      </top>
      <bottom style="thin">
        <color theme="7" tint="-0.24994659260841701"/>
      </bottom>
      <diagonal/>
    </border>
    <border>
      <left/>
      <right/>
      <top style="thin">
        <color theme="7" tint="-0.24994659260841701"/>
      </top>
      <bottom style="thin">
        <color theme="7" tint="-0.24994659260841701"/>
      </bottom>
      <diagonal/>
    </border>
    <border>
      <left style="thin">
        <color theme="7" tint="-0.24994659260841701"/>
      </left>
      <right/>
      <top/>
      <bottom/>
      <diagonal/>
    </border>
    <border>
      <left style="thin">
        <color theme="7" tint="-0.24994659260841701"/>
      </left>
      <right style="thin">
        <color theme="7" tint="-0.2499465926084170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7" tint="-0.24994659260841701"/>
      </left>
      <right style="thin">
        <color theme="7" tint="-0.2499465926084170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166" fontId="12" fillId="0" borderId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2" fontId="0" fillId="0" borderId="0" xfId="0" applyNumberFormat="1"/>
    <xf numFmtId="2" fontId="0" fillId="2" borderId="0" xfId="0" applyNumberFormat="1" applyFill="1"/>
    <xf numFmtId="0" fontId="3" fillId="0" borderId="0" xfId="0" applyFont="1"/>
    <xf numFmtId="0" fontId="2" fillId="0" borderId="0" xfId="0" applyFont="1"/>
    <xf numFmtId="1" fontId="4" fillId="5" borderId="0" xfId="0" applyNumberFormat="1" applyFont="1" applyFill="1" applyAlignment="1">
      <alignment wrapText="1"/>
    </xf>
    <xf numFmtId="1" fontId="5" fillId="0" borderId="0" xfId="0" applyNumberFormat="1" applyFont="1"/>
    <xf numFmtId="1" fontId="6" fillId="7" borderId="1" xfId="0" applyNumberFormat="1" applyFont="1" applyFill="1" applyBorder="1" applyAlignment="1">
      <alignment horizontal="left"/>
    </xf>
    <xf numFmtId="1" fontId="5" fillId="7" borderId="1" xfId="0" applyNumberFormat="1" applyFont="1" applyFill="1" applyBorder="1" applyAlignment="1">
      <alignment horizontal="right"/>
    </xf>
    <xf numFmtId="1" fontId="5" fillId="5" borderId="0" xfId="1" applyNumberFormat="1" applyFont="1" applyFill="1"/>
    <xf numFmtId="9" fontId="5" fillId="8" borderId="0" xfId="2" applyFont="1" applyFill="1"/>
    <xf numFmtId="10" fontId="5" fillId="5" borderId="0" xfId="2" applyNumberFormat="1" applyFont="1" applyFill="1"/>
    <xf numFmtId="3" fontId="5" fillId="5" borderId="0" xfId="2" applyNumberFormat="1" applyFont="1" applyFill="1"/>
    <xf numFmtId="1" fontId="6" fillId="7" borderId="0" xfId="0" applyNumberFormat="1" applyFont="1" applyFill="1" applyAlignment="1">
      <alignment horizontal="left"/>
    </xf>
    <xf numFmtId="3" fontId="5" fillId="5" borderId="0" xfId="1" applyNumberFormat="1" applyFont="1" applyFill="1"/>
    <xf numFmtId="1" fontId="7" fillId="0" borderId="0" xfId="0" applyNumberFormat="1" applyFont="1"/>
    <xf numFmtId="1" fontId="7" fillId="0" borderId="0" xfId="0" applyNumberFormat="1" applyFont="1" applyAlignment="1">
      <alignment horizontal="left" vertical="top"/>
    </xf>
    <xf numFmtId="1" fontId="4" fillId="0" borderId="0" xfId="0" applyNumberFormat="1" applyFont="1"/>
    <xf numFmtId="1" fontId="6" fillId="9" borderId="0" xfId="3" applyNumberFormat="1" applyFont="1" applyFill="1" applyAlignment="1">
      <alignment horizontal="right"/>
    </xf>
    <xf numFmtId="1" fontId="6" fillId="9" borderId="0" xfId="4" applyNumberFormat="1" applyFont="1" applyFill="1"/>
    <xf numFmtId="1" fontId="6" fillId="9" borderId="0" xfId="0" applyNumberFormat="1" applyFont="1" applyFill="1"/>
    <xf numFmtId="1" fontId="6" fillId="9" borderId="0" xfId="4" applyNumberFormat="1" applyFont="1" applyFill="1" applyAlignment="1">
      <alignment horizontal="right"/>
    </xf>
    <xf numFmtId="1" fontId="5" fillId="0" borderId="0" xfId="0" applyNumberFormat="1" applyFont="1" applyAlignment="1">
      <alignment horizontal="left"/>
    </xf>
    <xf numFmtId="1" fontId="6" fillId="10" borderId="0" xfId="0" applyNumberFormat="1" applyFont="1" applyFill="1" applyAlignment="1">
      <alignment horizontal="center" wrapText="1"/>
    </xf>
    <xf numFmtId="1" fontId="6" fillId="5" borderId="0" xfId="0" applyNumberFormat="1" applyFont="1" applyFill="1" applyAlignment="1">
      <alignment horizontal="center" wrapText="1"/>
    </xf>
    <xf numFmtId="1" fontId="6" fillId="5" borderId="0" xfId="0" applyNumberFormat="1" applyFont="1" applyFill="1"/>
    <xf numFmtId="1" fontId="5" fillId="11" borderId="0" xfId="0" applyNumberFormat="1" applyFont="1" applyFill="1" applyAlignment="1">
      <alignment horizontal="center" wrapText="1"/>
    </xf>
    <xf numFmtId="1" fontId="5" fillId="5" borderId="0" xfId="0" applyNumberFormat="1" applyFont="1" applyFill="1" applyAlignment="1">
      <alignment wrapText="1"/>
    </xf>
    <xf numFmtId="1" fontId="5" fillId="12" borderId="0" xfId="0" applyNumberFormat="1" applyFont="1" applyFill="1" applyAlignment="1">
      <alignment wrapText="1"/>
    </xf>
    <xf numFmtId="1" fontId="5" fillId="12" borderId="0" xfId="0" applyNumberFormat="1" applyFont="1" applyFill="1"/>
    <xf numFmtId="1" fontId="5" fillId="0" borderId="0" xfId="0" applyNumberFormat="1" applyFont="1" applyAlignment="1">
      <alignment wrapText="1"/>
    </xf>
    <xf numFmtId="1" fontId="9" fillId="10" borderId="0" xfId="0" applyNumberFormat="1" applyFont="1" applyFill="1" applyAlignment="1">
      <alignment horizontal="right"/>
    </xf>
    <xf numFmtId="1" fontId="9" fillId="5" borderId="0" xfId="0" applyNumberFormat="1" applyFont="1" applyFill="1" applyAlignment="1">
      <alignment horizontal="right"/>
    </xf>
    <xf numFmtId="1" fontId="6" fillId="11" borderId="0" xfId="0" applyNumberFormat="1" applyFont="1" applyFill="1" applyAlignment="1">
      <alignment horizontal="left"/>
    </xf>
    <xf numFmtId="1" fontId="5" fillId="5" borderId="0" xfId="0" applyNumberFormat="1" applyFont="1" applyFill="1"/>
    <xf numFmtId="1" fontId="10" fillId="0" borderId="1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right"/>
    </xf>
    <xf numFmtId="1" fontId="5" fillId="0" borderId="1" xfId="1" applyNumberFormat="1" applyFont="1" applyBorder="1"/>
    <xf numFmtId="1" fontId="9" fillId="0" borderId="1" xfId="1" applyNumberFormat="1" applyFont="1" applyBorder="1"/>
    <xf numFmtId="1" fontId="6" fillId="0" borderId="0" xfId="0" applyNumberFormat="1" applyFont="1" applyAlignment="1">
      <alignment horizontal="right"/>
    </xf>
    <xf numFmtId="1" fontId="6" fillId="10" borderId="1" xfId="0" applyNumberFormat="1" applyFont="1" applyFill="1" applyBorder="1" applyAlignment="1">
      <alignment horizontal="left"/>
    </xf>
    <xf numFmtId="1" fontId="5" fillId="10" borderId="1" xfId="0" applyNumberFormat="1" applyFont="1" applyFill="1" applyBorder="1" applyAlignment="1">
      <alignment horizontal="right"/>
    </xf>
    <xf numFmtId="1" fontId="5" fillId="10" borderId="2" xfId="1" applyNumberFormat="1" applyFont="1" applyFill="1" applyBorder="1"/>
    <xf numFmtId="1" fontId="5" fillId="5" borderId="2" xfId="1" applyNumberFormat="1" applyFont="1" applyFill="1" applyBorder="1"/>
    <xf numFmtId="1" fontId="9" fillId="11" borderId="2" xfId="1" applyNumberFormat="1" applyFont="1" applyFill="1" applyBorder="1"/>
    <xf numFmtId="164" fontId="5" fillId="12" borderId="0" xfId="0" applyNumberFormat="1" applyFont="1" applyFill="1"/>
    <xf numFmtId="165" fontId="5" fillId="0" borderId="0" xfId="0" applyNumberFormat="1" applyFont="1"/>
    <xf numFmtId="1" fontId="9" fillId="11" borderId="1" xfId="1" applyNumberFormat="1" applyFont="1" applyFill="1" applyBorder="1"/>
    <xf numFmtId="1" fontId="5" fillId="0" borderId="0" xfId="1" applyNumberFormat="1" applyFont="1"/>
    <xf numFmtId="1" fontId="6" fillId="13" borderId="1" xfId="0" applyNumberFormat="1" applyFont="1" applyFill="1" applyBorder="1" applyAlignment="1">
      <alignment horizontal="left"/>
    </xf>
    <xf numFmtId="1" fontId="5" fillId="13" borderId="1" xfId="0" applyNumberFormat="1" applyFont="1" applyFill="1" applyBorder="1" applyAlignment="1">
      <alignment horizontal="right"/>
    </xf>
    <xf numFmtId="1" fontId="5" fillId="13" borderId="2" xfId="1" applyNumberFormat="1" applyFont="1" applyFill="1" applyBorder="1"/>
    <xf numFmtId="1" fontId="5" fillId="14" borderId="2" xfId="1" applyNumberFormat="1" applyFont="1" applyFill="1" applyBorder="1"/>
    <xf numFmtId="1" fontId="5" fillId="14" borderId="1" xfId="1" applyNumberFormat="1" applyFont="1" applyFill="1" applyBorder="1"/>
    <xf numFmtId="1" fontId="5" fillId="0" borderId="0" xfId="1" applyNumberFormat="1" applyFont="1" applyBorder="1"/>
    <xf numFmtId="1" fontId="9" fillId="0" borderId="0" xfId="1" applyNumberFormat="1" applyFont="1" applyBorder="1"/>
    <xf numFmtId="1" fontId="6" fillId="0" borderId="1" xfId="0" applyNumberFormat="1" applyFont="1" applyBorder="1" applyAlignment="1">
      <alignment horizontal="left"/>
    </xf>
    <xf numFmtId="1" fontId="5" fillId="0" borderId="2" xfId="1" applyNumberFormat="1" applyFont="1" applyBorder="1"/>
    <xf numFmtId="1" fontId="6" fillId="15" borderId="1" xfId="0" applyNumberFormat="1" applyFont="1" applyFill="1" applyBorder="1" applyAlignment="1">
      <alignment horizontal="left"/>
    </xf>
    <xf numFmtId="1" fontId="5" fillId="15" borderId="1" xfId="0" applyNumberFormat="1" applyFont="1" applyFill="1" applyBorder="1" applyAlignment="1">
      <alignment horizontal="right"/>
    </xf>
    <xf numFmtId="1" fontId="5" fillId="15" borderId="2" xfId="1" applyNumberFormat="1" applyFont="1" applyFill="1" applyBorder="1"/>
    <xf numFmtId="1" fontId="5" fillId="0" borderId="3" xfId="0" applyNumberFormat="1" applyFont="1" applyBorder="1" applyAlignment="1">
      <alignment horizontal="left"/>
    </xf>
    <xf numFmtId="1" fontId="6" fillId="0" borderId="3" xfId="0" applyNumberFormat="1" applyFont="1" applyBorder="1" applyAlignment="1">
      <alignment horizontal="right"/>
    </xf>
    <xf numFmtId="1" fontId="5" fillId="0" borderId="3" xfId="1" applyNumberFormat="1" applyFont="1" applyBorder="1"/>
    <xf numFmtId="1" fontId="9" fillId="0" borderId="3" xfId="1" applyNumberFormat="1" applyFont="1" applyBorder="1"/>
    <xf numFmtId="1" fontId="11" fillId="16" borderId="0" xfId="0" applyNumberFormat="1" applyFont="1" applyFill="1" applyAlignment="1">
      <alignment horizontal="left"/>
    </xf>
    <xf numFmtId="1" fontId="6" fillId="0" borderId="0" xfId="4" applyNumberFormat="1" applyFont="1"/>
    <xf numFmtId="1" fontId="6" fillId="0" borderId="0" xfId="5" applyNumberFormat="1" applyFont="1"/>
    <xf numFmtId="1" fontId="6" fillId="0" borderId="0" xfId="3" applyNumberFormat="1" applyFont="1"/>
    <xf numFmtId="1" fontId="6" fillId="18" borderId="0" xfId="5" applyNumberFormat="1" applyFont="1" applyFill="1" applyAlignment="1">
      <alignment horizontal="left"/>
    </xf>
    <xf numFmtId="1" fontId="6" fillId="17" borderId="7" xfId="6" applyNumberFormat="1" applyFont="1" applyFill="1" applyBorder="1"/>
    <xf numFmtId="1" fontId="6" fillId="18" borderId="6" xfId="5" quotePrefix="1" applyNumberFormat="1" applyFont="1" applyFill="1" applyBorder="1" applyAlignment="1">
      <alignment horizontal="left"/>
    </xf>
    <xf numFmtId="1" fontId="6" fillId="17" borderId="7" xfId="6" applyNumberFormat="1" applyFont="1" applyFill="1" applyBorder="1" applyAlignment="1">
      <alignment horizontal="right"/>
    </xf>
    <xf numFmtId="1" fontId="6" fillId="17" borderId="9" xfId="5" applyNumberFormat="1" applyFont="1" applyFill="1" applyBorder="1"/>
    <xf numFmtId="1" fontId="5" fillId="19" borderId="10" xfId="0" applyNumberFormat="1" applyFont="1" applyFill="1" applyBorder="1"/>
    <xf numFmtId="1" fontId="5" fillId="19" borderId="10" xfId="0" applyNumberFormat="1" applyFont="1" applyFill="1" applyBorder="1" applyAlignment="1">
      <alignment wrapText="1"/>
    </xf>
    <xf numFmtId="165" fontId="5" fillId="0" borderId="10" xfId="0" applyNumberFormat="1" applyFont="1" applyBorder="1"/>
    <xf numFmtId="1" fontId="5" fillId="0" borderId="10" xfId="0" applyNumberFormat="1" applyFont="1" applyBorder="1"/>
    <xf numFmtId="167" fontId="5" fillId="0" borderId="10" xfId="0" applyNumberFormat="1" applyFont="1" applyBorder="1"/>
    <xf numFmtId="168" fontId="5" fillId="0" borderId="0" xfId="0" applyNumberFormat="1" applyFont="1"/>
    <xf numFmtId="167" fontId="0" fillId="2" borderId="0" xfId="0" applyNumberFormat="1" applyFill="1"/>
    <xf numFmtId="167" fontId="0" fillId="6" borderId="0" xfId="0" applyNumberFormat="1" applyFill="1"/>
    <xf numFmtId="2" fontId="0" fillId="5" borderId="0" xfId="0" applyNumberFormat="1" applyFill="1"/>
    <xf numFmtId="0" fontId="13" fillId="0" borderId="0" xfId="0" applyFont="1"/>
    <xf numFmtId="1" fontId="4" fillId="5" borderId="0" xfId="0" applyNumberFormat="1" applyFont="1" applyFill="1" applyAlignment="1">
      <alignment horizontal="center" wrapText="1"/>
    </xf>
    <xf numFmtId="1" fontId="6" fillId="17" borderId="8" xfId="5" quotePrefix="1" applyNumberFormat="1" applyFont="1" applyFill="1" applyBorder="1" applyAlignment="1">
      <alignment horizontal="left"/>
    </xf>
    <xf numFmtId="1" fontId="6" fillId="17" borderId="8" xfId="5" applyNumberFormat="1" applyFont="1" applyFill="1" applyBorder="1" applyAlignment="1">
      <alignment horizontal="left"/>
    </xf>
    <xf numFmtId="1" fontId="6" fillId="18" borderId="6" xfId="5" applyNumberFormat="1" applyFont="1" applyFill="1" applyBorder="1" applyAlignment="1">
      <alignment horizontal="left"/>
    </xf>
    <xf numFmtId="1" fontId="6" fillId="18" borderId="0" xfId="5" applyNumberFormat="1" applyFont="1" applyFill="1" applyAlignment="1">
      <alignment horizontal="left"/>
    </xf>
    <xf numFmtId="1" fontId="6" fillId="18" borderId="6" xfId="5" quotePrefix="1" applyNumberFormat="1" applyFont="1" applyFill="1" applyBorder="1" applyAlignment="1">
      <alignment horizontal="left"/>
    </xf>
    <xf numFmtId="1" fontId="5" fillId="0" borderId="0" xfId="0" applyNumberFormat="1" applyFont="1" applyAlignment="1">
      <alignment horizontal="center" wrapText="1"/>
    </xf>
    <xf numFmtId="1" fontId="5" fillId="0" borderId="2" xfId="0" applyNumberFormat="1" applyFont="1" applyBorder="1" applyAlignment="1">
      <alignment horizontal="center" wrapText="1"/>
    </xf>
    <xf numFmtId="1" fontId="6" fillId="17" borderId="4" xfId="5" applyNumberFormat="1" applyFont="1" applyFill="1" applyBorder="1" applyAlignment="1">
      <alignment horizontal="center"/>
    </xf>
    <xf numFmtId="1" fontId="6" fillId="17" borderId="5" xfId="5" applyNumberFormat="1" applyFont="1" applyFill="1" applyBorder="1" applyAlignment="1">
      <alignment horizontal="center"/>
    </xf>
  </cellXfs>
  <cellStyles count="7">
    <cellStyle name="Comma" xfId="1" builtinId="3"/>
    <cellStyle name="Comma 2 3 2" xfId="6" xr:uid="{95A30595-655D-4255-9CFE-2C6085A30022}"/>
    <cellStyle name="Comma 3" xfId="3" xr:uid="{74A3B89B-DC2A-44A5-A5E4-3360CCDD5E0A}"/>
    <cellStyle name="Normal" xfId="0" builtinId="0"/>
    <cellStyle name="Normal 3 2" xfId="4" xr:uid="{325A7142-7006-4D11-B47A-FF741601F7FF}"/>
    <cellStyle name="Normal 6 3" xfId="5" xr:uid="{AF5E3EE1-3781-497B-8233-CBDA23CD0243}"/>
    <cellStyle name="Percent" xfId="2" builtinId="5"/>
  </cellStyles>
  <dxfs count="1">
    <dxf>
      <fill>
        <patternFill>
          <bgColor theme="3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9JB/Downloads/.ptmp414824/HS%202012%20to%20HS%202007%20Correlation%20and%20conversion%20tabl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CFB4E-D0A4-4135-86CF-2DDA1031FC39}">
  <dimension ref="A2:J125"/>
  <sheetViews>
    <sheetView tabSelected="1" topLeftCell="C119" zoomScale="260" zoomScaleNormal="260" workbookViewId="0">
      <selection activeCell="D122" sqref="D122"/>
    </sheetView>
  </sheetViews>
  <sheetFormatPr baseColWidth="10" defaultColWidth="9" defaultRowHeight="15"/>
  <cols>
    <col min="1" max="1" width="33.6640625" bestFit="1" customWidth="1"/>
    <col min="2" max="2" width="13" customWidth="1"/>
    <col min="3" max="3" width="13.5" customWidth="1"/>
  </cols>
  <sheetData>
    <row r="2" spans="1:6">
      <c r="A2" t="s">
        <v>3</v>
      </c>
      <c r="C2" t="s">
        <v>0</v>
      </c>
      <c r="D2" s="1">
        <v>2</v>
      </c>
      <c r="E2" s="1">
        <v>1</v>
      </c>
      <c r="F2" s="1">
        <v>3</v>
      </c>
    </row>
    <row r="3" spans="1:6">
      <c r="D3" s="1">
        <v>4</v>
      </c>
      <c r="E3" s="1">
        <v>6</v>
      </c>
      <c r="F3" s="1">
        <v>12</v>
      </c>
    </row>
    <row r="5" spans="1:6">
      <c r="C5" t="s">
        <v>1</v>
      </c>
      <c r="D5" s="1">
        <v>1</v>
      </c>
      <c r="E5" s="1">
        <v>2</v>
      </c>
      <c r="F5" s="1">
        <v>3</v>
      </c>
    </row>
    <row r="6" spans="1:6">
      <c r="D6" s="1">
        <v>3</v>
      </c>
      <c r="E6" s="1">
        <v>2</v>
      </c>
      <c r="F6" s="1">
        <v>1</v>
      </c>
    </row>
    <row r="8" spans="1:6">
      <c r="A8" t="s">
        <v>332</v>
      </c>
      <c r="C8" t="s">
        <v>5</v>
      </c>
      <c r="D8" s="1">
        <f t="array" ref="D8:F9">M+N</f>
        <v>3</v>
      </c>
      <c r="E8" s="1">
        <v>3</v>
      </c>
      <c r="F8" s="1">
        <v>6</v>
      </c>
    </row>
    <row r="9" spans="1:6">
      <c r="D9" s="1">
        <v>7</v>
      </c>
      <c r="E9" s="1">
        <v>8</v>
      </c>
      <c r="F9" s="1">
        <v>13</v>
      </c>
    </row>
    <row r="11" spans="1:6">
      <c r="A11" t="s">
        <v>333</v>
      </c>
      <c r="C11" t="s">
        <v>4</v>
      </c>
      <c r="D11" s="1">
        <v>2</v>
      </c>
      <c r="E11" s="1">
        <v>2</v>
      </c>
    </row>
    <row r="12" spans="1:6">
      <c r="D12" s="1">
        <v>3</v>
      </c>
      <c r="E12" s="1">
        <v>4</v>
      </c>
    </row>
    <row r="14" spans="1:6">
      <c r="C14" t="s">
        <v>6</v>
      </c>
      <c r="D14" s="2">
        <f t="array" ref="D14:F15">M+O</f>
        <v>4</v>
      </c>
      <c r="E14" s="2">
        <v>3</v>
      </c>
      <c r="F14" s="2" t="e">
        <v>#N/A</v>
      </c>
    </row>
    <row r="15" spans="1:6">
      <c r="D15" s="2">
        <v>7</v>
      </c>
      <c r="E15" s="2">
        <v>10</v>
      </c>
      <c r="F15" s="2" t="e">
        <v>#N/A</v>
      </c>
    </row>
    <row r="17" spans="1:6">
      <c r="A17" t="s">
        <v>346</v>
      </c>
      <c r="C17" t="s">
        <v>347</v>
      </c>
      <c r="D17" s="1" t="b">
        <f t="array" ref="D17:F18">M=N</f>
        <v>0</v>
      </c>
      <c r="E17" s="1" t="b">
        <v>0</v>
      </c>
      <c r="F17" s="1" t="b">
        <v>1</v>
      </c>
    </row>
    <row r="18" spans="1:6">
      <c r="D18" s="1" t="b">
        <v>0</v>
      </c>
      <c r="E18" s="1" t="b">
        <v>0</v>
      </c>
      <c r="F18" s="1" t="b">
        <v>0</v>
      </c>
    </row>
    <row r="20" spans="1:6">
      <c r="A20" t="s">
        <v>334</v>
      </c>
      <c r="C20" t="s">
        <v>7</v>
      </c>
      <c r="D20" s="1">
        <f t="array" ref="D20:F21">M-N</f>
        <v>1</v>
      </c>
      <c r="E20" s="1">
        <v>-1</v>
      </c>
      <c r="F20" s="1">
        <v>0</v>
      </c>
    </row>
    <row r="21" spans="1:6">
      <c r="D21" s="1">
        <v>1</v>
      </c>
      <c r="E21" s="1">
        <v>4</v>
      </c>
      <c r="F21" s="1">
        <v>11</v>
      </c>
    </row>
    <row r="23" spans="1:6">
      <c r="A23" t="s">
        <v>335</v>
      </c>
      <c r="C23" t="s">
        <v>33</v>
      </c>
      <c r="D23" s="1">
        <v>0</v>
      </c>
      <c r="E23" s="1">
        <v>0</v>
      </c>
      <c r="F23" s="1">
        <v>0</v>
      </c>
    </row>
    <row r="24" spans="1:6">
      <c r="D24" s="1">
        <v>0</v>
      </c>
      <c r="E24" s="1">
        <v>0</v>
      </c>
      <c r="F24" s="1">
        <v>0</v>
      </c>
    </row>
    <row r="26" spans="1:6">
      <c r="C26" t="s">
        <v>34</v>
      </c>
      <c r="D26" s="1">
        <f t="array" ref="D26:F27">M + ZETA</f>
        <v>2</v>
      </c>
      <c r="E26" s="1">
        <v>1</v>
      </c>
      <c r="F26" s="1">
        <v>3</v>
      </c>
    </row>
    <row r="27" spans="1:6">
      <c r="D27" s="1">
        <v>4</v>
      </c>
      <c r="E27" s="1">
        <v>6</v>
      </c>
      <c r="F27" s="1">
        <v>12</v>
      </c>
    </row>
    <row r="29" spans="1:6">
      <c r="A29" t="s">
        <v>336</v>
      </c>
      <c r="C29" t="s">
        <v>8</v>
      </c>
      <c r="D29" s="1">
        <f t="array" ref="D29:F30">M*2</f>
        <v>4</v>
      </c>
      <c r="E29" s="1">
        <v>2</v>
      </c>
      <c r="F29" s="1">
        <v>6</v>
      </c>
    </row>
    <row r="30" spans="1:6">
      <c r="D30" s="1">
        <v>8</v>
      </c>
      <c r="E30" s="1">
        <v>12</v>
      </c>
      <c r="F30" s="1">
        <v>24</v>
      </c>
    </row>
    <row r="32" spans="1:6">
      <c r="A32" t="s">
        <v>337</v>
      </c>
      <c r="C32" t="s">
        <v>9</v>
      </c>
      <c r="D32" s="1">
        <v>2</v>
      </c>
      <c r="E32" s="1">
        <v>0</v>
      </c>
      <c r="F32" s="1">
        <v>4</v>
      </c>
    </row>
    <row r="33" spans="1:6">
      <c r="D33" s="1">
        <v>1</v>
      </c>
      <c r="E33" s="1">
        <v>1</v>
      </c>
      <c r="F33" s="1">
        <v>2</v>
      </c>
    </row>
    <row r="34" spans="1:6">
      <c r="D34" s="1">
        <v>3</v>
      </c>
      <c r="E34" s="1">
        <v>4</v>
      </c>
      <c r="F34" s="1">
        <v>5</v>
      </c>
    </row>
    <row r="36" spans="1:6">
      <c r="C36" t="s">
        <v>10</v>
      </c>
      <c r="D36" s="1">
        <f t="array" ref="D36:F37">MMULT(M,Q)</f>
        <v>14</v>
      </c>
      <c r="E36" s="1">
        <v>13</v>
      </c>
      <c r="F36" s="1">
        <v>25</v>
      </c>
    </row>
    <row r="37" spans="1:6">
      <c r="D37" s="1">
        <v>50</v>
      </c>
      <c r="E37" s="1">
        <v>54</v>
      </c>
      <c r="F37" s="1">
        <v>88</v>
      </c>
    </row>
    <row r="39" spans="1:6">
      <c r="A39" t="s">
        <v>338</v>
      </c>
      <c r="C39" t="s">
        <v>11</v>
      </c>
      <c r="D39" s="2" t="e">
        <f t="array" ref="D39:F41">MMULT(Q,M)</f>
        <v>#VALUE!</v>
      </c>
      <c r="E39" s="2" t="e">
        <v>#VALUE!</v>
      </c>
      <c r="F39" s="2" t="e">
        <v>#VALUE!</v>
      </c>
    </row>
    <row r="40" spans="1:6">
      <c r="D40" s="2" t="e">
        <v>#VALUE!</v>
      </c>
      <c r="E40" s="2" t="e">
        <v>#VALUE!</v>
      </c>
      <c r="F40" s="2" t="e">
        <v>#VALUE!</v>
      </c>
    </row>
    <row r="41" spans="1:6">
      <c r="D41" s="2" t="e">
        <v>#VALUE!</v>
      </c>
      <c r="E41" s="2" t="e">
        <v>#VALUE!</v>
      </c>
      <c r="F41" s="2" t="e">
        <v>#VALUE!</v>
      </c>
    </row>
    <row r="43" spans="1:6">
      <c r="A43" t="s">
        <v>339</v>
      </c>
      <c r="C43" t="s">
        <v>13</v>
      </c>
      <c r="D43" s="1">
        <v>1</v>
      </c>
      <c r="E43" s="1">
        <v>1</v>
      </c>
      <c r="F43" s="1">
        <v>1</v>
      </c>
    </row>
    <row r="44" spans="1:6">
      <c r="D44" s="1">
        <v>1</v>
      </c>
      <c r="E44" s="1">
        <v>1</v>
      </c>
      <c r="F44" s="1">
        <v>1</v>
      </c>
    </row>
    <row r="45" spans="1:6">
      <c r="D45" s="1">
        <v>1</v>
      </c>
      <c r="E45" s="1">
        <v>1</v>
      </c>
      <c r="F45" s="1">
        <v>1</v>
      </c>
    </row>
    <row r="47" spans="1:6">
      <c r="C47" t="s">
        <v>14</v>
      </c>
      <c r="D47" s="3" cm="1">
        <f t="array" ref="D47:F48">MMULT(M,TM)</f>
        <v>6</v>
      </c>
      <c r="E47" s="3">
        <v>6</v>
      </c>
      <c r="F47" s="3">
        <v>6</v>
      </c>
    </row>
    <row r="48" spans="1:6">
      <c r="D48" s="3">
        <v>22</v>
      </c>
      <c r="E48" s="3">
        <v>22</v>
      </c>
      <c r="F48" s="3">
        <v>22</v>
      </c>
    </row>
    <row r="50" spans="1:6">
      <c r="A50" t="s">
        <v>340</v>
      </c>
      <c r="C50" t="s">
        <v>12</v>
      </c>
      <c r="D50" s="1">
        <f t="array" ref="D50:F52">_xlfn.MUNIT(3)</f>
        <v>1</v>
      </c>
      <c r="E50" s="1">
        <v>0</v>
      </c>
      <c r="F50" s="1">
        <v>0</v>
      </c>
    </row>
    <row r="51" spans="1:6">
      <c r="D51" s="1">
        <v>0</v>
      </c>
      <c r="E51" s="1">
        <v>1</v>
      </c>
      <c r="F51" s="1">
        <v>0</v>
      </c>
    </row>
    <row r="52" spans="1:6">
      <c r="D52" s="1">
        <v>0</v>
      </c>
      <c r="E52" s="1">
        <v>0</v>
      </c>
      <c r="F52" s="1">
        <v>1</v>
      </c>
    </row>
    <row r="54" spans="1:6">
      <c r="C54" t="s">
        <v>15</v>
      </c>
      <c r="D54" s="1">
        <f t="array" ref="D54:F55">MMULT(M,I)</f>
        <v>2</v>
      </c>
      <c r="E54" s="1">
        <v>1</v>
      </c>
      <c r="F54" s="1">
        <v>3</v>
      </c>
    </row>
    <row r="55" spans="1:6">
      <c r="D55" s="1">
        <v>4</v>
      </c>
      <c r="E55" s="1">
        <v>6</v>
      </c>
      <c r="F55" s="1">
        <v>12</v>
      </c>
    </row>
    <row r="57" spans="1:6">
      <c r="A57" t="s">
        <v>341</v>
      </c>
      <c r="C57" t="s">
        <v>16</v>
      </c>
      <c r="D57" s="1">
        <f t="array" ref="D57:E58">_xlfn.MUNIT(2)</f>
        <v>1</v>
      </c>
      <c r="E57" s="1">
        <v>0</v>
      </c>
    </row>
    <row r="58" spans="1:6">
      <c r="D58" s="1">
        <v>0</v>
      </c>
      <c r="E58" s="1">
        <v>1</v>
      </c>
    </row>
    <row r="60" spans="1:6">
      <c r="C60" t="s">
        <v>17</v>
      </c>
      <c r="D60" s="1">
        <f t="array" ref="D60:F61">MMULT(IP,M)</f>
        <v>2</v>
      </c>
      <c r="E60" s="1">
        <v>1</v>
      </c>
      <c r="F60" s="1">
        <v>3</v>
      </c>
    </row>
    <row r="61" spans="1:6">
      <c r="D61" s="1">
        <v>4</v>
      </c>
      <c r="E61" s="1">
        <v>6</v>
      </c>
      <c r="F61" s="1">
        <v>12</v>
      </c>
    </row>
    <row r="64" spans="1:6">
      <c r="A64" t="s">
        <v>342</v>
      </c>
      <c r="C64" t="s">
        <v>19</v>
      </c>
    </row>
    <row r="65" spans="3:5">
      <c r="C65" t="s">
        <v>20</v>
      </c>
    </row>
    <row r="69" spans="3:5">
      <c r="C69" t="s">
        <v>18</v>
      </c>
      <c r="D69" s="1">
        <v>2</v>
      </c>
      <c r="E69" s="1">
        <v>1</v>
      </c>
    </row>
    <row r="70" spans="3:5">
      <c r="D70" s="1">
        <v>5</v>
      </c>
      <c r="E70" s="1">
        <v>3</v>
      </c>
    </row>
    <row r="72" spans="3:5">
      <c r="C72" t="s">
        <v>21</v>
      </c>
      <c r="D72" s="1">
        <v>10</v>
      </c>
    </row>
    <row r="73" spans="3:5">
      <c r="D73" s="1">
        <v>26</v>
      </c>
    </row>
    <row r="75" spans="3:5">
      <c r="C75" t="s">
        <v>22</v>
      </c>
      <c r="D75" s="1" cm="1">
        <f t="array" ref="D75:E76">MINVERSE(A)</f>
        <v>2.9999999999999973</v>
      </c>
      <c r="E75" s="1">
        <v>-0.99999999999999911</v>
      </c>
    </row>
    <row r="76" spans="3:5">
      <c r="D76" s="1">
        <v>-4.9999999999999956</v>
      </c>
      <c r="E76" s="1">
        <v>1.9999999999999984</v>
      </c>
    </row>
    <row r="78" spans="3:5">
      <c r="C78" t="s">
        <v>348</v>
      </c>
      <c r="D78" s="1">
        <v>2</v>
      </c>
      <c r="E78" s="1">
        <v>6</v>
      </c>
    </row>
    <row r="79" spans="3:5">
      <c r="D79" s="1">
        <v>4</v>
      </c>
      <c r="E79" s="1">
        <v>12</v>
      </c>
    </row>
    <row r="81" spans="1:10">
      <c r="C81" t="s">
        <v>349</v>
      </c>
      <c r="D81" s="1" t="e">
        <f t="array" ref="D81:E82">MINVERSE(CMAT)</f>
        <v>#NUM!</v>
      </c>
      <c r="E81" s="1" t="e">
        <v>#NUM!</v>
      </c>
    </row>
    <row r="82" spans="1:10">
      <c r="D82" s="1" t="e">
        <v>#NUM!</v>
      </c>
      <c r="E82" s="1" t="e">
        <v>#NUM!</v>
      </c>
    </row>
    <row r="84" spans="1:10">
      <c r="C84" t="s">
        <v>23</v>
      </c>
      <c r="D84" s="1" cm="1">
        <f t="array" ref="D84:D85">MMULT(AINV,b)</f>
        <v>3.9999999999999929</v>
      </c>
    </row>
    <row r="85" spans="1:10">
      <c r="D85" s="1">
        <v>2</v>
      </c>
    </row>
    <row r="87" spans="1:10">
      <c r="E87" s="4" t="s">
        <v>26</v>
      </c>
      <c r="H87" s="4" t="s">
        <v>27</v>
      </c>
    </row>
    <row r="88" spans="1:10">
      <c r="C88" t="s">
        <v>24</v>
      </c>
      <c r="D88" s="1">
        <v>2</v>
      </c>
      <c r="E88" s="1">
        <f>D84</f>
        <v>3.9999999999999929</v>
      </c>
      <c r="F88" s="5" t="s">
        <v>28</v>
      </c>
      <c r="G88" s="1">
        <v>1</v>
      </c>
      <c r="H88" s="1">
        <f>D85</f>
        <v>2</v>
      </c>
      <c r="I88" s="5" t="s">
        <v>25</v>
      </c>
      <c r="J88" s="1">
        <f>D88*E88+G88*H88</f>
        <v>9.9999999999999858</v>
      </c>
    </row>
    <row r="89" spans="1:10">
      <c r="D89" s="1">
        <v>5</v>
      </c>
      <c r="E89" s="1">
        <f>D84</f>
        <v>3.9999999999999929</v>
      </c>
      <c r="F89" s="5" t="s">
        <v>28</v>
      </c>
      <c r="G89" s="1">
        <v>3</v>
      </c>
      <c r="H89" s="1">
        <f>D85</f>
        <v>2</v>
      </c>
      <c r="I89" s="5" t="s">
        <v>25</v>
      </c>
      <c r="J89" s="1">
        <f>D89*E89+G89*H89</f>
        <v>25.999999999999964</v>
      </c>
    </row>
    <row r="92" spans="1:10">
      <c r="A92" t="s">
        <v>343</v>
      </c>
      <c r="C92" t="s">
        <v>30</v>
      </c>
      <c r="D92" s="1">
        <v>1</v>
      </c>
    </row>
    <row r="93" spans="1:10">
      <c r="D93" s="1">
        <v>1</v>
      </c>
    </row>
    <row r="94" spans="1:10">
      <c r="D94" s="1">
        <v>1</v>
      </c>
    </row>
    <row r="96" spans="1:10">
      <c r="A96" t="s">
        <v>344</v>
      </c>
      <c r="C96" t="s">
        <v>31</v>
      </c>
      <c r="D96" s="1">
        <f t="array" ref="D96:D97">MMULT(M,ISUM)</f>
        <v>6</v>
      </c>
    </row>
    <row r="97" spans="1:6">
      <c r="D97" s="1">
        <v>22</v>
      </c>
    </row>
    <row r="99" spans="1:6">
      <c r="C99" t="s">
        <v>29</v>
      </c>
      <c r="D99" s="1">
        <v>1</v>
      </c>
      <c r="E99" s="1">
        <v>1</v>
      </c>
    </row>
    <row r="101" spans="1:6">
      <c r="A101" t="s">
        <v>345</v>
      </c>
      <c r="C101" t="s">
        <v>32</v>
      </c>
      <c r="D101" s="1">
        <f t="array" ref="D101:E101">MMULT(ISUM2,M)</f>
        <v>6</v>
      </c>
      <c r="E101" s="1">
        <v>7</v>
      </c>
    </row>
    <row r="103" spans="1:6">
      <c r="A103" s="90"/>
    </row>
    <row r="104" spans="1:6">
      <c r="A104" t="s">
        <v>354</v>
      </c>
      <c r="C104" t="s">
        <v>350</v>
      </c>
      <c r="D104" s="1">
        <v>8</v>
      </c>
      <c r="E104" s="1">
        <v>9</v>
      </c>
      <c r="F104" s="1">
        <v>17</v>
      </c>
    </row>
    <row r="106" spans="1:6">
      <c r="A106" t="s">
        <v>355</v>
      </c>
      <c r="C106" t="s">
        <v>351</v>
      </c>
      <c r="D106" s="1">
        <f t="array" ref="D106:F108">IF(D104:F104=TRANSPOSE(D104:F104),D104:F104,0)</f>
        <v>8</v>
      </c>
      <c r="E106" s="1">
        <v>0</v>
      </c>
      <c r="F106" s="1">
        <v>0</v>
      </c>
    </row>
    <row r="107" spans="1:6">
      <c r="D107" s="1">
        <v>0</v>
      </c>
      <c r="E107" s="1">
        <v>9</v>
      </c>
      <c r="F107" s="1">
        <v>0</v>
      </c>
    </row>
    <row r="108" spans="1:6">
      <c r="D108" s="1">
        <v>0</v>
      </c>
      <c r="E108" s="1">
        <v>0</v>
      </c>
      <c r="F108" s="1">
        <v>17</v>
      </c>
    </row>
    <row r="110" spans="1:6">
      <c r="A110" t="s">
        <v>353</v>
      </c>
      <c r="C110" t="s">
        <v>352</v>
      </c>
      <c r="D110" s="1">
        <f t="array" ref="D110:F112">MINVERSE(GPRIMEHAT)</f>
        <v>0.125</v>
      </c>
      <c r="E110" s="1">
        <v>0</v>
      </c>
      <c r="F110" s="1">
        <v>0</v>
      </c>
    </row>
    <row r="111" spans="1:6">
      <c r="D111" s="1">
        <v>0</v>
      </c>
      <c r="E111" s="1">
        <v>0.1111111111111111</v>
      </c>
      <c r="F111" s="1">
        <v>0</v>
      </c>
    </row>
    <row r="112" spans="1:6">
      <c r="D112" s="1">
        <v>0</v>
      </c>
      <c r="E112" s="1">
        <v>0</v>
      </c>
      <c r="F112" s="1">
        <v>5.8823529411764705E-2</v>
      </c>
    </row>
    <row r="114" spans="1:6">
      <c r="A114" t="s">
        <v>357</v>
      </c>
      <c r="C114" t="s">
        <v>356</v>
      </c>
      <c r="D114" s="1">
        <f t="array" ref="D114:F116">MMULT(GPRIMEHAT,GPRIMEHATINV)</f>
        <v>1</v>
      </c>
      <c r="E114" s="1">
        <v>0</v>
      </c>
      <c r="F114" s="1">
        <v>0</v>
      </c>
    </row>
    <row r="115" spans="1:6">
      <c r="D115" s="1">
        <v>0</v>
      </c>
      <c r="E115" s="1">
        <v>1</v>
      </c>
      <c r="F115" s="1">
        <v>0</v>
      </c>
    </row>
    <row r="116" spans="1:6">
      <c r="D116" s="1">
        <v>0</v>
      </c>
      <c r="E116" s="1">
        <v>0</v>
      </c>
      <c r="F116" s="1">
        <v>1</v>
      </c>
    </row>
    <row r="119" spans="1:6">
      <c r="C119" t="s">
        <v>0</v>
      </c>
      <c r="D119" s="1">
        <v>2</v>
      </c>
      <c r="E119" s="1">
        <v>1</v>
      </c>
      <c r="F119" s="1">
        <v>3</v>
      </c>
    </row>
    <row r="120" spans="1:6">
      <c r="D120" s="1">
        <v>4</v>
      </c>
      <c r="E120" s="1">
        <v>6</v>
      </c>
      <c r="F120" s="1">
        <v>12</v>
      </c>
    </row>
    <row r="122" spans="1:6">
      <c r="C122" t="s">
        <v>359</v>
      </c>
      <c r="D122" s="1">
        <f>SUM(D119:F119)</f>
        <v>6</v>
      </c>
    </row>
    <row r="123" spans="1:6">
      <c r="D123" s="1">
        <f>SUM(D120:F120)</f>
        <v>22</v>
      </c>
    </row>
    <row r="125" spans="1:6">
      <c r="C125" t="s">
        <v>358</v>
      </c>
      <c r="D125" s="1">
        <f>SUM(D119:D120)</f>
        <v>6</v>
      </c>
      <c r="E125" s="1">
        <f t="shared" ref="E125:F125" si="0">SUM(E119:E120)</f>
        <v>7</v>
      </c>
      <c r="F125" s="1">
        <f t="shared" si="0"/>
        <v>15</v>
      </c>
    </row>
  </sheetData>
  <pageMargins left="0.7" right="0.7" top="0.75" bottom="0.75" header="0.3" footer="0.3"/>
  <ignoredErrors>
    <ignoredError sqref="D81:E8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4725-EBCD-4039-ACB1-29CE7E16EBDD}">
  <dimension ref="B3:G49"/>
  <sheetViews>
    <sheetView workbookViewId="0">
      <selection activeCell="E50" sqref="E50"/>
    </sheetView>
  </sheetViews>
  <sheetFormatPr baseColWidth="10" defaultColWidth="9" defaultRowHeight="15"/>
  <cols>
    <col min="2" max="2" width="16.83203125" bestFit="1" customWidth="1"/>
    <col min="3" max="3" width="16.6640625" bestFit="1" customWidth="1"/>
    <col min="4" max="4" width="14" bestFit="1" customWidth="1"/>
    <col min="5" max="5" width="13.33203125" bestFit="1" customWidth="1"/>
    <col min="7" max="7" width="11.83203125" bestFit="1" customWidth="1"/>
  </cols>
  <sheetData>
    <row r="3" spans="2:7">
      <c r="C3" t="s">
        <v>35</v>
      </c>
      <c r="D3" t="s">
        <v>36</v>
      </c>
      <c r="E3" t="s">
        <v>37</v>
      </c>
      <c r="G3" t="s">
        <v>39</v>
      </c>
    </row>
    <row r="4" spans="2:7">
      <c r="B4" t="s">
        <v>35</v>
      </c>
      <c r="C4" s="6">
        <v>150</v>
      </c>
      <c r="D4" s="6">
        <v>500</v>
      </c>
      <c r="E4" s="7">
        <v>350</v>
      </c>
      <c r="G4" s="1">
        <f>SUM(C4:E4)</f>
        <v>1000</v>
      </c>
    </row>
    <row r="5" spans="2:7">
      <c r="B5" t="s">
        <v>36</v>
      </c>
      <c r="C5" s="6">
        <v>200</v>
      </c>
      <c r="D5" s="6">
        <v>100</v>
      </c>
      <c r="E5" s="7">
        <v>1700</v>
      </c>
      <c r="G5" s="1">
        <f>SUM(C5:E5)</f>
        <v>2000</v>
      </c>
    </row>
    <row r="7" spans="2:7">
      <c r="B7" t="s">
        <v>42</v>
      </c>
      <c r="C7">
        <v>650</v>
      </c>
      <c r="D7">
        <v>1400</v>
      </c>
      <c r="E7">
        <v>1100</v>
      </c>
    </row>
    <row r="8" spans="2:7">
      <c r="B8" t="s">
        <v>41</v>
      </c>
      <c r="C8" s="1">
        <v>1000</v>
      </c>
      <c r="D8" s="1">
        <v>2000</v>
      </c>
      <c r="E8">
        <v>3150</v>
      </c>
    </row>
    <row r="12" spans="2:7">
      <c r="B12" t="s">
        <v>43</v>
      </c>
      <c r="C12" s="1" cm="1">
        <f t="array" ref="C12:D13">IF(G4:G5=TRANSPOSE(G4:G5),G4:G5,0)</f>
        <v>1000</v>
      </c>
      <c r="D12" s="1">
        <v>0</v>
      </c>
    </row>
    <row r="13" spans="2:7">
      <c r="C13" s="1">
        <v>0</v>
      </c>
      <c r="D13" s="1">
        <v>2000</v>
      </c>
    </row>
    <row r="15" spans="2:7">
      <c r="B15" t="s">
        <v>44</v>
      </c>
      <c r="C15" s="1">
        <f t="array" ref="C15:D16">MINVERSE(xhat)</f>
        <v>1E-3</v>
      </c>
      <c r="D15" s="1">
        <v>0</v>
      </c>
    </row>
    <row r="16" spans="2:7">
      <c r="C16" s="1">
        <v>0</v>
      </c>
      <c r="D16" s="1">
        <v>5.0000000000000001E-4</v>
      </c>
    </row>
    <row r="18" spans="2:4">
      <c r="B18" t="s">
        <v>45</v>
      </c>
      <c r="C18" s="1">
        <f t="array" ref="C18:D19">MMULT(Z,xhatinv)</f>
        <v>0.15</v>
      </c>
      <c r="D18" s="1">
        <v>0.25</v>
      </c>
    </row>
    <row r="19" spans="2:4">
      <c r="C19" s="9">
        <v>0.2</v>
      </c>
      <c r="D19" s="1">
        <v>0.05</v>
      </c>
    </row>
    <row r="21" spans="2:4">
      <c r="B21" t="s">
        <v>46</v>
      </c>
      <c r="C21" s="1">
        <f t="array" ref="C21:D22">_xlfn.MUNIT(2)</f>
        <v>1</v>
      </c>
      <c r="D21" s="1">
        <v>0</v>
      </c>
    </row>
    <row r="22" spans="2:4">
      <c r="C22" s="1">
        <v>0</v>
      </c>
      <c r="D22" s="1">
        <v>1</v>
      </c>
    </row>
    <row r="24" spans="2:4">
      <c r="B24" t="s">
        <v>47</v>
      </c>
      <c r="C24" s="1">
        <f t="array" ref="C24:D25">MINVERSE((identity-REQ))</f>
        <v>1.254125412541254</v>
      </c>
      <c r="D24" s="1">
        <v>0.33003300330033003</v>
      </c>
    </row>
    <row r="25" spans="2:4">
      <c r="C25" s="1">
        <v>0.26402640264026406</v>
      </c>
      <c r="D25" s="1">
        <v>1.1221122112211221</v>
      </c>
    </row>
    <row r="27" spans="2:4">
      <c r="B27" t="s">
        <v>48</v>
      </c>
      <c r="C27" s="1">
        <f t="array" ref="C27:C28">MMULT(L,fdem)</f>
        <v>1000</v>
      </c>
    </row>
    <row r="28" spans="2:4">
      <c r="C28" s="1">
        <v>2000.0000000000002</v>
      </c>
    </row>
    <row r="30" spans="2:4">
      <c r="B30" t="s">
        <v>327</v>
      </c>
      <c r="C30" s="1">
        <v>600</v>
      </c>
    </row>
    <row r="31" spans="2:4">
      <c r="C31" s="1">
        <v>1500</v>
      </c>
    </row>
    <row r="33" spans="2:7">
      <c r="B33" t="s">
        <v>328</v>
      </c>
      <c r="C33" s="1">
        <f t="array" ref="C33:C34">MMULT(L,fdemnew)</f>
        <v>1247.5247524752474</v>
      </c>
    </row>
    <row r="34" spans="2:7">
      <c r="C34" s="1">
        <v>1841.5841584158416</v>
      </c>
    </row>
    <row r="36" spans="2:7">
      <c r="B36" t="s">
        <v>329</v>
      </c>
      <c r="C36" s="1" cm="1">
        <f t="array" ref="C36:D37">IF(C33:C34=TRANSPOSE(C33:C34),C33:C34,0)</f>
        <v>1247.5247524752474</v>
      </c>
      <c r="D36" s="1">
        <v>0</v>
      </c>
    </row>
    <row r="37" spans="2:7">
      <c r="C37" s="1">
        <v>0</v>
      </c>
      <c r="D37" s="1">
        <v>1841.5841584158416</v>
      </c>
    </row>
    <row r="39" spans="2:7">
      <c r="B39" t="s">
        <v>330</v>
      </c>
      <c r="C39" s="8" cm="1">
        <f t="array" ref="C39:D40">MMULT(REQ,xnewdiag)</f>
        <v>187.12871287128709</v>
      </c>
      <c r="D39" s="8">
        <v>460.39603960396039</v>
      </c>
    </row>
    <row r="40" spans="2:7">
      <c r="C40" s="8">
        <v>249.50495049504948</v>
      </c>
      <c r="D40" s="8">
        <v>92.079207920792086</v>
      </c>
    </row>
    <row r="42" spans="2:7">
      <c r="B42" s="11" t="s">
        <v>331</v>
      </c>
    </row>
    <row r="44" spans="2:7">
      <c r="C44" t="s">
        <v>35</v>
      </c>
      <c r="D44" t="s">
        <v>36</v>
      </c>
      <c r="E44" t="s">
        <v>37</v>
      </c>
      <c r="G44" t="s">
        <v>39</v>
      </c>
    </row>
    <row r="45" spans="2:7">
      <c r="B45" t="s">
        <v>35</v>
      </c>
      <c r="C45" s="89">
        <f t="array" ref="C45:D46">C39:D40</f>
        <v>187.12871287128709</v>
      </c>
      <c r="D45" s="89">
        <v>460.39603960396039</v>
      </c>
      <c r="E45" s="88">
        <f t="array" ref="E45:E46">C30:C31</f>
        <v>600</v>
      </c>
      <c r="G45" s="87">
        <f>SUM(C45:E45)</f>
        <v>1247.5247524752476</v>
      </c>
    </row>
    <row r="46" spans="2:7">
      <c r="B46" t="s">
        <v>36</v>
      </c>
      <c r="C46" s="89">
        <v>249.50495049504948</v>
      </c>
      <c r="D46" s="89">
        <v>92.079207920792086</v>
      </c>
      <c r="E46" s="88">
        <v>1500</v>
      </c>
      <c r="G46" s="87">
        <f>SUM(C46:E46)</f>
        <v>1841.5841584158416</v>
      </c>
    </row>
    <row r="48" spans="2:7">
      <c r="B48" t="s">
        <v>42</v>
      </c>
      <c r="C48" s="8">
        <f>C49-SUM(C45:C46)</f>
        <v>810.89108910891105</v>
      </c>
      <c r="D48" s="8">
        <f>D49-SUM(D45:D46)</f>
        <v>1289.1089108910892</v>
      </c>
      <c r="E48" s="8">
        <v>1100</v>
      </c>
    </row>
    <row r="49" spans="2:5">
      <c r="B49" t="s">
        <v>41</v>
      </c>
      <c r="C49" s="87">
        <f>G45</f>
        <v>1247.5247524752476</v>
      </c>
      <c r="D49" s="87">
        <f>G46</f>
        <v>1841.5841584158416</v>
      </c>
      <c r="E49"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C198D-0B0E-4960-B3AB-05A924E283F6}">
  <sheetPr>
    <tabColor rgb="FF00B050"/>
  </sheetPr>
  <dimension ref="A1:AD42"/>
  <sheetViews>
    <sheetView zoomScale="70" zoomScaleNormal="70" workbookViewId="0">
      <selection activeCell="M44" sqref="M44"/>
    </sheetView>
  </sheetViews>
  <sheetFormatPr baseColWidth="10" defaultColWidth="9" defaultRowHeight="15"/>
  <cols>
    <col min="1" max="1" width="69.33203125" bestFit="1" customWidth="1"/>
    <col min="3" max="3" width="3.33203125" customWidth="1"/>
    <col min="4" max="5" width="19" customWidth="1"/>
    <col min="7" max="7" width="3.33203125" customWidth="1"/>
    <col min="11" max="11" width="3.33203125" customWidth="1"/>
    <col min="12" max="12" width="12.6640625" customWidth="1"/>
    <col min="13" max="13" width="12.6640625" bestFit="1" customWidth="1"/>
    <col min="14" max="14" width="12.33203125" bestFit="1" customWidth="1"/>
    <col min="15" max="15" width="3.6640625" customWidth="1"/>
    <col min="25" max="25" width="2.33203125" customWidth="1"/>
    <col min="26" max="30" width="10.83203125" customWidth="1"/>
    <col min="31" max="31" width="3" customWidth="1"/>
  </cols>
  <sheetData>
    <row r="1" spans="1:30" ht="19">
      <c r="A1" s="10" t="s">
        <v>49</v>
      </c>
    </row>
    <row r="2" spans="1:30" ht="19">
      <c r="A2" s="10" t="s">
        <v>50</v>
      </c>
    </row>
    <row r="3" spans="1:30" ht="19">
      <c r="A3" s="10" t="s">
        <v>51</v>
      </c>
    </row>
    <row r="4" spans="1:30">
      <c r="A4" s="11" t="s">
        <v>52</v>
      </c>
    </row>
    <row r="5" spans="1:30" ht="14.5" customHeight="1">
      <c r="D5" s="91" t="s">
        <v>53</v>
      </c>
      <c r="E5" s="91"/>
      <c r="F5" s="91"/>
      <c r="H5" s="91" t="s">
        <v>54</v>
      </c>
      <c r="I5" s="91"/>
      <c r="J5" s="91"/>
      <c r="L5" s="91" t="s">
        <v>55</v>
      </c>
      <c r="M5" s="91"/>
      <c r="N5" s="91"/>
      <c r="P5" s="91" t="s">
        <v>56</v>
      </c>
      <c r="Q5" s="91"/>
      <c r="R5" s="91"/>
      <c r="S5" s="91"/>
      <c r="T5" s="91"/>
      <c r="U5" s="91"/>
      <c r="V5" s="91"/>
      <c r="W5" s="91"/>
      <c r="X5" s="91"/>
      <c r="Z5" s="91" t="s">
        <v>57</v>
      </c>
      <c r="AA5" s="91"/>
      <c r="AB5" s="91"/>
      <c r="AC5" s="91"/>
      <c r="AD5" s="91"/>
    </row>
    <row r="6" spans="1:30" ht="71">
      <c r="D6" s="12" t="s">
        <v>58</v>
      </c>
      <c r="E6" s="12" t="s">
        <v>59</v>
      </c>
      <c r="F6" s="12" t="s">
        <v>60</v>
      </c>
      <c r="H6" s="12" t="s">
        <v>61</v>
      </c>
      <c r="I6" s="12" t="s">
        <v>62</v>
      </c>
      <c r="J6" s="12" t="s">
        <v>63</v>
      </c>
      <c r="L6" s="12" t="s">
        <v>64</v>
      </c>
      <c r="M6" s="12" t="s">
        <v>65</v>
      </c>
      <c r="N6" s="12" t="s">
        <v>66</v>
      </c>
      <c r="P6" s="12" t="s">
        <v>67</v>
      </c>
      <c r="Q6" s="12" t="s">
        <v>68</v>
      </c>
      <c r="R6" s="12" t="s">
        <v>69</v>
      </c>
      <c r="S6" s="12" t="s">
        <v>70</v>
      </c>
      <c r="T6" s="12" t="s">
        <v>71</v>
      </c>
      <c r="U6" s="12" t="s">
        <v>72</v>
      </c>
      <c r="V6" s="12" t="s">
        <v>73</v>
      </c>
      <c r="W6" s="12" t="s">
        <v>74</v>
      </c>
      <c r="X6" s="12" t="s">
        <v>75</v>
      </c>
      <c r="Z6" s="12" t="s">
        <v>76</v>
      </c>
      <c r="AA6" s="12" t="s">
        <v>77</v>
      </c>
      <c r="AB6" s="12" t="s">
        <v>78</v>
      </c>
      <c r="AC6" s="12" t="s">
        <v>79</v>
      </c>
      <c r="AD6" s="12" t="s">
        <v>80</v>
      </c>
    </row>
    <row r="7" spans="1:30">
      <c r="D7" s="13"/>
      <c r="E7" s="13"/>
      <c r="F7" s="13"/>
      <c r="H7" s="13"/>
      <c r="I7" s="13"/>
      <c r="J7" s="13"/>
      <c r="L7" s="13"/>
      <c r="N7" s="13"/>
    </row>
    <row r="8" spans="1:30">
      <c r="A8" s="14" t="s">
        <v>81</v>
      </c>
      <c r="B8" s="15" t="s">
        <v>82</v>
      </c>
      <c r="D8" s="16">
        <v>1483.3513215220892</v>
      </c>
      <c r="E8" s="17">
        <v>0</v>
      </c>
      <c r="F8" s="16">
        <f t="shared" ref="F8:F41" si="0">D8*(1+E8)</f>
        <v>1483.3513215220892</v>
      </c>
      <c r="H8" s="16">
        <v>3054.4679740601191</v>
      </c>
      <c r="I8" s="16">
        <f t="array" ref="I8:I41">MMULT(KYZ_EEIO_2017!$D$265:$AK$298,Tool!F8:F41)</f>
        <v>3054.4679740601232</v>
      </c>
      <c r="J8" s="18">
        <f t="shared" ref="J8:J41" si="1">IF(H8=0,0,(I8-H8)/H8)</f>
        <v>1.3399145752174853E-15</v>
      </c>
      <c r="L8" s="16">
        <v>541400</v>
      </c>
      <c r="M8" s="16">
        <f>SUM(P8:X8)</f>
        <v>541400.0000000007</v>
      </c>
      <c r="N8" s="19">
        <f>M8-L8</f>
        <v>0</v>
      </c>
      <c r="P8" s="16">
        <f>$I8*KYZ_EEIO_2017!CD8</f>
        <v>52400.000000000073</v>
      </c>
      <c r="Q8" s="16">
        <f>$I8*KYZ_EEIO_2017!CE8</f>
        <v>125200.00000000016</v>
      </c>
      <c r="R8" s="16">
        <f>$I8*KYZ_EEIO_2017!CF8</f>
        <v>42300.000000000058</v>
      </c>
      <c r="S8" s="16">
        <f>$I8*KYZ_EEIO_2017!CG8</f>
        <v>41000.000000000058</v>
      </c>
      <c r="T8" s="16">
        <f>$I8*KYZ_EEIO_2017!CH8</f>
        <v>175600.00000000023</v>
      </c>
      <c r="U8" s="16">
        <f>$I8*KYZ_EEIO_2017!CI8</f>
        <v>58400.00000000008</v>
      </c>
      <c r="V8" s="16">
        <f>$I8*KYZ_EEIO_2017!CJ8</f>
        <v>42100.000000000058</v>
      </c>
      <c r="W8" s="16">
        <f>$I8*KYZ_EEIO_2017!CK8</f>
        <v>3200.0000000000045</v>
      </c>
      <c r="X8" s="16">
        <f>$I8*KYZ_EEIO_2017!CL8</f>
        <v>1200.0000000000016</v>
      </c>
      <c r="Z8" s="16">
        <f>$I8*KYZ_EEIO_2017!CY8</f>
        <v>1912.0999250444556</v>
      </c>
      <c r="AA8" s="16">
        <f>$I8*KYZ_EEIO_2017!CZ8</f>
        <v>1350.7741981622971</v>
      </c>
      <c r="AB8" s="16">
        <f>$I8*KYZ_EEIO_2017!DA8</f>
        <v>7117.8215054029124</v>
      </c>
      <c r="AC8" s="16">
        <f>$I8*KYZ_EEIO_2017!DB8</f>
        <v>11933.121886502307</v>
      </c>
      <c r="AD8" s="16">
        <f>$I8*KYZ_EEIO_2017!DC8</f>
        <v>432.85533199928528</v>
      </c>
    </row>
    <row r="9" spans="1:30">
      <c r="A9" s="14" t="s">
        <v>83</v>
      </c>
      <c r="B9" s="15" t="s">
        <v>84</v>
      </c>
      <c r="D9" s="16">
        <v>53.702231296201944</v>
      </c>
      <c r="E9" s="17">
        <v>0</v>
      </c>
      <c r="F9" s="16">
        <f t="shared" si="0"/>
        <v>53.702231296201944</v>
      </c>
      <c r="H9" s="16">
        <v>145.42287215822921</v>
      </c>
      <c r="I9" s="16">
        <v>145.42287215822907</v>
      </c>
      <c r="J9" s="18">
        <f t="shared" si="1"/>
        <v>-9.7720905276438923E-16</v>
      </c>
      <c r="L9" s="16">
        <v>12700</v>
      </c>
      <c r="M9" s="16">
        <f t="shared" ref="M9:M41" si="2">SUM(P9:X9)</f>
        <v>12699.999999999987</v>
      </c>
      <c r="N9" s="19">
        <f t="shared" ref="N9:N42" si="3">M9-L9</f>
        <v>0</v>
      </c>
      <c r="P9" s="16">
        <f>$I9*KYZ_EEIO_2017!CD9</f>
        <v>4199.9999999999955</v>
      </c>
      <c r="Q9" s="16">
        <f>$I9*KYZ_EEIO_2017!CE9</f>
        <v>1399.9999999999986</v>
      </c>
      <c r="R9" s="16">
        <f>$I9*KYZ_EEIO_2017!CF9</f>
        <v>2099.9999999999977</v>
      </c>
      <c r="S9" s="16">
        <f>$I9*KYZ_EEIO_2017!CG9</f>
        <v>3299.9999999999968</v>
      </c>
      <c r="T9" s="16">
        <f>$I9*KYZ_EEIO_2017!CH9</f>
        <v>0</v>
      </c>
      <c r="U9" s="16">
        <f>$I9*KYZ_EEIO_2017!CI9</f>
        <v>99.999999999999901</v>
      </c>
      <c r="V9" s="16">
        <f>$I9*KYZ_EEIO_2017!CJ9</f>
        <v>1599.9999999999984</v>
      </c>
      <c r="W9" s="16">
        <f>$I9*KYZ_EEIO_2017!CK9</f>
        <v>0</v>
      </c>
      <c r="X9" s="16">
        <f>$I9*KYZ_EEIO_2017!CL9</f>
        <v>0</v>
      </c>
      <c r="Z9" s="16">
        <f>$I9*KYZ_EEIO_2017!CY9</f>
        <v>147.72395499232411</v>
      </c>
      <c r="AA9" s="16">
        <f>$I9*KYZ_EEIO_2017!CZ9</f>
        <v>181.80786951085585</v>
      </c>
      <c r="AB9" s="16">
        <f>$I9*KYZ_EEIO_2017!DA9</f>
        <v>0.22026194852809924</v>
      </c>
      <c r="AC9" s="16">
        <f>$I9*KYZ_EEIO_2017!DB9</f>
        <v>0</v>
      </c>
      <c r="AD9" s="16">
        <f>$I9*KYZ_EEIO_2017!DC9</f>
        <v>3.0552470335559332</v>
      </c>
    </row>
    <row r="10" spans="1:30">
      <c r="A10" s="14" t="s">
        <v>85</v>
      </c>
      <c r="B10" s="15" t="s">
        <v>86</v>
      </c>
      <c r="D10" s="16">
        <v>389.24915559446572</v>
      </c>
      <c r="E10" s="17">
        <v>0</v>
      </c>
      <c r="F10" s="16">
        <f t="shared" si="0"/>
        <v>389.24915559446572</v>
      </c>
      <c r="H10" s="16">
        <v>643.01734705315471</v>
      </c>
      <c r="I10" s="16">
        <v>643.01734705315482</v>
      </c>
      <c r="J10" s="18">
        <f t="shared" si="1"/>
        <v>1.7680213176615617E-16</v>
      </c>
      <c r="L10" s="16">
        <v>37064.2914625134</v>
      </c>
      <c r="M10" s="16">
        <f t="shared" si="2"/>
        <v>37064.291462513407</v>
      </c>
      <c r="N10" s="19">
        <f t="shared" si="3"/>
        <v>0</v>
      </c>
      <c r="P10" s="16">
        <f>$I10*KYZ_EEIO_2017!CD10</f>
        <v>1314.780609312131</v>
      </c>
      <c r="Q10" s="16">
        <f>$I10*KYZ_EEIO_2017!CE10</f>
        <v>5306.0788875811004</v>
      </c>
      <c r="R10" s="16">
        <f>$I10*KYZ_EEIO_2017!CF10</f>
        <v>1596.5193113075879</v>
      </c>
      <c r="S10" s="16">
        <f>$I10*KYZ_EEIO_2017!CG10</f>
        <v>313.04300221717409</v>
      </c>
      <c r="T10" s="16">
        <f>$I10*KYZ_EEIO_2017!CH10</f>
        <v>3928.689677825535</v>
      </c>
      <c r="U10" s="16">
        <f>$I10*KYZ_EEIO_2017!CI10</f>
        <v>626.08600443434818</v>
      </c>
      <c r="V10" s="16">
        <f>$I10*KYZ_EEIO_2017!CJ10</f>
        <v>11269.548079818267</v>
      </c>
      <c r="W10" s="16">
        <f>$I10*KYZ_EEIO_2017!CK10</f>
        <v>11504.330331481147</v>
      </c>
      <c r="X10" s="16">
        <f>$I10*KYZ_EEIO_2017!CL10</f>
        <v>1205.2155585361202</v>
      </c>
      <c r="Z10" s="16">
        <f>$I10*KYZ_EEIO_2017!CY10</f>
        <v>736.61603633032939</v>
      </c>
      <c r="AA10" s="16">
        <f>$I10*KYZ_EEIO_2017!CZ10</f>
        <v>280.6088639625363</v>
      </c>
      <c r="AB10" s="16">
        <f>$I10*KYZ_EEIO_2017!DA10</f>
        <v>1.1878140347134407</v>
      </c>
      <c r="AC10" s="16">
        <f>$I10*KYZ_EEIO_2017!DB10</f>
        <v>0</v>
      </c>
      <c r="AD10" s="16">
        <f>$I10*KYZ_EEIO_2017!DC10</f>
        <v>16.476133668232656</v>
      </c>
    </row>
    <row r="11" spans="1:30">
      <c r="A11" s="14" t="s">
        <v>87</v>
      </c>
      <c r="B11" s="15" t="s">
        <v>88</v>
      </c>
      <c r="D11" s="16">
        <v>118.23605239566923</v>
      </c>
      <c r="E11" s="17">
        <v>0</v>
      </c>
      <c r="F11" s="16">
        <f t="shared" si="0"/>
        <v>118.23605239566923</v>
      </c>
      <c r="H11" s="16">
        <v>128.31083302728101</v>
      </c>
      <c r="I11" s="16">
        <v>128.31083302728098</v>
      </c>
      <c r="J11" s="18">
        <f t="shared" si="1"/>
        <v>-2.2150670181029127E-16</v>
      </c>
      <c r="L11" s="16">
        <v>8792.7829203866495</v>
      </c>
      <c r="M11" s="16">
        <f t="shared" si="2"/>
        <v>8792.7829203866477</v>
      </c>
      <c r="N11" s="19">
        <f t="shared" si="3"/>
        <v>0</v>
      </c>
      <c r="P11" s="16">
        <f>$I11*KYZ_EEIO_2017!CD11</f>
        <v>311.90615089209399</v>
      </c>
      <c r="Q11" s="16">
        <f>$I11*KYZ_EEIO_2017!CE11</f>
        <v>1258.7641089573792</v>
      </c>
      <c r="R11" s="16">
        <f>$I11*KYZ_EEIO_2017!CF11</f>
        <v>378.74318322611407</v>
      </c>
      <c r="S11" s="16">
        <f>$I11*KYZ_EEIO_2017!CG11</f>
        <v>74.263369260022372</v>
      </c>
      <c r="T11" s="16">
        <f>$I11*KYZ_EEIO_2017!CH11</f>
        <v>932.00528421328079</v>
      </c>
      <c r="U11" s="16">
        <f>$I11*KYZ_EEIO_2017!CI11</f>
        <v>148.52673852004474</v>
      </c>
      <c r="V11" s="16">
        <f>$I11*KYZ_EEIO_2017!CJ11</f>
        <v>2673.481293360805</v>
      </c>
      <c r="W11" s="16">
        <f>$I11*KYZ_EEIO_2017!CK11</f>
        <v>2729.1788203058222</v>
      </c>
      <c r="X11" s="16">
        <f>$I11*KYZ_EEIO_2017!CL11</f>
        <v>285.91397165108611</v>
      </c>
      <c r="Z11" s="16">
        <f>$I11*KYZ_EEIO_2017!CY11</f>
        <v>257.57701674707522</v>
      </c>
      <c r="AA11" s="16">
        <f>$I11*KYZ_EEIO_2017!CZ11</f>
        <v>63.024612753894822</v>
      </c>
      <c r="AB11" s="16">
        <f>$I11*KYZ_EEIO_2017!DA11</f>
        <v>0.48447420597099483</v>
      </c>
      <c r="AC11" s="16">
        <f>$I11*KYZ_EEIO_2017!DB11</f>
        <v>0</v>
      </c>
      <c r="AD11" s="16">
        <f>$I11*KYZ_EEIO_2017!DC11</f>
        <v>6.7201275141648784</v>
      </c>
    </row>
    <row r="12" spans="1:30">
      <c r="A12" s="14" t="s">
        <v>89</v>
      </c>
      <c r="B12" s="15" t="s">
        <v>90</v>
      </c>
      <c r="D12" s="16">
        <v>12.504727948026423</v>
      </c>
      <c r="E12" s="17">
        <v>0</v>
      </c>
      <c r="F12" s="16">
        <f t="shared" si="0"/>
        <v>12.504727948026423</v>
      </c>
      <c r="H12" s="16">
        <v>13.595505515447863</v>
      </c>
      <c r="I12" s="16">
        <v>13.59550551544786</v>
      </c>
      <c r="J12" s="18">
        <f t="shared" si="1"/>
        <v>-2.6131530561800279E-16</v>
      </c>
      <c r="L12" s="16">
        <v>931.66201068023486</v>
      </c>
      <c r="M12" s="16">
        <f t="shared" si="2"/>
        <v>931.66201068023452</v>
      </c>
      <c r="N12" s="19">
        <f t="shared" si="3"/>
        <v>0</v>
      </c>
      <c r="P12" s="16">
        <f>$I12*KYZ_EEIO_2017!CD12</f>
        <v>33.048821324805616</v>
      </c>
      <c r="Q12" s="16">
        <f>$I12*KYZ_EEIO_2017!CE12</f>
        <v>133.37560034653694</v>
      </c>
      <c r="R12" s="16">
        <f>$I12*KYZ_EEIO_2017!CF12</f>
        <v>40.130711608692536</v>
      </c>
      <c r="S12" s="16">
        <f>$I12*KYZ_EEIO_2017!CG12</f>
        <v>7.8687669820965755</v>
      </c>
      <c r="T12" s="16">
        <f>$I12*KYZ_EEIO_2017!CH12</f>
        <v>98.753025625312006</v>
      </c>
      <c r="U12" s="16">
        <f>$I12*KYZ_EEIO_2017!CI12</f>
        <v>15.737533964193151</v>
      </c>
      <c r="V12" s="16">
        <f>$I12*KYZ_EEIO_2017!CJ12</f>
        <v>283.27561135547671</v>
      </c>
      <c r="W12" s="16">
        <f>$I12*KYZ_EEIO_2017!CK12</f>
        <v>289.17718659204917</v>
      </c>
      <c r="X12" s="16">
        <f>$I12*KYZ_EEIO_2017!CL12</f>
        <v>30.294752881071819</v>
      </c>
      <c r="Z12" s="16">
        <f>$I12*KYZ_EEIO_2017!CY12</f>
        <v>33.107264818211064</v>
      </c>
      <c r="AA12" s="16">
        <f>$I12*KYZ_EEIO_2017!CZ12</f>
        <v>6.1392604137122424</v>
      </c>
      <c r="AB12" s="16">
        <f>$I12*KYZ_EEIO_2017!DA12</f>
        <v>6.5430241104568049E-2</v>
      </c>
      <c r="AC12" s="16">
        <f>$I12*KYZ_EEIO_2017!DB12</f>
        <v>0</v>
      </c>
      <c r="AD12" s="16">
        <f>$I12*KYZ_EEIO_2017!DC12</f>
        <v>0.90758095701708841</v>
      </c>
    </row>
    <row r="13" spans="1:30">
      <c r="A13" s="14" t="s">
        <v>91</v>
      </c>
      <c r="B13" s="15" t="s">
        <v>92</v>
      </c>
      <c r="D13" s="16">
        <v>2.8206512366110279</v>
      </c>
      <c r="E13" s="17">
        <v>0</v>
      </c>
      <c r="F13" s="16">
        <f t="shared" si="0"/>
        <v>2.8206512366110279</v>
      </c>
      <c r="H13" s="16">
        <v>3.9497931900125209</v>
      </c>
      <c r="I13" s="16">
        <v>3.9497931900125209</v>
      </c>
      <c r="J13" s="18">
        <f t="shared" si="1"/>
        <v>0</v>
      </c>
      <c r="L13" s="16">
        <v>358.07881352186035</v>
      </c>
      <c r="M13" s="16">
        <f t="shared" si="2"/>
        <v>358.07881352186035</v>
      </c>
      <c r="N13" s="19">
        <f t="shared" si="3"/>
        <v>0</v>
      </c>
      <c r="P13" s="16">
        <f>$I13*KYZ_EEIO_2017!CD13</f>
        <v>12.702120074255182</v>
      </c>
      <c r="Q13" s="16">
        <f>$I13*KYZ_EEIO_2017!CE13</f>
        <v>51.262127442529838</v>
      </c>
      <c r="R13" s="16">
        <f>$I13*KYZ_EEIO_2017!CF13</f>
        <v>15.424002947309864</v>
      </c>
      <c r="S13" s="16">
        <f>$I13*KYZ_EEIO_2017!CG13</f>
        <v>3.0243143033940907</v>
      </c>
      <c r="T13" s="16">
        <f>$I13*KYZ_EEIO_2017!CH13</f>
        <v>37.95514450759584</v>
      </c>
      <c r="U13" s="16">
        <f>$I13*KYZ_EEIO_2017!CI13</f>
        <v>6.0486286067881814</v>
      </c>
      <c r="V13" s="16">
        <f>$I13*KYZ_EEIO_2017!CJ13</f>
        <v>108.87531492218727</v>
      </c>
      <c r="W13" s="16">
        <f>$I13*KYZ_EEIO_2017!CK13</f>
        <v>111.14355064973284</v>
      </c>
      <c r="X13" s="16">
        <f>$I13*KYZ_EEIO_2017!CL13</f>
        <v>11.64361006806725</v>
      </c>
      <c r="Z13" s="16">
        <f>$I13*KYZ_EEIO_2017!CY13</f>
        <v>22.71378944775423</v>
      </c>
      <c r="AA13" s="16">
        <f>$I13*KYZ_EEIO_2017!CZ13</f>
        <v>1.7543551177829022</v>
      </c>
      <c r="AB13" s="16">
        <f>$I13*KYZ_EEIO_2017!DA13</f>
        <v>4.9561495492031871E-2</v>
      </c>
      <c r="AC13" s="16">
        <f>$I13*KYZ_EEIO_2017!DB13</f>
        <v>0</v>
      </c>
      <c r="AD13" s="16">
        <f>$I13*KYZ_EEIO_2017!DC13</f>
        <v>0.68746605163764274</v>
      </c>
    </row>
    <row r="14" spans="1:30">
      <c r="A14" s="14" t="s">
        <v>93</v>
      </c>
      <c r="B14" s="15" t="s">
        <v>94</v>
      </c>
      <c r="D14" s="16">
        <v>26.361180883220065</v>
      </c>
      <c r="E14" s="17">
        <v>0</v>
      </c>
      <c r="F14" s="16">
        <f t="shared" si="0"/>
        <v>26.361180883220065</v>
      </c>
      <c r="H14" s="16">
        <v>39.479936014642256</v>
      </c>
      <c r="I14" s="16">
        <v>39.479936014642227</v>
      </c>
      <c r="J14" s="18">
        <f t="shared" si="1"/>
        <v>-7.1990262141921939E-16</v>
      </c>
      <c r="L14" s="16">
        <v>2820.601283924274</v>
      </c>
      <c r="M14" s="16">
        <f t="shared" si="2"/>
        <v>2820.6012839242721</v>
      </c>
      <c r="N14" s="19">
        <f t="shared" si="3"/>
        <v>0</v>
      </c>
      <c r="P14" s="16">
        <f>$I14*KYZ_EEIO_2017!CD14</f>
        <v>100.05511311217857</v>
      </c>
      <c r="Q14" s="16">
        <f>$I14*KYZ_EEIO_2017!CE14</f>
        <v>403.79384934557777</v>
      </c>
      <c r="R14" s="16">
        <f>$I14*KYZ_EEIO_2017!CF14</f>
        <v>121.49549449335969</v>
      </c>
      <c r="S14" s="16">
        <f>$I14*KYZ_EEIO_2017!CG14</f>
        <v>23.82264597909014</v>
      </c>
      <c r="T14" s="16">
        <f>$I14*KYZ_EEIO_2017!CH14</f>
        <v>298.97420703758121</v>
      </c>
      <c r="U14" s="16">
        <f>$I14*KYZ_EEIO_2017!CI14</f>
        <v>47.64529195818028</v>
      </c>
      <c r="V14" s="16">
        <f>$I14*KYZ_EEIO_2017!CJ14</f>
        <v>857.61525524724493</v>
      </c>
      <c r="W14" s="16">
        <f>$I14*KYZ_EEIO_2017!CK14</f>
        <v>875.48223973156246</v>
      </c>
      <c r="X14" s="16">
        <f>$I14*KYZ_EEIO_2017!CL14</f>
        <v>91.717187019497018</v>
      </c>
      <c r="Z14" s="16">
        <f>$I14*KYZ_EEIO_2017!CY14</f>
        <v>78.993743444401588</v>
      </c>
      <c r="AA14" s="16">
        <f>$I14*KYZ_EEIO_2017!CZ14</f>
        <v>17.757572465338413</v>
      </c>
      <c r="AB14" s="16">
        <f>$I14*KYZ_EEIO_2017!DA14</f>
        <v>0.15893345671873207</v>
      </c>
      <c r="AC14" s="16">
        <f>$I14*KYZ_EEIO_2017!DB14</f>
        <v>0</v>
      </c>
      <c r="AD14" s="16">
        <f>$I14*KYZ_EEIO_2017!DC14</f>
        <v>2.2045613208163823</v>
      </c>
    </row>
    <row r="15" spans="1:30">
      <c r="A15" s="14" t="s">
        <v>95</v>
      </c>
      <c r="B15" s="15" t="s">
        <v>96</v>
      </c>
      <c r="D15" s="16">
        <v>49.222066531133478</v>
      </c>
      <c r="E15" s="17">
        <v>0</v>
      </c>
      <c r="F15" s="16">
        <f t="shared" si="0"/>
        <v>49.222066531133478</v>
      </c>
      <c r="H15" s="16">
        <v>84.707158757927587</v>
      </c>
      <c r="I15" s="16">
        <v>84.70715875792763</v>
      </c>
      <c r="J15" s="18">
        <f t="shared" si="1"/>
        <v>5.0329352053277447E-16</v>
      </c>
      <c r="L15" s="16">
        <v>6285.5448885584701</v>
      </c>
      <c r="M15" s="16">
        <f t="shared" si="2"/>
        <v>6285.5448885584719</v>
      </c>
      <c r="N15" s="19">
        <f t="shared" si="3"/>
        <v>0</v>
      </c>
      <c r="P15" s="16">
        <f>$I15*KYZ_EEIO_2017!CD15</f>
        <v>222.96696395224308</v>
      </c>
      <c r="Q15" s="16">
        <f>$I15*KYZ_EEIO_2017!CE15</f>
        <v>899.83096166440953</v>
      </c>
      <c r="R15" s="16">
        <f>$I15*KYZ_EEIO_2017!CF15</f>
        <v>270.74559908486663</v>
      </c>
      <c r="S15" s="16">
        <f>$I15*KYZ_EEIO_2017!CG15</f>
        <v>53.087372369581693</v>
      </c>
      <c r="T15" s="16">
        <f>$I15*KYZ_EEIO_2017!CH15</f>
        <v>666.24652323825023</v>
      </c>
      <c r="U15" s="16">
        <f>$I15*KYZ_EEIO_2017!CI15</f>
        <v>106.17474473916339</v>
      </c>
      <c r="V15" s="16">
        <f>$I15*KYZ_EEIO_2017!CJ15</f>
        <v>1911.1454053049408</v>
      </c>
      <c r="W15" s="16">
        <f>$I15*KYZ_EEIO_2017!CK15</f>
        <v>1950.960934582127</v>
      </c>
      <c r="X15" s="16">
        <f>$I15*KYZ_EEIO_2017!CL15</f>
        <v>204.3863836228895</v>
      </c>
      <c r="Z15" s="16">
        <f>$I15*KYZ_EEIO_2017!CY15</f>
        <v>8207.6301349422956</v>
      </c>
      <c r="AA15" s="16">
        <f>$I15*KYZ_EEIO_2017!CZ15</f>
        <v>93.403020648539666</v>
      </c>
      <c r="AB15" s="16">
        <f>$I15*KYZ_EEIO_2017!DA15</f>
        <v>0.11881105663179911</v>
      </c>
      <c r="AC15" s="16">
        <f>$I15*KYZ_EEIO_2017!DB15</f>
        <v>0</v>
      </c>
      <c r="AD15" s="16">
        <f>$I15*KYZ_EEIO_2017!DC15</f>
        <v>1.6480246849429916</v>
      </c>
    </row>
    <row r="16" spans="1:30">
      <c r="A16" s="14" t="s">
        <v>97</v>
      </c>
      <c r="B16" s="15" t="s">
        <v>98</v>
      </c>
      <c r="D16" s="16">
        <v>22.504598764785655</v>
      </c>
      <c r="E16" s="17">
        <v>0</v>
      </c>
      <c r="F16" s="16">
        <f t="shared" si="0"/>
        <v>22.504598764785655</v>
      </c>
      <c r="H16" s="16">
        <v>39.147975706403393</v>
      </c>
      <c r="I16" s="16">
        <v>39.147975706403393</v>
      </c>
      <c r="J16" s="18">
        <f t="shared" si="1"/>
        <v>0</v>
      </c>
      <c r="L16" s="16">
        <v>2906.5273018812072</v>
      </c>
      <c r="M16" s="16">
        <f t="shared" si="2"/>
        <v>2906.5273018812072</v>
      </c>
      <c r="N16" s="19">
        <f t="shared" si="3"/>
        <v>0</v>
      </c>
      <c r="P16" s="16">
        <f>$I16*KYZ_EEIO_2017!CD16</f>
        <v>103.10316442484012</v>
      </c>
      <c r="Q16" s="16">
        <f>$I16*KYZ_EEIO_2017!CE16</f>
        <v>416.09491357167616</v>
      </c>
      <c r="R16" s="16">
        <f>$I16*KYZ_EEIO_2017!CF16</f>
        <v>125.19669965873442</v>
      </c>
      <c r="S16" s="16">
        <f>$I16*KYZ_EEIO_2017!CG16</f>
        <v>24.548372482104789</v>
      </c>
      <c r="T16" s="16">
        <f>$I16*KYZ_EEIO_2017!CH16</f>
        <v>308.08207465041511</v>
      </c>
      <c r="U16" s="16">
        <f>$I16*KYZ_EEIO_2017!CI16</f>
        <v>49.096744964209577</v>
      </c>
      <c r="V16" s="16">
        <f>$I16*KYZ_EEIO_2017!CJ16</f>
        <v>883.74140935577225</v>
      </c>
      <c r="W16" s="16">
        <f>$I16*KYZ_EEIO_2017!CK16</f>
        <v>902.152688717351</v>
      </c>
      <c r="X16" s="16">
        <f>$I16*KYZ_EEIO_2017!CL16</f>
        <v>94.511234056103433</v>
      </c>
      <c r="Z16" s="16">
        <f>$I16*KYZ_EEIO_2017!CY16</f>
        <v>128.44982690479492</v>
      </c>
      <c r="AA16" s="16">
        <f>$I16*KYZ_EEIO_2017!CZ16</f>
        <v>39.609975429640187</v>
      </c>
      <c r="AB16" s="16">
        <f>$I16*KYZ_EEIO_2017!DA16</f>
        <v>0.26535046106344179</v>
      </c>
      <c r="AC16" s="16">
        <f>$I16*KYZ_EEIO_2017!DB16</f>
        <v>0</v>
      </c>
      <c r="AD16" s="16">
        <f>$I16*KYZ_EEIO_2017!DC16</f>
        <v>3.6806684696760303</v>
      </c>
    </row>
    <row r="17" spans="1:30">
      <c r="A17" s="14" t="s">
        <v>99</v>
      </c>
      <c r="B17" s="15" t="s">
        <v>100</v>
      </c>
      <c r="D17" s="16">
        <v>26.77508323922747</v>
      </c>
      <c r="E17" s="17">
        <v>0</v>
      </c>
      <c r="F17" s="16">
        <f t="shared" si="0"/>
        <v>26.77508323922747</v>
      </c>
      <c r="H17" s="16">
        <v>76.339825237158536</v>
      </c>
      <c r="I17" s="16">
        <v>76.339825237158465</v>
      </c>
      <c r="J17" s="18">
        <f t="shared" si="1"/>
        <v>-9.3076285353380975E-16</v>
      </c>
      <c r="L17" s="16">
        <v>5805.0952667824095</v>
      </c>
      <c r="M17" s="16">
        <f t="shared" si="2"/>
        <v>5805.0952667824049</v>
      </c>
      <c r="N17" s="19">
        <f t="shared" si="3"/>
        <v>0</v>
      </c>
      <c r="P17" s="16">
        <f>$I17*KYZ_EEIO_2017!CD17</f>
        <v>205.92398750410558</v>
      </c>
      <c r="Q17" s="16">
        <f>$I17*KYZ_EEIO_2017!CE17</f>
        <v>831.0503781415689</v>
      </c>
      <c r="R17" s="16">
        <f>$I17*KYZ_EEIO_2017!CF17</f>
        <v>250.05055625498537</v>
      </c>
      <c r="S17" s="16">
        <f>$I17*KYZ_EEIO_2017!CG17</f>
        <v>49.029520834310858</v>
      </c>
      <c r="T17" s="16">
        <f>$I17*KYZ_EEIO_2017!CH17</f>
        <v>615.32048647060117</v>
      </c>
      <c r="U17" s="16">
        <f>$I17*KYZ_EEIO_2017!CI17</f>
        <v>98.059041668621717</v>
      </c>
      <c r="V17" s="16">
        <f>$I17*KYZ_EEIO_2017!CJ17</f>
        <v>1765.0627500351907</v>
      </c>
      <c r="W17" s="16">
        <f>$I17*KYZ_EEIO_2017!CK17</f>
        <v>1801.8348906609237</v>
      </c>
      <c r="X17" s="16">
        <f>$I17*KYZ_EEIO_2017!CL17</f>
        <v>188.76365521209675</v>
      </c>
      <c r="Z17" s="16">
        <f>$I17*KYZ_EEIO_2017!CY17</f>
        <v>6052.6365861002369</v>
      </c>
      <c r="AA17" s="16">
        <f>$I17*KYZ_EEIO_2017!CZ17</f>
        <v>89.757301569724774</v>
      </c>
      <c r="AB17" s="16">
        <f>$I17*KYZ_EEIO_2017!DA17</f>
        <v>0.47699451487064587</v>
      </c>
      <c r="AC17" s="16">
        <f>$I17*KYZ_EEIO_2017!DB17</f>
        <v>0</v>
      </c>
      <c r="AD17" s="16">
        <f>$I17*KYZ_EEIO_2017!DC17</f>
        <v>6.6163769380941293</v>
      </c>
    </row>
    <row r="18" spans="1:30">
      <c r="A18" s="14" t="s">
        <v>101</v>
      </c>
      <c r="B18" s="15" t="s">
        <v>102</v>
      </c>
      <c r="D18" s="16">
        <v>106.14314202202378</v>
      </c>
      <c r="E18" s="17">
        <v>0</v>
      </c>
      <c r="F18" s="16">
        <f t="shared" si="0"/>
        <v>106.14314202202378</v>
      </c>
      <c r="H18" s="16">
        <v>280.28864204944927</v>
      </c>
      <c r="I18" s="16">
        <v>280.28864204944898</v>
      </c>
      <c r="J18" s="18">
        <f t="shared" si="1"/>
        <v>-1.014015738297015E-15</v>
      </c>
      <c r="L18" s="16">
        <v>21313.937571108421</v>
      </c>
      <c r="M18" s="16">
        <f t="shared" si="2"/>
        <v>21313.937571108399</v>
      </c>
      <c r="N18" s="19">
        <f t="shared" si="3"/>
        <v>0</v>
      </c>
      <c r="P18" s="16">
        <f>$I18*KYZ_EEIO_2017!CD18</f>
        <v>756.06873140756159</v>
      </c>
      <c r="Q18" s="16">
        <f>$I18*KYZ_EEIO_2017!CE18</f>
        <v>3051.2773803233731</v>
      </c>
      <c r="R18" s="16">
        <f>$I18*KYZ_EEIO_2017!CF18</f>
        <v>918.08345956632468</v>
      </c>
      <c r="S18" s="16">
        <f>$I18*KYZ_EEIO_2017!CG18</f>
        <v>180.01636462084798</v>
      </c>
      <c r="T18" s="16">
        <f>$I18*KYZ_EEIO_2017!CH18</f>
        <v>2259.2053759916421</v>
      </c>
      <c r="U18" s="16">
        <f>$I18*KYZ_EEIO_2017!CI18</f>
        <v>360.03272924169596</v>
      </c>
      <c r="V18" s="16">
        <f>$I18*KYZ_EEIO_2017!CJ18</f>
        <v>6480.5891263505264</v>
      </c>
      <c r="W18" s="16">
        <f>$I18*KYZ_EEIO_2017!CK18</f>
        <v>6615.6013998161634</v>
      </c>
      <c r="X18" s="16">
        <f>$I18*KYZ_EEIO_2017!CL18</f>
        <v>693.0630037902647</v>
      </c>
      <c r="Z18" s="16">
        <f>$I18*KYZ_EEIO_2017!CY18</f>
        <v>436.36594477295756</v>
      </c>
      <c r="AA18" s="16">
        <f>$I18*KYZ_EEIO_2017!CZ18</f>
        <v>351.34225869589085</v>
      </c>
      <c r="AB18" s="16">
        <f>$I18*KYZ_EEIO_2017!DA18</f>
        <v>0.80348773115520111</v>
      </c>
      <c r="AC18" s="16">
        <f>$I18*KYZ_EEIO_2017!DB18</f>
        <v>0</v>
      </c>
      <c r="AD18" s="16">
        <f>$I18*KYZ_EEIO_2017!DC18</f>
        <v>11.145154773736802</v>
      </c>
    </row>
    <row r="19" spans="1:30">
      <c r="A19" s="14" t="s">
        <v>103</v>
      </c>
      <c r="B19" s="15" t="s">
        <v>104</v>
      </c>
      <c r="D19" s="16">
        <v>983.22602689122004</v>
      </c>
      <c r="E19" s="17">
        <v>0</v>
      </c>
      <c r="F19" s="16">
        <f t="shared" si="0"/>
        <v>983.22602689122004</v>
      </c>
      <c r="H19" s="16">
        <v>1728.3904192499404</v>
      </c>
      <c r="I19" s="16">
        <v>1728.3904192499392</v>
      </c>
      <c r="J19" s="18">
        <f t="shared" si="1"/>
        <v>-6.5776132785410864E-16</v>
      </c>
      <c r="L19" s="16">
        <v>142341.86516300333</v>
      </c>
      <c r="M19" s="16">
        <f t="shared" si="2"/>
        <v>142341.86516300324</v>
      </c>
      <c r="N19" s="19">
        <f t="shared" si="3"/>
        <v>0</v>
      </c>
      <c r="P19" s="16">
        <f>$I19*KYZ_EEIO_2017!CD19</f>
        <v>5049.2891358497773</v>
      </c>
      <c r="Q19" s="16">
        <f>$I19*KYZ_EEIO_2017!CE19</f>
        <v>20377.488298250886</v>
      </c>
      <c r="R19" s="16">
        <f>$I19*KYZ_EEIO_2017!CF19</f>
        <v>6131.2796649604434</v>
      </c>
      <c r="S19" s="16">
        <f>$I19*KYZ_EEIO_2017!CG19</f>
        <v>1202.2116990118514</v>
      </c>
      <c r="T19" s="16">
        <f>$I19*KYZ_EEIO_2017!CH19</f>
        <v>15087.756822598736</v>
      </c>
      <c r="U19" s="16">
        <f>$I19*KYZ_EEIO_2017!CI19</f>
        <v>2404.4233980237027</v>
      </c>
      <c r="V19" s="16">
        <f>$I19*KYZ_EEIO_2017!CJ19</f>
        <v>43279.621164426651</v>
      </c>
      <c r="W19" s="16">
        <f>$I19*KYZ_EEIO_2017!CK19</f>
        <v>44181.27993868554</v>
      </c>
      <c r="X19" s="16">
        <f>$I19*KYZ_EEIO_2017!CL19</f>
        <v>4628.5150411956283</v>
      </c>
      <c r="Z19" s="16">
        <f>$I19*KYZ_EEIO_2017!CY19</f>
        <v>1297.7736343186716</v>
      </c>
      <c r="AA19" s="16">
        <f>$I19*KYZ_EEIO_2017!CZ19</f>
        <v>2080.1698378172123</v>
      </c>
      <c r="AB19" s="16">
        <f>$I19*KYZ_EEIO_2017!DA19</f>
        <v>1.3834283677618293</v>
      </c>
      <c r="AC19" s="16">
        <f>$I19*KYZ_EEIO_2017!DB19</f>
        <v>0</v>
      </c>
      <c r="AD19" s="16">
        <f>$I19*KYZ_EEIO_2017!DC19</f>
        <v>19.189494349734428</v>
      </c>
    </row>
    <row r="20" spans="1:30">
      <c r="A20" s="14" t="s">
        <v>105</v>
      </c>
      <c r="B20" s="15" t="s">
        <v>106</v>
      </c>
      <c r="D20" s="16">
        <v>17.612921664564048</v>
      </c>
      <c r="E20" s="17">
        <v>0</v>
      </c>
      <c r="F20" s="16">
        <f t="shared" si="0"/>
        <v>17.612921664564048</v>
      </c>
      <c r="H20" s="16">
        <v>34.198262460436275</v>
      </c>
      <c r="I20" s="16">
        <v>34.198262460436297</v>
      </c>
      <c r="J20" s="18">
        <f t="shared" si="1"/>
        <v>6.2331476920687589E-16</v>
      </c>
      <c r="L20" s="16">
        <v>3292.1999130997383</v>
      </c>
      <c r="M20" s="16">
        <f t="shared" si="2"/>
        <v>3292.1999130997406</v>
      </c>
      <c r="N20" s="19">
        <f t="shared" si="3"/>
        <v>0</v>
      </c>
      <c r="P20" s="16">
        <f>$I20*KYZ_EEIO_2017!CD20</f>
        <v>116.78411853901106</v>
      </c>
      <c r="Q20" s="16">
        <f>$I20*KYZ_EEIO_2017!CE20</f>
        <v>471.30733553243749</v>
      </c>
      <c r="R20" s="16">
        <f>$I20*KYZ_EEIO_2017!CF20</f>
        <v>141.80928679737059</v>
      </c>
      <c r="S20" s="16">
        <f>$I20*KYZ_EEIO_2017!CG20</f>
        <v>27.805742509288351</v>
      </c>
      <c r="T20" s="16">
        <f>$I20*KYZ_EEIO_2017!CH20</f>
        <v>348.9620684915688</v>
      </c>
      <c r="U20" s="16">
        <f>$I20*KYZ_EEIO_2017!CI20</f>
        <v>55.611485018576701</v>
      </c>
      <c r="V20" s="16">
        <f>$I20*KYZ_EEIO_2017!CJ20</f>
        <v>1001.0067303343804</v>
      </c>
      <c r="W20" s="16">
        <f>$I20*KYZ_EEIO_2017!CK20</f>
        <v>1021.8610372163469</v>
      </c>
      <c r="X20" s="16">
        <f>$I20*KYZ_EEIO_2017!CL20</f>
        <v>107.05210866076014</v>
      </c>
      <c r="Z20" s="16">
        <f>$I20*KYZ_EEIO_2017!CY20</f>
        <v>4162.2653296406697</v>
      </c>
      <c r="AA20" s="16">
        <f>$I20*KYZ_EEIO_2017!CZ20</f>
        <v>42.03774571733512</v>
      </c>
      <c r="AB20" s="16">
        <f>$I20*KYZ_EEIO_2017!DA20</f>
        <v>4.6555571596233233E-2</v>
      </c>
      <c r="AC20" s="16">
        <f>$I20*KYZ_EEIO_2017!DB20</f>
        <v>0</v>
      </c>
      <c r="AD20" s="16">
        <f>$I20*KYZ_EEIO_2017!DC20</f>
        <v>0.64577096936353851</v>
      </c>
    </row>
    <row r="21" spans="1:30">
      <c r="A21" s="14" t="s">
        <v>107</v>
      </c>
      <c r="B21" s="15" t="s">
        <v>108</v>
      </c>
      <c r="D21" s="16">
        <v>3.9748556530802475</v>
      </c>
      <c r="E21" s="17">
        <v>0</v>
      </c>
      <c r="F21" s="16">
        <f t="shared" si="0"/>
        <v>3.9748556530802475</v>
      </c>
      <c r="H21" s="16">
        <v>7.8271879553734518</v>
      </c>
      <c r="I21" s="16">
        <v>7.8271879553734545</v>
      </c>
      <c r="J21" s="18">
        <f t="shared" si="1"/>
        <v>3.4042050277726402E-16</v>
      </c>
      <c r="L21" s="16">
        <v>760.67818907555591</v>
      </c>
      <c r="M21" s="16">
        <f t="shared" si="2"/>
        <v>760.67818907555625</v>
      </c>
      <c r="N21" s="19">
        <f t="shared" si="3"/>
        <v>0</v>
      </c>
      <c r="P21" s="16">
        <f>$I21*KYZ_EEIO_2017!CD21</f>
        <v>26.983516842207234</v>
      </c>
      <c r="Q21" s="16">
        <f>$I21*KYZ_EEIO_2017!CE21</f>
        <v>108.89776439890775</v>
      </c>
      <c r="R21" s="16">
        <f>$I21*KYZ_EEIO_2017!CF21</f>
        <v>32.765699022680209</v>
      </c>
      <c r="S21" s="16">
        <f>$I21*KYZ_EEIO_2017!CG21</f>
        <v>6.4246468671921981</v>
      </c>
      <c r="T21" s="16">
        <f>$I21*KYZ_EEIO_2017!CH21</f>
        <v>80.629318183262086</v>
      </c>
      <c r="U21" s="16">
        <f>$I21*KYZ_EEIO_2017!CI21</f>
        <v>12.849293734384396</v>
      </c>
      <c r="V21" s="16">
        <f>$I21*KYZ_EEIO_2017!CJ21</f>
        <v>231.28728721891912</v>
      </c>
      <c r="W21" s="16">
        <f>$I21*KYZ_EEIO_2017!CK21</f>
        <v>236.10577236931329</v>
      </c>
      <c r="X21" s="16">
        <f>$I21*KYZ_EEIO_2017!CL21</f>
        <v>24.734890438689963</v>
      </c>
      <c r="Z21" s="16">
        <f>$I21*KYZ_EEIO_2017!CY21</f>
        <v>9.6804775115505528</v>
      </c>
      <c r="AA21" s="16">
        <f>$I21*KYZ_EEIO_2017!CZ21</f>
        <v>9.0456519472375838</v>
      </c>
      <c r="AB21" s="16">
        <f>$I21*KYZ_EEIO_2017!DA21</f>
        <v>1.584871530511299E-2</v>
      </c>
      <c r="AC21" s="16">
        <f>$I21*KYZ_EEIO_2017!DB21</f>
        <v>0</v>
      </c>
      <c r="AD21" s="16">
        <f>$I21*KYZ_EEIO_2017!DC21</f>
        <v>0.21983706557213958</v>
      </c>
    </row>
    <row r="22" spans="1:30">
      <c r="A22" s="14" t="s">
        <v>109</v>
      </c>
      <c r="B22" s="15" t="s">
        <v>110</v>
      </c>
      <c r="D22" s="16">
        <v>10.202422670443507</v>
      </c>
      <c r="E22" s="17">
        <v>0</v>
      </c>
      <c r="F22" s="16">
        <f t="shared" si="0"/>
        <v>10.202422670443507</v>
      </c>
      <c r="H22" s="16">
        <v>19.937445092155528</v>
      </c>
      <c r="I22" s="16">
        <v>19.937445092155521</v>
      </c>
      <c r="J22" s="18">
        <f t="shared" si="1"/>
        <v>-3.5638605271427994E-16</v>
      </c>
      <c r="L22" s="16">
        <v>1941.9327993840261</v>
      </c>
      <c r="M22" s="16">
        <f t="shared" si="2"/>
        <v>1941.9327993840254</v>
      </c>
      <c r="N22" s="19">
        <f t="shared" si="3"/>
        <v>0</v>
      </c>
      <c r="P22" s="16">
        <f>$I22*KYZ_EEIO_2017!CD22</f>
        <v>68.886129707879292</v>
      </c>
      <c r="Q22" s="16">
        <f>$I22*KYZ_EEIO_2017!CE22</f>
        <v>278.0047377496557</v>
      </c>
      <c r="R22" s="16">
        <f>$I22*KYZ_EEIO_2017!CF22</f>
        <v>83.647443216710556</v>
      </c>
      <c r="S22" s="16">
        <f>$I22*KYZ_EEIO_2017!CG22</f>
        <v>16.401459454256972</v>
      </c>
      <c r="T22" s="16">
        <f>$I22*KYZ_EEIO_2017!CH22</f>
        <v>205.83831615092504</v>
      </c>
      <c r="U22" s="16">
        <f>$I22*KYZ_EEIO_2017!CI22</f>
        <v>32.802918908513945</v>
      </c>
      <c r="V22" s="16">
        <f>$I22*KYZ_EEIO_2017!CJ22</f>
        <v>590.45254035325104</v>
      </c>
      <c r="W22" s="16">
        <f>$I22*KYZ_EEIO_2017!CK22</f>
        <v>602.75363494394378</v>
      </c>
      <c r="X22" s="16">
        <f>$I22*KYZ_EEIO_2017!CL22</f>
        <v>63.145618898889353</v>
      </c>
      <c r="Z22" s="16">
        <f>$I22*KYZ_EEIO_2017!CY22</f>
        <v>15.437026854359223</v>
      </c>
      <c r="AA22" s="16">
        <f>$I22*KYZ_EEIO_2017!CZ22</f>
        <v>21.672981230071347</v>
      </c>
      <c r="AB22" s="16">
        <f>$I22*KYZ_EEIO_2017!DA22</f>
        <v>1.9811354752179135E-2</v>
      </c>
      <c r="AC22" s="16">
        <f>$I22*KYZ_EEIO_2017!DB22</f>
        <v>0</v>
      </c>
      <c r="AD22" s="16">
        <f>$I22*KYZ_EEIO_2017!DC22</f>
        <v>0.27480272122262545</v>
      </c>
    </row>
    <row r="23" spans="1:30">
      <c r="A23" s="14" t="s">
        <v>111</v>
      </c>
      <c r="B23" s="15" t="s">
        <v>112</v>
      </c>
      <c r="D23" s="16">
        <v>16.549527825748481</v>
      </c>
      <c r="E23" s="17">
        <v>0</v>
      </c>
      <c r="F23" s="16">
        <f t="shared" si="0"/>
        <v>16.549527825748481</v>
      </c>
      <c r="H23" s="16">
        <v>28.147399663737804</v>
      </c>
      <c r="I23" s="16">
        <v>28.147399663737811</v>
      </c>
      <c r="J23" s="18">
        <f t="shared" si="1"/>
        <v>2.5243636863389903E-16</v>
      </c>
      <c r="L23" s="16">
        <v>2184.8024160804448</v>
      </c>
      <c r="M23" s="16">
        <f t="shared" si="2"/>
        <v>2184.8024160804453</v>
      </c>
      <c r="N23" s="19">
        <f t="shared" si="3"/>
        <v>0</v>
      </c>
      <c r="P23" s="16">
        <f>$I23*KYZ_EEIO_2017!CD23</f>
        <v>77.501437056907676</v>
      </c>
      <c r="Q23" s="16">
        <f>$I23*KYZ_EEIO_2017!CE23</f>
        <v>312.77365669394885</v>
      </c>
      <c r="R23" s="16">
        <f>$I23*KYZ_EEIO_2017!CF23</f>
        <v>94.108887854816473</v>
      </c>
      <c r="S23" s="16">
        <f>$I23*KYZ_EEIO_2017!CG23</f>
        <v>18.452723108787541</v>
      </c>
      <c r="T23" s="16">
        <f>$I23*KYZ_EEIO_2017!CH23</f>
        <v>231.58167501528365</v>
      </c>
      <c r="U23" s="16">
        <f>$I23*KYZ_EEIO_2017!CI23</f>
        <v>36.905446217575083</v>
      </c>
      <c r="V23" s="16">
        <f>$I23*KYZ_EEIO_2017!CJ23</f>
        <v>664.29803191635165</v>
      </c>
      <c r="W23" s="16">
        <f>$I23*KYZ_EEIO_2017!CK23</f>
        <v>678.13757424794233</v>
      </c>
      <c r="X23" s="16">
        <f>$I23*KYZ_EEIO_2017!CL23</f>
        <v>71.042983968832047</v>
      </c>
      <c r="Z23" s="16">
        <f>$I23*KYZ_EEIO_2017!CY23</f>
        <v>2873.8376886987207</v>
      </c>
      <c r="AA23" s="16">
        <f>$I23*KYZ_EEIO_2017!CZ23</f>
        <v>31.9682495538352</v>
      </c>
      <c r="AB23" s="16">
        <f>$I23*KYZ_EEIO_2017!DA23</f>
        <v>7.0442352445093184E-2</v>
      </c>
      <c r="AC23" s="16">
        <f>$I23*KYZ_EEIO_2017!DB23</f>
        <v>0</v>
      </c>
      <c r="AD23" s="16">
        <f>$I23*KYZ_EEIO_2017!DC23</f>
        <v>0.97710380654839524</v>
      </c>
    </row>
    <row r="24" spans="1:30">
      <c r="A24" s="14" t="s">
        <v>113</v>
      </c>
      <c r="B24" s="15" t="s">
        <v>114</v>
      </c>
      <c r="D24" s="16">
        <v>246.98473110027399</v>
      </c>
      <c r="E24" s="17">
        <v>0</v>
      </c>
      <c r="F24" s="16">
        <f t="shared" si="0"/>
        <v>246.98473110027399</v>
      </c>
      <c r="H24" s="16">
        <v>358.57144050723031</v>
      </c>
      <c r="I24" s="16">
        <v>358.57144050723031</v>
      </c>
      <c r="J24" s="18">
        <f t="shared" si="1"/>
        <v>0</v>
      </c>
      <c r="L24" s="16">
        <v>38800</v>
      </c>
      <c r="M24" s="16">
        <f t="shared" si="2"/>
        <v>38800</v>
      </c>
      <c r="N24" s="19">
        <f t="shared" si="3"/>
        <v>0</v>
      </c>
      <c r="P24" s="16">
        <f>$I24*KYZ_EEIO_2017!CD24</f>
        <v>2200</v>
      </c>
      <c r="Q24" s="16">
        <f>$I24*KYZ_EEIO_2017!CE24</f>
        <v>5200</v>
      </c>
      <c r="R24" s="16">
        <f>$I24*KYZ_EEIO_2017!CF24</f>
        <v>2300</v>
      </c>
      <c r="S24" s="16">
        <f>$I24*KYZ_EEIO_2017!CG24</f>
        <v>1300</v>
      </c>
      <c r="T24" s="16">
        <f>$I24*KYZ_EEIO_2017!CH24</f>
        <v>8800</v>
      </c>
      <c r="U24" s="16">
        <f>$I24*KYZ_EEIO_2017!CI24</f>
        <v>1800</v>
      </c>
      <c r="V24" s="16">
        <f>$I24*KYZ_EEIO_2017!CJ24</f>
        <v>6100</v>
      </c>
      <c r="W24" s="16">
        <f>$I24*KYZ_EEIO_2017!CK24</f>
        <v>9300</v>
      </c>
      <c r="X24" s="16">
        <f>$I24*KYZ_EEIO_2017!CL24</f>
        <v>1800</v>
      </c>
      <c r="Z24" s="16">
        <f>$I24*KYZ_EEIO_2017!CY24</f>
        <v>252288.19067019684</v>
      </c>
      <c r="AA24" s="16">
        <f>$I24*KYZ_EEIO_2017!CZ24</f>
        <v>2977.6219434453242</v>
      </c>
      <c r="AB24" s="16">
        <f>$I24*KYZ_EEIO_2017!DA24</f>
        <v>0.68518741636044134</v>
      </c>
      <c r="AC24" s="16">
        <f>$I24*KYZ_EEIO_2017!DB24</f>
        <v>0</v>
      </c>
      <c r="AD24" s="16">
        <f>$I24*KYZ_EEIO_2017!DC24</f>
        <v>9.5042145738487882</v>
      </c>
    </row>
    <row r="25" spans="1:30">
      <c r="A25" s="14" t="s">
        <v>115</v>
      </c>
      <c r="B25" s="15" t="s">
        <v>116</v>
      </c>
      <c r="D25" s="16">
        <v>1580.6553108343908</v>
      </c>
      <c r="E25" s="17">
        <v>0</v>
      </c>
      <c r="F25" s="16">
        <f t="shared" si="0"/>
        <v>1580.6553108343908</v>
      </c>
      <c r="H25" s="16">
        <v>1972.3872867580462</v>
      </c>
      <c r="I25" s="16">
        <v>1972.3872867580446</v>
      </c>
      <c r="J25" s="18">
        <f t="shared" si="1"/>
        <v>-8.0694888817637608E-16</v>
      </c>
      <c r="L25" s="16">
        <v>255600</v>
      </c>
      <c r="M25" s="16">
        <f t="shared" si="2"/>
        <v>255599.9999999998</v>
      </c>
      <c r="N25" s="19">
        <f t="shared" si="3"/>
        <v>0</v>
      </c>
      <c r="P25" s="16">
        <f>$I25*KYZ_EEIO_2017!CD25</f>
        <v>28199.999999999978</v>
      </c>
      <c r="Q25" s="16">
        <f>$I25*KYZ_EEIO_2017!CE25</f>
        <v>40399.999999999971</v>
      </c>
      <c r="R25" s="16">
        <f>$I25*KYZ_EEIO_2017!CF25</f>
        <v>17499.999999999989</v>
      </c>
      <c r="S25" s="16">
        <f>$I25*KYZ_EEIO_2017!CG25</f>
        <v>3699.9999999999968</v>
      </c>
      <c r="T25" s="16">
        <f>$I25*KYZ_EEIO_2017!CH25</f>
        <v>64799.999999999942</v>
      </c>
      <c r="U25" s="16">
        <f>$I25*KYZ_EEIO_2017!CI25</f>
        <v>7499.9999999999936</v>
      </c>
      <c r="V25" s="16">
        <f>$I25*KYZ_EEIO_2017!CJ25</f>
        <v>35299.999999999971</v>
      </c>
      <c r="W25" s="16">
        <f>$I25*KYZ_EEIO_2017!CK25</f>
        <v>36399.999999999971</v>
      </c>
      <c r="X25" s="16">
        <f>$I25*KYZ_EEIO_2017!CL25</f>
        <v>21799.999999999982</v>
      </c>
      <c r="Z25" s="16">
        <f>$I25*KYZ_EEIO_2017!CY25</f>
        <v>1428.7879507021655</v>
      </c>
      <c r="AA25" s="16">
        <f>$I25*KYZ_EEIO_2017!CZ25</f>
        <v>12556.871139841141</v>
      </c>
      <c r="AB25" s="16">
        <f>$I25*KYZ_EEIO_2017!DA25</f>
        <v>2.086045267844415</v>
      </c>
      <c r="AC25" s="16">
        <f>$I25*KYZ_EEIO_2017!DB25</f>
        <v>0</v>
      </c>
      <c r="AD25" s="16">
        <f>$I25*KYZ_EEIO_2017!DC25</f>
        <v>28.935472781545723</v>
      </c>
    </row>
    <row r="26" spans="1:30">
      <c r="A26" s="14" t="s">
        <v>117</v>
      </c>
      <c r="B26" s="15" t="s">
        <v>118</v>
      </c>
      <c r="D26" s="16">
        <v>5.7557077887215868</v>
      </c>
      <c r="E26" s="17">
        <v>0</v>
      </c>
      <c r="F26" s="16">
        <f t="shared" si="0"/>
        <v>5.7557077887215868</v>
      </c>
      <c r="H26" s="16">
        <v>26.125838310126756</v>
      </c>
      <c r="I26" s="16">
        <v>26.125838310126806</v>
      </c>
      <c r="J26" s="18">
        <f t="shared" si="1"/>
        <v>1.9037854752368974E-15</v>
      </c>
      <c r="L26" s="16">
        <v>5849.9906578949249</v>
      </c>
      <c r="M26" s="16">
        <f t="shared" si="2"/>
        <v>5849.9906578949358</v>
      </c>
      <c r="N26" s="19">
        <f t="shared" si="3"/>
        <v>1.0913936421275139E-11</v>
      </c>
      <c r="P26" s="16">
        <f>$I26*KYZ_EEIO_2017!CD26</f>
        <v>399.17227544178417</v>
      </c>
      <c r="Q26" s="16">
        <f>$I26*KYZ_EEIO_2017!CE26</f>
        <v>706.11156299739855</v>
      </c>
      <c r="R26" s="16">
        <f>$I26*KYZ_EEIO_2017!CF26</f>
        <v>290.30710941220667</v>
      </c>
      <c r="S26" s="16">
        <f>$I26*KYZ_EEIO_2017!CG26</f>
        <v>66.528712573630699</v>
      </c>
      <c r="T26" s="16">
        <f>$I26*KYZ_EEIO_2017!CH26</f>
        <v>1564.9367616751765</v>
      </c>
      <c r="U26" s="16">
        <f>$I26*KYZ_EEIO_2017!CI26</f>
        <v>169.34581382378724</v>
      </c>
      <c r="V26" s="16">
        <f>$I26*KYZ_EEIO_2017!CJ26</f>
        <v>728.79180592022715</v>
      </c>
      <c r="W26" s="16">
        <f>$I26*KYZ_EEIO_2017!CK26</f>
        <v>1542.256518752348</v>
      </c>
      <c r="X26" s="16">
        <f>$I26*KYZ_EEIO_2017!CL26</f>
        <v>382.54009729837645</v>
      </c>
      <c r="Z26" s="16">
        <f>$I26*KYZ_EEIO_2017!CY26</f>
        <v>53.232881113496042</v>
      </c>
      <c r="AA26" s="16">
        <f>$I26*KYZ_EEIO_2017!CZ26</f>
        <v>11.498623083081032</v>
      </c>
      <c r="AB26" s="16">
        <f>$I26*KYZ_EEIO_2017!DA26</f>
        <v>0.10636736676369554</v>
      </c>
      <c r="AC26" s="16">
        <f>$I26*KYZ_EEIO_2017!DB26</f>
        <v>0</v>
      </c>
      <c r="AD26" s="16">
        <f>$I26*KYZ_EEIO_2017!DC26</f>
        <v>1.4754186274279624</v>
      </c>
    </row>
    <row r="27" spans="1:30">
      <c r="A27" s="14" t="s">
        <v>119</v>
      </c>
      <c r="B27" s="15" t="s">
        <v>120</v>
      </c>
      <c r="D27" s="16">
        <v>191.58751869728388</v>
      </c>
      <c r="E27" s="17">
        <v>0</v>
      </c>
      <c r="F27" s="16">
        <f t="shared" si="0"/>
        <v>191.58751869728388</v>
      </c>
      <c r="H27" s="16">
        <v>371.81284322832039</v>
      </c>
      <c r="I27" s="16">
        <v>371.81284322832067</v>
      </c>
      <c r="J27" s="18">
        <f t="shared" si="1"/>
        <v>7.644090285754597E-16</v>
      </c>
      <c r="L27" s="16">
        <v>72522.382559905294</v>
      </c>
      <c r="M27" s="16">
        <f t="shared" si="2"/>
        <v>72522.382559905338</v>
      </c>
      <c r="N27" s="19">
        <f t="shared" si="3"/>
        <v>0</v>
      </c>
      <c r="P27" s="16">
        <f>$I27*KYZ_EEIO_2017!CD27</f>
        <v>4948.5419994352569</v>
      </c>
      <c r="Q27" s="16">
        <f>$I27*KYZ_EEIO_2017!CE27</f>
        <v>8753.6708853646396</v>
      </c>
      <c r="R27" s="16">
        <f>$I27*KYZ_EEIO_2017!CF27</f>
        <v>3598.9396359529142</v>
      </c>
      <c r="S27" s="16">
        <f>$I27*KYZ_EEIO_2017!CG27</f>
        <v>824.75699990587611</v>
      </c>
      <c r="T27" s="16">
        <f>$I27*KYZ_EEIO_2017!CH27</f>
        <v>19400.533975058679</v>
      </c>
      <c r="U27" s="16">
        <f>$I27*KYZ_EEIO_2017!CI27</f>
        <v>2099.381454305867</v>
      </c>
      <c r="V27" s="16">
        <f>$I27*KYZ_EEIO_2017!CJ27</f>
        <v>9034.8380444234626</v>
      </c>
      <c r="W27" s="16">
        <f>$I27*KYZ_EEIO_2017!CK27</f>
        <v>19119.366815999856</v>
      </c>
      <c r="X27" s="16">
        <f>$I27*KYZ_EEIO_2017!CL27</f>
        <v>4742.3527494587879</v>
      </c>
      <c r="Z27" s="16">
        <f>$I27*KYZ_EEIO_2017!CY27</f>
        <v>785.1685069141306</v>
      </c>
      <c r="AA27" s="16">
        <f>$I27*KYZ_EEIO_2017!CZ27</f>
        <v>144.60640407897972</v>
      </c>
      <c r="AB27" s="16">
        <f>$I27*KYZ_EEIO_2017!DA27</f>
        <v>1.6601253954200097</v>
      </c>
      <c r="AC27" s="16">
        <f>$I27*KYZ_EEIO_2017!DB27</f>
        <v>0</v>
      </c>
      <c r="AD27" s="16">
        <f>$I27*KYZ_EEIO_2017!DC27</f>
        <v>23.027550712150344</v>
      </c>
    </row>
    <row r="28" spans="1:30">
      <c r="A28" s="14" t="s">
        <v>121</v>
      </c>
      <c r="B28" s="15" t="s">
        <v>122</v>
      </c>
      <c r="D28" s="16">
        <v>912.58859400265567</v>
      </c>
      <c r="E28" s="17">
        <v>0</v>
      </c>
      <c r="F28" s="16">
        <f t="shared" si="0"/>
        <v>912.58859400265567</v>
      </c>
      <c r="H28" s="16">
        <v>1686.8461875126563</v>
      </c>
      <c r="I28" s="16">
        <v>1686.8461875126584</v>
      </c>
      <c r="J28" s="18">
        <f t="shared" si="1"/>
        <v>1.213129622687507E-15</v>
      </c>
      <c r="L28" s="16">
        <v>308527.62678219983</v>
      </c>
      <c r="M28" s="16">
        <f t="shared" si="2"/>
        <v>308527.62678220024</v>
      </c>
      <c r="N28" s="19">
        <f t="shared" si="3"/>
        <v>0</v>
      </c>
      <c r="P28" s="16">
        <f>$I28*KYZ_EEIO_2017!CD28</f>
        <v>21052.285725122991</v>
      </c>
      <c r="Q28" s="16">
        <f>$I28*KYZ_EEIO_2017!CE28</f>
        <v>37240.217551638016</v>
      </c>
      <c r="R28" s="16">
        <f>$I28*KYZ_EEIO_2017!CF28</f>
        <v>15310.753254634903</v>
      </c>
      <c r="S28" s="16">
        <f>$I28*KYZ_EEIO_2017!CG28</f>
        <v>3508.7142875204986</v>
      </c>
      <c r="T28" s="16">
        <f>$I28*KYZ_EEIO_2017!CH28</f>
        <v>82534.529263266275</v>
      </c>
      <c r="U28" s="16">
        <f>$I28*KYZ_EEIO_2017!CI28</f>
        <v>8931.2727318703601</v>
      </c>
      <c r="V28" s="16">
        <f>$I28*KYZ_EEIO_2017!CJ28</f>
        <v>38436.370149656366</v>
      </c>
      <c r="W28" s="16">
        <f>$I28*KYZ_EEIO_2017!CK28</f>
        <v>81338.376665247924</v>
      </c>
      <c r="X28" s="16">
        <f>$I28*KYZ_EEIO_2017!CL28</f>
        <v>20175.107153242865</v>
      </c>
      <c r="Z28" s="16">
        <f>$I28*KYZ_EEIO_2017!CY28</f>
        <v>863.19586081913292</v>
      </c>
      <c r="AA28" s="16">
        <f>$I28*KYZ_EEIO_2017!CZ28</f>
        <v>621.45712286362607</v>
      </c>
      <c r="AB28" s="16">
        <f>$I28*KYZ_EEIO_2017!DA28</f>
        <v>1.675364200711503</v>
      </c>
      <c r="AC28" s="16">
        <f>$I28*KYZ_EEIO_2017!DB28</f>
        <v>0</v>
      </c>
      <c r="AD28" s="16">
        <f>$I28*KYZ_EEIO_2017!DC28</f>
        <v>23.23892773379616</v>
      </c>
    </row>
    <row r="29" spans="1:30">
      <c r="A29" s="14" t="s">
        <v>123</v>
      </c>
      <c r="B29" s="15" t="s">
        <v>124</v>
      </c>
      <c r="D29" s="16">
        <v>215.43934665663056</v>
      </c>
      <c r="E29" s="17">
        <v>0</v>
      </c>
      <c r="F29" s="16">
        <f t="shared" si="0"/>
        <v>215.43934665663056</v>
      </c>
      <c r="H29" s="16">
        <v>309.10548489822537</v>
      </c>
      <c r="I29" s="16">
        <v>309.10548489822548</v>
      </c>
      <c r="J29" s="18">
        <f t="shared" si="1"/>
        <v>3.6779301331080564E-16</v>
      </c>
      <c r="L29" s="16">
        <v>115700</v>
      </c>
      <c r="M29" s="16">
        <f t="shared" si="2"/>
        <v>115700.00000000003</v>
      </c>
      <c r="N29" s="19">
        <f t="shared" si="3"/>
        <v>0</v>
      </c>
      <c r="P29" s="16">
        <f>$I29*KYZ_EEIO_2017!CD29</f>
        <v>10200.000000000004</v>
      </c>
      <c r="Q29" s="16">
        <f>$I29*KYZ_EEIO_2017!CE29</f>
        <v>10900.000000000004</v>
      </c>
      <c r="R29" s="16">
        <f>$I29*KYZ_EEIO_2017!CF29</f>
        <v>12100.000000000005</v>
      </c>
      <c r="S29" s="16">
        <f>$I29*KYZ_EEIO_2017!CG29</f>
        <v>300.00000000000011</v>
      </c>
      <c r="T29" s="16">
        <f>$I29*KYZ_EEIO_2017!CH29</f>
        <v>36200.000000000015</v>
      </c>
      <c r="U29" s="16">
        <f>$I29*KYZ_EEIO_2017!CI29</f>
        <v>2400.0000000000009</v>
      </c>
      <c r="V29" s="16">
        <f>$I29*KYZ_EEIO_2017!CJ29</f>
        <v>15800.000000000005</v>
      </c>
      <c r="W29" s="16">
        <f>$I29*KYZ_EEIO_2017!CK29</f>
        <v>21200.000000000007</v>
      </c>
      <c r="X29" s="16">
        <f>$I29*KYZ_EEIO_2017!CL29</f>
        <v>6600.0000000000027</v>
      </c>
      <c r="Z29" s="16">
        <f>$I29*KYZ_EEIO_2017!CY29</f>
        <v>450.56904224606637</v>
      </c>
      <c r="AA29" s="16">
        <f>$I29*KYZ_EEIO_2017!CZ29</f>
        <v>146.66766168670415</v>
      </c>
      <c r="AB29" s="16">
        <f>$I29*KYZ_EEIO_2017!DA29</f>
        <v>0.92919785018800449</v>
      </c>
      <c r="AC29" s="16">
        <f>$I29*KYZ_EEIO_2017!DB29</f>
        <v>0</v>
      </c>
      <c r="AD29" s="16">
        <f>$I29*KYZ_EEIO_2017!DC29</f>
        <v>12.88887615107647</v>
      </c>
    </row>
    <row r="30" spans="1:30">
      <c r="A30" s="14" t="s">
        <v>125</v>
      </c>
      <c r="B30" s="15" t="s">
        <v>126</v>
      </c>
      <c r="D30" s="16">
        <v>340.59444010176287</v>
      </c>
      <c r="E30" s="17">
        <v>0</v>
      </c>
      <c r="F30" s="16">
        <f t="shared" si="0"/>
        <v>340.59444010176287</v>
      </c>
      <c r="H30" s="16">
        <v>494.98646345062889</v>
      </c>
      <c r="I30" s="16">
        <v>494.98646345062872</v>
      </c>
      <c r="J30" s="18">
        <f t="shared" si="1"/>
        <v>-3.4451499015474216E-16</v>
      </c>
      <c r="L30" s="16">
        <v>138583.55701764338</v>
      </c>
      <c r="M30" s="16">
        <f t="shared" si="2"/>
        <v>138583.55701764335</v>
      </c>
      <c r="N30" s="19">
        <f t="shared" si="3"/>
        <v>0</v>
      </c>
      <c r="P30" s="16">
        <f>$I30*KYZ_EEIO_2017!CD30</f>
        <v>11390.429343915892</v>
      </c>
      <c r="Q30" s="16">
        <f>$I30*KYZ_EEIO_2017!CE30</f>
        <v>18472.939897504621</v>
      </c>
      <c r="R30" s="16">
        <f>$I30*KYZ_EEIO_2017!CF30</f>
        <v>6352.3548264146311</v>
      </c>
      <c r="S30" s="16">
        <f>$I30*KYZ_EEIO_2017!CG30</f>
        <v>2044.4360360874673</v>
      </c>
      <c r="T30" s="16">
        <f>$I30*KYZ_EEIO_2017!CH30</f>
        <v>31688.758559355745</v>
      </c>
      <c r="U30" s="16">
        <f>$I30*KYZ_EEIO_2017!CI30</f>
        <v>3723.7942085878872</v>
      </c>
      <c r="V30" s="16">
        <f>$I30*KYZ_EEIO_2017!CJ30</f>
        <v>28184.011068920088</v>
      </c>
      <c r="W30" s="16">
        <f>$I30*KYZ_EEIO_2017!CK30</f>
        <v>29936.384814137917</v>
      </c>
      <c r="X30" s="16">
        <f>$I30*KYZ_EEIO_2017!CL30</f>
        <v>6790.4482627190882</v>
      </c>
      <c r="Z30" s="16">
        <f>$I30*KYZ_EEIO_2017!CY30</f>
        <v>260.49153068137986</v>
      </c>
      <c r="AA30" s="16">
        <f>$I30*KYZ_EEIO_2017!CZ30</f>
        <v>46.311048376278571</v>
      </c>
      <c r="AB30" s="16">
        <f>$I30*KYZ_EEIO_2017!DA30</f>
        <v>0.30924277108994497</v>
      </c>
      <c r="AC30" s="16">
        <f>$I30*KYZ_EEIO_2017!DB30</f>
        <v>0</v>
      </c>
      <c r="AD30" s="16">
        <f>$I30*KYZ_EEIO_2017!DC30</f>
        <v>4.2894974158491062</v>
      </c>
    </row>
    <row r="31" spans="1:30">
      <c r="A31" s="14" t="s">
        <v>127</v>
      </c>
      <c r="B31" s="15" t="s">
        <v>128</v>
      </c>
      <c r="D31" s="16">
        <v>3.2747720171593424</v>
      </c>
      <c r="E31" s="17">
        <v>0</v>
      </c>
      <c r="F31" s="16">
        <f t="shared" si="0"/>
        <v>3.2747720171593424</v>
      </c>
      <c r="H31" s="16">
        <v>4.6249417908365444</v>
      </c>
      <c r="I31" s="16">
        <v>4.6249417908365462</v>
      </c>
      <c r="J31" s="18">
        <f t="shared" si="1"/>
        <v>3.8408198843059358E-16</v>
      </c>
      <c r="L31" s="16">
        <v>1247.9599782886737</v>
      </c>
      <c r="M31" s="16">
        <f t="shared" si="2"/>
        <v>1247.9599782886742</v>
      </c>
      <c r="N31" s="19">
        <f t="shared" si="3"/>
        <v>0</v>
      </c>
      <c r="P31" s="16">
        <f>$I31*KYZ_EEIO_2017!CD31</f>
        <v>102.57205301002803</v>
      </c>
      <c r="Q31" s="16">
        <f>$I31*KYZ_EEIO_2017!CE31</f>
        <v>166.35082956113519</v>
      </c>
      <c r="R31" s="16">
        <f>$I31*KYZ_EEIO_2017!CF31</f>
        <v>57.203644947900244</v>
      </c>
      <c r="S31" s="16">
        <f>$I31*KYZ_EEIO_2017!CG31</f>
        <v>18.41036848897939</v>
      </c>
      <c r="T31" s="16">
        <f>$I31*KYZ_EEIO_2017!CH31</f>
        <v>285.36071157918053</v>
      </c>
      <c r="U31" s="16">
        <f>$I31*KYZ_EEIO_2017!CI31</f>
        <v>33.533171176355317</v>
      </c>
      <c r="V31" s="16">
        <f>$I31*KYZ_EEIO_2017!CJ31</f>
        <v>253.8000798837873</v>
      </c>
      <c r="W31" s="16">
        <f>$I31*KYZ_EEIO_2017!CK31</f>
        <v>269.58039573148392</v>
      </c>
      <c r="X31" s="16">
        <f>$I31*KYZ_EEIO_2017!CL31</f>
        <v>61.148723909824398</v>
      </c>
      <c r="Z31" s="16">
        <f>$I31*KYZ_EEIO_2017!CY31</f>
        <v>2685.5473578226693</v>
      </c>
      <c r="AA31" s="16">
        <f>$I31*KYZ_EEIO_2017!CZ31</f>
        <v>0.44518107523862854</v>
      </c>
      <c r="AB31" s="16">
        <f>$I31*KYZ_EEIO_2017!DA31</f>
        <v>1.8702939015904925E-2</v>
      </c>
      <c r="AC31" s="16">
        <f>$I31*KYZ_EEIO_2017!DB31</f>
        <v>0</v>
      </c>
      <c r="AD31" s="16">
        <f>$I31*KYZ_EEIO_2017!DC31</f>
        <v>0.25942791902538404</v>
      </c>
    </row>
    <row r="32" spans="1:30">
      <c r="A32" s="14" t="s">
        <v>129</v>
      </c>
      <c r="B32" s="15" t="s">
        <v>130</v>
      </c>
      <c r="D32" s="16">
        <v>17.650366735072559</v>
      </c>
      <c r="E32" s="17">
        <v>0</v>
      </c>
      <c r="F32" s="16">
        <f t="shared" si="0"/>
        <v>17.650366735072559</v>
      </c>
      <c r="H32" s="16">
        <v>25.6915287789394</v>
      </c>
      <c r="I32" s="16">
        <v>25.691528778939411</v>
      </c>
      <c r="J32" s="18">
        <f t="shared" si="1"/>
        <v>4.1485040178451746E-16</v>
      </c>
      <c r="L32" s="16">
        <v>7273.0920225455538</v>
      </c>
      <c r="M32" s="16">
        <f t="shared" si="2"/>
        <v>7273.0920225455584</v>
      </c>
      <c r="N32" s="19">
        <f t="shared" si="3"/>
        <v>0</v>
      </c>
      <c r="P32" s="16">
        <f>$I32*KYZ_EEIO_2017!CD32</f>
        <v>597.78838541470327</v>
      </c>
      <c r="Q32" s="16">
        <f>$I32*KYZ_EEIO_2017!CE32</f>
        <v>969.4901378841023</v>
      </c>
      <c r="R32" s="16">
        <f>$I32*KYZ_EEIO_2017!CF32</f>
        <v>333.38198417358461</v>
      </c>
      <c r="S32" s="16">
        <f>$I32*KYZ_EEIO_2017!CG32</f>
        <v>107.29535122828008</v>
      </c>
      <c r="T32" s="16">
        <f>$I32*KYZ_EEIO_2017!CH32</f>
        <v>1663.0779440383412</v>
      </c>
      <c r="U32" s="16">
        <f>$I32*KYZ_EEIO_2017!CI32</f>
        <v>195.43081830865302</v>
      </c>
      <c r="V32" s="16">
        <f>$I32*KYZ_EEIO_2017!CJ32</f>
        <v>1479.1430562184328</v>
      </c>
      <c r="W32" s="16">
        <f>$I32*KYZ_EEIO_2017!CK32</f>
        <v>1571.110500128387</v>
      </c>
      <c r="X32" s="16">
        <f>$I32*KYZ_EEIO_2017!CL32</f>
        <v>356.37384515107317</v>
      </c>
      <c r="Z32" s="16">
        <f>$I32*KYZ_EEIO_2017!CY32</f>
        <v>2514.5133850622647</v>
      </c>
      <c r="AA32" s="16">
        <f>$I32*KYZ_EEIO_2017!CZ32</f>
        <v>2.4468433288990483</v>
      </c>
      <c r="AB32" s="16">
        <f>$I32*KYZ_EEIO_2017!DA32</f>
        <v>9.3386396787507722E-2</v>
      </c>
      <c r="AC32" s="16">
        <f>$I32*KYZ_EEIO_2017!DB32</f>
        <v>0</v>
      </c>
      <c r="AD32" s="16">
        <f>$I32*KYZ_EEIO_2017!DC32</f>
        <v>1.295359973277961</v>
      </c>
    </row>
    <row r="33" spans="1:30">
      <c r="A33" s="14" t="s">
        <v>131</v>
      </c>
      <c r="B33" s="15" t="s">
        <v>132</v>
      </c>
      <c r="D33" s="16">
        <v>103.69672587079467</v>
      </c>
      <c r="E33" s="17">
        <v>0</v>
      </c>
      <c r="F33" s="16">
        <f t="shared" si="0"/>
        <v>103.69672587079467</v>
      </c>
      <c r="H33" s="16">
        <v>150.9709246971882</v>
      </c>
      <c r="I33" s="16">
        <v>150.97092469718811</v>
      </c>
      <c r="J33" s="18">
        <f t="shared" si="1"/>
        <v>-5.6477847282338382E-16</v>
      </c>
      <c r="L33" s="16">
        <v>42695.390981522381</v>
      </c>
      <c r="M33" s="16">
        <f t="shared" si="2"/>
        <v>42695.39098152236</v>
      </c>
      <c r="N33" s="19">
        <f t="shared" si="3"/>
        <v>0</v>
      </c>
      <c r="P33" s="16">
        <f>$I33*KYZ_EEIO_2017!CD33</f>
        <v>3509.2102176593717</v>
      </c>
      <c r="Q33" s="16">
        <f>$I33*KYZ_EEIO_2017!CE33</f>
        <v>5691.2191350501353</v>
      </c>
      <c r="R33" s="16">
        <f>$I33*KYZ_EEIO_2017!CF33</f>
        <v>1957.0595444638805</v>
      </c>
      <c r="S33" s="16">
        <f>$I33*KYZ_EEIO_2017!CG33</f>
        <v>629.85824419527194</v>
      </c>
      <c r="T33" s="16">
        <f>$I33*KYZ_EEIO_2017!CH33</f>
        <v>9762.8027850267135</v>
      </c>
      <c r="U33" s="16">
        <f>$I33*KYZ_EEIO_2017!CI33</f>
        <v>1147.2418019271024</v>
      </c>
      <c r="V33" s="16">
        <f>$I33*KYZ_EEIO_2017!CJ33</f>
        <v>8683.0457949776755</v>
      </c>
      <c r="W33" s="16">
        <f>$I33*KYZ_EEIO_2017!CK33</f>
        <v>9222.9242900021945</v>
      </c>
      <c r="X33" s="16">
        <f>$I33*KYZ_EEIO_2017!CL33</f>
        <v>2092.02916822001</v>
      </c>
      <c r="Z33" s="16">
        <f>$I33*KYZ_EEIO_2017!CY33</f>
        <v>217.0118957294664</v>
      </c>
      <c r="AA33" s="16">
        <f>$I33*KYZ_EEIO_2017!CZ33</f>
        <v>70.642919211411424</v>
      </c>
      <c r="AB33" s="16">
        <f>$I33*KYZ_EEIO_2017!DA33</f>
        <v>0.41658452714299526</v>
      </c>
      <c r="AC33" s="16">
        <f>$I33*KYZ_EEIO_2017!DB33</f>
        <v>0</v>
      </c>
      <c r="AD33" s="16">
        <f>$I33*KYZ_EEIO_2017!DC33</f>
        <v>5.7784317685565538</v>
      </c>
    </row>
    <row r="34" spans="1:30">
      <c r="A34" s="14" t="s">
        <v>133</v>
      </c>
      <c r="B34" s="15" t="s">
        <v>134</v>
      </c>
      <c r="D34" s="16">
        <v>336.8727924300556</v>
      </c>
      <c r="E34" s="17">
        <v>0</v>
      </c>
      <c r="F34" s="16">
        <f t="shared" si="0"/>
        <v>336.8727924300556</v>
      </c>
      <c r="H34" s="16">
        <v>518.3540690597988</v>
      </c>
      <c r="I34" s="16">
        <v>518.35406905979892</v>
      </c>
      <c r="J34" s="18">
        <f t="shared" si="1"/>
        <v>2.1932274579771997E-16</v>
      </c>
      <c r="L34" s="16">
        <v>27700</v>
      </c>
      <c r="M34" s="16">
        <f t="shared" si="2"/>
        <v>27700.000000000007</v>
      </c>
      <c r="N34" s="19">
        <f t="shared" si="3"/>
        <v>0</v>
      </c>
      <c r="P34" s="16">
        <f>$I34*KYZ_EEIO_2017!CD34</f>
        <v>1200.0000000000002</v>
      </c>
      <c r="Q34" s="16">
        <f>$I34*KYZ_EEIO_2017!CE34</f>
        <v>3100.0000000000009</v>
      </c>
      <c r="R34" s="16">
        <f>$I34*KYZ_EEIO_2017!CF34</f>
        <v>1900.0000000000005</v>
      </c>
      <c r="S34" s="16">
        <f>$I34*KYZ_EEIO_2017!CG34</f>
        <v>500.00000000000011</v>
      </c>
      <c r="T34" s="16">
        <f>$I34*KYZ_EEIO_2017!CH34</f>
        <v>3900.0000000000009</v>
      </c>
      <c r="U34" s="16">
        <f>$I34*KYZ_EEIO_2017!CI34</f>
        <v>300.00000000000006</v>
      </c>
      <c r="V34" s="16">
        <f>$I34*KYZ_EEIO_2017!CJ34</f>
        <v>2700.0000000000005</v>
      </c>
      <c r="W34" s="16">
        <f>$I34*KYZ_EEIO_2017!CK34</f>
        <v>12700.000000000004</v>
      </c>
      <c r="X34" s="16">
        <f>$I34*KYZ_EEIO_2017!CL34</f>
        <v>1400.0000000000002</v>
      </c>
      <c r="Z34" s="16">
        <f>$I34*KYZ_EEIO_2017!CY34</f>
        <v>480.98371719342714</v>
      </c>
      <c r="AA34" s="16">
        <f>$I34*KYZ_EEIO_2017!CZ34</f>
        <v>227.95505198118585</v>
      </c>
      <c r="AB34" s="16">
        <f>$I34*KYZ_EEIO_2017!DA34</f>
        <v>0.90596728551579164</v>
      </c>
      <c r="AC34" s="16">
        <f>$I34*KYZ_EEIO_2017!DB34</f>
        <v>0</v>
      </c>
      <c r="AD34" s="16">
        <f>$I34*KYZ_EEIO_2017!DC34</f>
        <v>12.566645669248359</v>
      </c>
    </row>
    <row r="35" spans="1:30">
      <c r="A35" s="14" t="s">
        <v>135</v>
      </c>
      <c r="B35" s="15" t="s">
        <v>136</v>
      </c>
      <c r="D35" s="16">
        <v>218.24471426752748</v>
      </c>
      <c r="E35" s="17">
        <v>0</v>
      </c>
      <c r="F35" s="16">
        <f t="shared" si="0"/>
        <v>218.24471426752748</v>
      </c>
      <c r="H35" s="16">
        <v>1592.6661745555984</v>
      </c>
      <c r="I35" s="16">
        <v>1592.6661745556048</v>
      </c>
      <c r="J35" s="18">
        <f t="shared" si="1"/>
        <v>3.9973617912661024E-15</v>
      </c>
      <c r="L35" s="16">
        <v>31700</v>
      </c>
      <c r="M35" s="16">
        <f t="shared" si="2"/>
        <v>31700.000000000131</v>
      </c>
      <c r="N35" s="19">
        <f t="shared" si="3"/>
        <v>1.3096723705530167E-10</v>
      </c>
      <c r="P35" s="16">
        <f>$I35*KYZ_EEIO_2017!CD35</f>
        <v>1000.0000000000041</v>
      </c>
      <c r="Q35" s="16">
        <f>$I35*KYZ_EEIO_2017!CE35</f>
        <v>6400.0000000000255</v>
      </c>
      <c r="R35" s="16">
        <f>$I35*KYZ_EEIO_2017!CF35</f>
        <v>5800.0000000000236</v>
      </c>
      <c r="S35" s="16">
        <f>$I35*KYZ_EEIO_2017!CG35</f>
        <v>400.00000000000159</v>
      </c>
      <c r="T35" s="16">
        <f>$I35*KYZ_EEIO_2017!CH35</f>
        <v>2800.0000000000114</v>
      </c>
      <c r="U35" s="16">
        <f>$I35*KYZ_EEIO_2017!CI35</f>
        <v>700.00000000000284</v>
      </c>
      <c r="V35" s="16">
        <f>$I35*KYZ_EEIO_2017!CJ35</f>
        <v>1500.0000000000059</v>
      </c>
      <c r="W35" s="16">
        <f>$I35*KYZ_EEIO_2017!CK35</f>
        <v>9900.00000000004</v>
      </c>
      <c r="X35" s="16">
        <f>$I35*KYZ_EEIO_2017!CL35</f>
        <v>3200.0000000000127</v>
      </c>
      <c r="Z35" s="16">
        <f>$I35*KYZ_EEIO_2017!CY35</f>
        <v>556813.4472896388</v>
      </c>
      <c r="AA35" s="16">
        <f>$I35*KYZ_EEIO_2017!CZ35</f>
        <v>729.25985779137648</v>
      </c>
      <c r="AB35" s="16">
        <f>$I35*KYZ_EEIO_2017!DA35</f>
        <v>2.3936109701300259</v>
      </c>
      <c r="AC35" s="16">
        <f>$I35*KYZ_EEIO_2017!DB35</f>
        <v>0</v>
      </c>
      <c r="AD35" s="16">
        <f>$I35*KYZ_EEIO_2017!DC35</f>
        <v>33.201707625154135</v>
      </c>
    </row>
    <row r="36" spans="1:30">
      <c r="A36" s="14" t="s">
        <v>137</v>
      </c>
      <c r="B36" s="15" t="s">
        <v>138</v>
      </c>
      <c r="D36" s="16">
        <v>158.49740264750483</v>
      </c>
      <c r="E36" s="17">
        <v>0</v>
      </c>
      <c r="F36" s="16">
        <f t="shared" si="0"/>
        <v>158.49740264750483</v>
      </c>
      <c r="H36" s="16">
        <v>273.7316117257742</v>
      </c>
      <c r="I36" s="16">
        <v>273.73161172577431</v>
      </c>
      <c r="J36" s="18">
        <f t="shared" si="1"/>
        <v>4.1532228230734315E-16</v>
      </c>
      <c r="L36" s="16">
        <v>9000</v>
      </c>
      <c r="M36" s="16">
        <f t="shared" si="2"/>
        <v>9000.0000000000036</v>
      </c>
      <c r="N36" s="19">
        <f t="shared" si="3"/>
        <v>0</v>
      </c>
      <c r="P36" s="16">
        <f>$I36*KYZ_EEIO_2017!CD36</f>
        <v>200.00000000000009</v>
      </c>
      <c r="Q36" s="16">
        <f>$I36*KYZ_EEIO_2017!CE36</f>
        <v>500.00000000000017</v>
      </c>
      <c r="R36" s="16">
        <f>$I36*KYZ_EEIO_2017!CF36</f>
        <v>0</v>
      </c>
      <c r="S36" s="16">
        <f>$I36*KYZ_EEIO_2017!CG36</f>
        <v>0</v>
      </c>
      <c r="T36" s="16">
        <f>$I36*KYZ_EEIO_2017!CH36</f>
        <v>0</v>
      </c>
      <c r="U36" s="16">
        <f>$I36*KYZ_EEIO_2017!CI36</f>
        <v>0</v>
      </c>
      <c r="V36" s="16">
        <f>$I36*KYZ_EEIO_2017!CJ36</f>
        <v>400.00000000000017</v>
      </c>
      <c r="W36" s="16">
        <f>$I36*KYZ_EEIO_2017!CK36</f>
        <v>7900.0000000000027</v>
      </c>
      <c r="X36" s="16">
        <f>$I36*KYZ_EEIO_2017!CL36</f>
        <v>0</v>
      </c>
      <c r="Z36" s="16">
        <f>$I36*KYZ_EEIO_2017!CY36</f>
        <v>92.08163117107155</v>
      </c>
      <c r="AA36" s="16">
        <f>$I36*KYZ_EEIO_2017!CZ36</f>
        <v>124.21290116688728</v>
      </c>
      <c r="AB36" s="16">
        <f>$I36*KYZ_EEIO_2017!DA36</f>
        <v>0.1453037857132779</v>
      </c>
      <c r="AC36" s="16">
        <f>$I36*KYZ_EEIO_2017!DB36</f>
        <v>0</v>
      </c>
      <c r="AD36" s="16">
        <f>$I36*KYZ_EEIO_2017!DC36</f>
        <v>2.0155045536987295</v>
      </c>
    </row>
    <row r="37" spans="1:30">
      <c r="A37" s="14" t="s">
        <v>139</v>
      </c>
      <c r="B37" s="15" t="s">
        <v>140</v>
      </c>
      <c r="D37" s="16">
        <v>116.82814520527259</v>
      </c>
      <c r="E37" s="17">
        <v>0</v>
      </c>
      <c r="F37" s="16">
        <f t="shared" si="0"/>
        <v>116.82814520527259</v>
      </c>
      <c r="H37" s="16">
        <v>205.87631948621203</v>
      </c>
      <c r="I37" s="16">
        <v>205.87631948621194</v>
      </c>
      <c r="J37" s="18">
        <f t="shared" si="1"/>
        <v>-4.1415704586132552E-16</v>
      </c>
      <c r="L37" s="16">
        <v>41500</v>
      </c>
      <c r="M37" s="16">
        <f t="shared" si="2"/>
        <v>41499.999999999985</v>
      </c>
      <c r="N37" s="19">
        <f t="shared" si="3"/>
        <v>0</v>
      </c>
      <c r="P37" s="16">
        <f>$I37*KYZ_EEIO_2017!CD37</f>
        <v>3499.9999999999986</v>
      </c>
      <c r="Q37" s="16">
        <f>$I37*KYZ_EEIO_2017!CE37</f>
        <v>6799.9999999999973</v>
      </c>
      <c r="R37" s="16">
        <f>$I37*KYZ_EEIO_2017!CF37</f>
        <v>3799.9999999999982</v>
      </c>
      <c r="S37" s="16">
        <f>$I37*KYZ_EEIO_2017!CG37</f>
        <v>899.99999999999955</v>
      </c>
      <c r="T37" s="16">
        <f>$I37*KYZ_EEIO_2017!CH37</f>
        <v>6899.9999999999973</v>
      </c>
      <c r="U37" s="16">
        <f>$I37*KYZ_EEIO_2017!CI37</f>
        <v>499.99999999999977</v>
      </c>
      <c r="V37" s="16">
        <f>$I37*KYZ_EEIO_2017!CJ37</f>
        <v>5499.9999999999982</v>
      </c>
      <c r="W37" s="16">
        <f>$I37*KYZ_EEIO_2017!CK37</f>
        <v>11599.999999999995</v>
      </c>
      <c r="X37" s="16">
        <f>$I37*KYZ_EEIO_2017!CL37</f>
        <v>1999.9999999999991</v>
      </c>
      <c r="Z37" s="16">
        <f>$I37*KYZ_EEIO_2017!CY37</f>
        <v>179.46376126782206</v>
      </c>
      <c r="AA37" s="16">
        <f>$I37*KYZ_EEIO_2017!CZ37</f>
        <v>92.549438249408709</v>
      </c>
      <c r="AB37" s="16">
        <f>$I37*KYZ_EEIO_2017!DA37</f>
        <v>0.28825826280504258</v>
      </c>
      <c r="AC37" s="16">
        <f>$I37*KYZ_EEIO_2017!DB37</f>
        <v>0</v>
      </c>
      <c r="AD37" s="16">
        <f>$I37*KYZ_EEIO_2017!DC37</f>
        <v>3.9984219163517492</v>
      </c>
    </row>
    <row r="38" spans="1:30">
      <c r="A38" s="14" t="s">
        <v>141</v>
      </c>
      <c r="B38" s="15" t="s">
        <v>142</v>
      </c>
      <c r="D38" s="16">
        <v>604.5026208929404</v>
      </c>
      <c r="E38" s="17">
        <v>0</v>
      </c>
      <c r="F38" s="16">
        <f t="shared" si="0"/>
        <v>604.5026208929404</v>
      </c>
      <c r="H38" s="16">
        <v>609.42890026017676</v>
      </c>
      <c r="I38" s="16">
        <v>609.42890026017687</v>
      </c>
      <c r="J38" s="18">
        <f t="shared" si="1"/>
        <v>1.8654651539019721E-16</v>
      </c>
      <c r="L38" s="16">
        <v>94100</v>
      </c>
      <c r="M38" s="16">
        <f t="shared" si="2"/>
        <v>94100.000000000015</v>
      </c>
      <c r="N38" s="19">
        <f t="shared" si="3"/>
        <v>0</v>
      </c>
      <c r="P38" s="16">
        <f>$I38*KYZ_EEIO_2017!CD38</f>
        <v>4400.0000000000009</v>
      </c>
      <c r="Q38" s="16">
        <f>$I38*KYZ_EEIO_2017!CE38</f>
        <v>13900.000000000004</v>
      </c>
      <c r="R38" s="16">
        <f>$I38*KYZ_EEIO_2017!CF38</f>
        <v>7000.0000000000009</v>
      </c>
      <c r="S38" s="16">
        <f>$I38*KYZ_EEIO_2017!CG38</f>
        <v>3900.0000000000009</v>
      </c>
      <c r="T38" s="16">
        <f>$I38*KYZ_EEIO_2017!CH38</f>
        <v>13500.000000000004</v>
      </c>
      <c r="U38" s="16">
        <f>$I38*KYZ_EEIO_2017!CI38</f>
        <v>3400.0000000000009</v>
      </c>
      <c r="V38" s="16">
        <f>$I38*KYZ_EEIO_2017!CJ38</f>
        <v>11300.000000000002</v>
      </c>
      <c r="W38" s="16">
        <f>$I38*KYZ_EEIO_2017!CK38</f>
        <v>33000.000000000007</v>
      </c>
      <c r="X38" s="16">
        <f>$I38*KYZ_EEIO_2017!CL38</f>
        <v>3700.0000000000009</v>
      </c>
      <c r="Z38" s="16">
        <f>$I38*KYZ_EEIO_2017!CY38</f>
        <v>160.52704118681564</v>
      </c>
      <c r="AA38" s="16">
        <f>$I38*KYZ_EEIO_2017!CZ38</f>
        <v>265.46135559339166</v>
      </c>
      <c r="AB38" s="16">
        <f>$I38*KYZ_EEIO_2017!DA38</f>
        <v>0.20337751973500356</v>
      </c>
      <c r="AC38" s="16">
        <f>$I38*KYZ_EEIO_2017!DB38</f>
        <v>0</v>
      </c>
      <c r="AD38" s="16">
        <f>$I38*KYZ_EEIO_2017!DC38</f>
        <v>2.8210436165421626</v>
      </c>
    </row>
    <row r="39" spans="1:30">
      <c r="A39" s="14" t="s">
        <v>143</v>
      </c>
      <c r="B39" s="15" t="s">
        <v>144</v>
      </c>
      <c r="D39" s="16">
        <v>574.73734083916247</v>
      </c>
      <c r="E39" s="17">
        <v>0</v>
      </c>
      <c r="F39" s="16">
        <f t="shared" si="0"/>
        <v>574.73734083916247</v>
      </c>
      <c r="H39" s="16">
        <v>593.04897564706414</v>
      </c>
      <c r="I39" s="16">
        <v>593.04897564706391</v>
      </c>
      <c r="J39" s="18">
        <f t="shared" si="1"/>
        <v>-3.83397804869571E-16</v>
      </c>
      <c r="L39" s="16">
        <v>206200</v>
      </c>
      <c r="M39" s="16">
        <f t="shared" si="2"/>
        <v>206199.99999999994</v>
      </c>
      <c r="N39" s="19">
        <f t="shared" si="3"/>
        <v>0</v>
      </c>
      <c r="P39" s="16">
        <f>$I39*KYZ_EEIO_2017!CD39</f>
        <v>16399.999999999993</v>
      </c>
      <c r="Q39" s="16">
        <f>$I39*KYZ_EEIO_2017!CE39</f>
        <v>36699.999999999985</v>
      </c>
      <c r="R39" s="16">
        <f>$I39*KYZ_EEIO_2017!CF39</f>
        <v>13399.999999999995</v>
      </c>
      <c r="S39" s="16">
        <f>$I39*KYZ_EEIO_2017!CG39</f>
        <v>17099.999999999993</v>
      </c>
      <c r="T39" s="16">
        <f>$I39*KYZ_EEIO_2017!CH39</f>
        <v>32899.999999999985</v>
      </c>
      <c r="U39" s="16">
        <f>$I39*KYZ_EEIO_2017!CI39</f>
        <v>10699.999999999996</v>
      </c>
      <c r="V39" s="16">
        <f>$I39*KYZ_EEIO_2017!CJ39</f>
        <v>26999.999999999989</v>
      </c>
      <c r="W39" s="16">
        <f>$I39*KYZ_EEIO_2017!CK39</f>
        <v>42999.999999999985</v>
      </c>
      <c r="X39" s="16">
        <f>$I39*KYZ_EEIO_2017!CL39</f>
        <v>8999.9999999999964</v>
      </c>
      <c r="Z39" s="16">
        <f>$I39*KYZ_EEIO_2017!CY39</f>
        <v>243.87956824438831</v>
      </c>
      <c r="AA39" s="16">
        <f>$I39*KYZ_EEIO_2017!CZ39</f>
        <v>262.3252185196676</v>
      </c>
      <c r="AB39" s="16">
        <f>$I39*KYZ_EEIO_2017!DA39</f>
        <v>0.32032845503983348</v>
      </c>
      <c r="AC39" s="16">
        <f>$I39*KYZ_EEIO_2017!DB39</f>
        <v>0</v>
      </c>
      <c r="AD39" s="16">
        <f>$I39*KYZ_EEIO_2017!DC39</f>
        <v>4.4432666130670944</v>
      </c>
    </row>
    <row r="40" spans="1:30">
      <c r="A40" s="14" t="s">
        <v>145</v>
      </c>
      <c r="B40" s="15" t="s">
        <v>146</v>
      </c>
      <c r="D40" s="16">
        <v>321.36775252927322</v>
      </c>
      <c r="E40" s="17">
        <v>0</v>
      </c>
      <c r="F40" s="16">
        <f t="shared" si="0"/>
        <v>321.36775252927322</v>
      </c>
      <c r="H40" s="16">
        <v>332.9210060847268</v>
      </c>
      <c r="I40" s="16">
        <v>332.9210060847268</v>
      </c>
      <c r="J40" s="18">
        <f t="shared" si="1"/>
        <v>0</v>
      </c>
      <c r="L40" s="16">
        <v>92100</v>
      </c>
      <c r="M40" s="16">
        <f t="shared" si="2"/>
        <v>92100</v>
      </c>
      <c r="N40" s="19">
        <f t="shared" si="3"/>
        <v>0</v>
      </c>
      <c r="P40" s="16">
        <f>$I40*KYZ_EEIO_2017!CD40</f>
        <v>5100</v>
      </c>
      <c r="Q40" s="16">
        <f>$I40*KYZ_EEIO_2017!CE40</f>
        <v>15500</v>
      </c>
      <c r="R40" s="16">
        <f>$I40*KYZ_EEIO_2017!CF40</f>
        <v>8100</v>
      </c>
      <c r="S40" s="16">
        <f>$I40*KYZ_EEIO_2017!CG40</f>
        <v>3200</v>
      </c>
      <c r="T40" s="16">
        <f>$I40*KYZ_EEIO_2017!CH40</f>
        <v>14800</v>
      </c>
      <c r="U40" s="16">
        <f>$I40*KYZ_EEIO_2017!CI40</f>
        <v>3400</v>
      </c>
      <c r="V40" s="16">
        <f>$I40*KYZ_EEIO_2017!CJ40</f>
        <v>17400</v>
      </c>
      <c r="W40" s="16">
        <f>$I40*KYZ_EEIO_2017!CK40</f>
        <v>20900</v>
      </c>
      <c r="X40" s="16">
        <f>$I40*KYZ_EEIO_2017!CL40</f>
        <v>3700</v>
      </c>
      <c r="Z40" s="16">
        <f>$I40*KYZ_EEIO_2017!CY40</f>
        <v>270.22344613905341</v>
      </c>
      <c r="AA40" s="16">
        <f>$I40*KYZ_EEIO_2017!CZ40</f>
        <v>144.99473849482735</v>
      </c>
      <c r="AB40" s="16">
        <f>$I40*KYZ_EEIO_2017!DA40</f>
        <v>0.49903368130320325</v>
      </c>
      <c r="AC40" s="16">
        <f>$I40*KYZ_EEIO_2017!DB40</f>
        <v>0</v>
      </c>
      <c r="AD40" s="16">
        <f>$I40*KYZ_EEIO_2017!DC40</f>
        <v>6.9220815698522848</v>
      </c>
    </row>
    <row r="41" spans="1:30">
      <c r="A41" s="14" t="s">
        <v>147</v>
      </c>
      <c r="B41" s="15" t="s">
        <v>148</v>
      </c>
      <c r="D41" s="16">
        <v>171.62248337730134</v>
      </c>
      <c r="E41" s="17">
        <v>0</v>
      </c>
      <c r="F41" s="16">
        <f t="shared" si="0"/>
        <v>171.62248337730134</v>
      </c>
      <c r="H41" s="16">
        <v>229.81577302654119</v>
      </c>
      <c r="I41" s="16">
        <v>229.81577302654122</v>
      </c>
      <c r="J41" s="18">
        <f t="shared" si="1"/>
        <v>1.2367170910902454E-16</v>
      </c>
      <c r="L41" s="16">
        <v>71200</v>
      </c>
      <c r="M41" s="16">
        <f t="shared" si="2"/>
        <v>71200</v>
      </c>
      <c r="N41" s="19">
        <f t="shared" si="3"/>
        <v>0</v>
      </c>
      <c r="P41" s="16">
        <f>$I41*KYZ_EEIO_2017!CD41</f>
        <v>5400.0000000000009</v>
      </c>
      <c r="Q41" s="16">
        <f>$I41*KYZ_EEIO_2017!CE41</f>
        <v>8200.0000000000018</v>
      </c>
      <c r="R41" s="16">
        <f>$I41*KYZ_EEIO_2017!CF41</f>
        <v>3800.0000000000009</v>
      </c>
      <c r="S41" s="16">
        <f>$I41*KYZ_EEIO_2017!CG41</f>
        <v>2900.0000000000005</v>
      </c>
      <c r="T41" s="16">
        <f>$I41*KYZ_EEIO_2017!CH41</f>
        <v>5100</v>
      </c>
      <c r="U41" s="16">
        <f>$I41*KYZ_EEIO_2017!CI41</f>
        <v>1800.0000000000002</v>
      </c>
      <c r="V41" s="16">
        <f>$I41*KYZ_EEIO_2017!CJ41</f>
        <v>8300</v>
      </c>
      <c r="W41" s="16">
        <f>$I41*KYZ_EEIO_2017!CK41</f>
        <v>30900.000000000007</v>
      </c>
      <c r="X41" s="16">
        <f>$I41*KYZ_EEIO_2017!CL41</f>
        <v>4800</v>
      </c>
      <c r="Z41" s="16">
        <f>$I41*KYZ_EEIO_2017!CY41</f>
        <v>481.27813205409637</v>
      </c>
      <c r="AA41" s="16">
        <f>$I41*KYZ_EEIO_2017!CZ41</f>
        <v>100.88186870018269</v>
      </c>
      <c r="AB41" s="16">
        <f>$I41*KYZ_EEIO_2017!DA41</f>
        <v>1.023467647276997</v>
      </c>
      <c r="AC41" s="16">
        <f>$I41*KYZ_EEIO_2017!DB41</f>
        <v>0</v>
      </c>
      <c r="AD41" s="16">
        <f>$I41*KYZ_EEIO_2017!DC41</f>
        <v>14.196489744049481</v>
      </c>
    </row>
    <row r="42" spans="1:30">
      <c r="A42" s="20" t="s">
        <v>149</v>
      </c>
      <c r="B42" s="20"/>
      <c r="D42" s="16">
        <f>SUM(D8:D41)</f>
        <v>9443.3367321322949</v>
      </c>
      <c r="E42" s="18">
        <f>AVERAGE(E8:E41)</f>
        <v>0</v>
      </c>
      <c r="F42" s="16">
        <f t="shared" ref="F42" si="4">SUM(F8:F41)</f>
        <v>9443.3367321322949</v>
      </c>
      <c r="H42" s="16">
        <f t="shared" ref="H42:I42" si="5">SUM(H8:H41)</f>
        <v>16084.194346969558</v>
      </c>
      <c r="I42" s="16">
        <f t="shared" si="5"/>
        <v>16084.194346969567</v>
      </c>
      <c r="J42" s="18">
        <f>AVERAGE(J8:J41)</f>
        <v>1.6393528194512083E-16</v>
      </c>
      <c r="L42" s="21">
        <f t="shared" ref="L42:M42" si="6">SUM(L8:L41)</f>
        <v>2351200</v>
      </c>
      <c r="M42" s="21">
        <f t="shared" si="6"/>
        <v>2351200.0000000014</v>
      </c>
      <c r="N42" s="19">
        <f t="shared" si="3"/>
        <v>0</v>
      </c>
      <c r="P42" s="16">
        <f t="shared" ref="P42:X42" si="7">SUM(P8:P41)</f>
        <v>184800.00000000003</v>
      </c>
      <c r="Q42" s="16">
        <f t="shared" si="7"/>
        <v>380100.00000000023</v>
      </c>
      <c r="R42" s="16">
        <f t="shared" si="7"/>
        <v>158200.00000000012</v>
      </c>
      <c r="S42" s="16">
        <f t="shared" si="7"/>
        <v>87700.000000000029</v>
      </c>
      <c r="T42" s="16">
        <f t="shared" si="7"/>
        <v>537300.00000000023</v>
      </c>
      <c r="U42" s="16">
        <f t="shared" si="7"/>
        <v>111300.0000000001</v>
      </c>
      <c r="V42" s="16">
        <f t="shared" si="7"/>
        <v>333800</v>
      </c>
      <c r="W42" s="16">
        <f t="shared" si="7"/>
        <v>456500.00000000017</v>
      </c>
      <c r="X42" s="16">
        <f t="shared" si="7"/>
        <v>101500.00000000001</v>
      </c>
      <c r="Z42" s="16">
        <f t="shared" ref="Z42:AD42" si="8">SUM(Z8:Z41)</f>
        <v>846641.5020487518</v>
      </c>
      <c r="AA42" s="16">
        <f t="shared" si="8"/>
        <v>23187.083072483521</v>
      </c>
      <c r="AB42" s="16">
        <f t="shared" si="8"/>
        <v>7136.9482626498675</v>
      </c>
      <c r="AC42" s="16">
        <f t="shared" si="8"/>
        <v>11933.121886502307</v>
      </c>
      <c r="AD42" s="16">
        <f t="shared" si="8"/>
        <v>698.16202128811926</v>
      </c>
    </row>
  </sheetData>
  <mergeCells count="5">
    <mergeCell ref="D5:F5"/>
    <mergeCell ref="H5:J5"/>
    <mergeCell ref="L5:N5"/>
    <mergeCell ref="P5:X5"/>
    <mergeCell ref="Z5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6984-4999-4E0D-B2E4-11A0239D6EE1}">
  <sheetPr>
    <tabColor rgb="FF7030A0"/>
  </sheetPr>
  <dimension ref="A1:DC427"/>
  <sheetViews>
    <sheetView topLeftCell="B222" zoomScale="85" zoomScaleNormal="85" workbookViewId="0">
      <selection activeCell="M44" sqref="M44"/>
    </sheetView>
  </sheetViews>
  <sheetFormatPr baseColWidth="10" defaultColWidth="9.33203125" defaultRowHeight="13"/>
  <cols>
    <col min="1" max="1" width="9.33203125" style="13" hidden="1" customWidth="1"/>
    <col min="2" max="2" width="57.33203125" style="13" bestFit="1" customWidth="1"/>
    <col min="3" max="3" width="4.33203125" style="13" customWidth="1"/>
    <col min="4" max="37" width="11.6640625" style="13" customWidth="1"/>
    <col min="38" max="38" width="12.6640625" style="13" bestFit="1" customWidth="1"/>
    <col min="39" max="39" width="9.33203125" style="13" bestFit="1" customWidth="1"/>
    <col min="40" max="40" width="11.33203125" style="13" bestFit="1" customWidth="1"/>
    <col min="41" max="41" width="11.6640625" style="13" bestFit="1" customWidth="1"/>
    <col min="42" max="42" width="9.33203125" style="13" bestFit="1" customWidth="1"/>
    <col min="43" max="43" width="11.33203125" style="13" bestFit="1" customWidth="1"/>
    <col min="44" max="44" width="13.33203125" style="13" bestFit="1" customWidth="1"/>
    <col min="45" max="48" width="9.33203125" style="13"/>
    <col min="49" max="49" width="9.33203125" style="13" bestFit="1" customWidth="1"/>
    <col min="50" max="50" width="9.33203125" style="13"/>
    <col min="51" max="51" width="15.6640625" style="13" customWidth="1"/>
    <col min="52" max="52" width="12.33203125" style="13" customWidth="1"/>
    <col min="53" max="54" width="9.33203125" style="13"/>
    <col min="55" max="55" width="30.33203125" style="13" customWidth="1"/>
    <col min="56" max="80" width="9.33203125" style="13"/>
    <col min="81" max="81" width="18.33203125" style="13" customWidth="1"/>
    <col min="82" max="93" width="9.33203125" style="13"/>
    <col min="94" max="94" width="74.83203125" style="13" bestFit="1" customWidth="1"/>
    <col min="95" max="16384" width="9.33203125" style="13"/>
  </cols>
  <sheetData>
    <row r="1" spans="1:107">
      <c r="A1" s="13" t="s">
        <v>150</v>
      </c>
      <c r="B1" s="22" t="s">
        <v>151</v>
      </c>
    </row>
    <row r="2" spans="1:107">
      <c r="B2" s="23" t="s">
        <v>52</v>
      </c>
      <c r="AT2" s="24"/>
    </row>
    <row r="3" spans="1:107">
      <c r="A3" s="13" t="s">
        <v>152</v>
      </c>
      <c r="B3" s="24"/>
      <c r="BB3" s="24" t="s">
        <v>153</v>
      </c>
      <c r="BO3" s="24" t="s">
        <v>55</v>
      </c>
      <c r="CB3" s="24" t="s">
        <v>154</v>
      </c>
      <c r="CO3" s="24" t="s">
        <v>155</v>
      </c>
      <c r="CW3" s="24" t="s">
        <v>156</v>
      </c>
    </row>
    <row r="4" spans="1:107">
      <c r="A4" s="13" t="s">
        <v>157</v>
      </c>
      <c r="D4" s="25" t="s">
        <v>158</v>
      </c>
      <c r="E4" s="25" t="s">
        <v>159</v>
      </c>
      <c r="F4" s="25" t="s">
        <v>160</v>
      </c>
      <c r="G4" s="25" t="s">
        <v>161</v>
      </c>
      <c r="H4" s="25">
        <v>19</v>
      </c>
      <c r="I4" s="25">
        <v>20</v>
      </c>
      <c r="J4" s="25" t="s">
        <v>162</v>
      </c>
      <c r="K4" s="25">
        <v>23</v>
      </c>
      <c r="L4" s="25">
        <v>24</v>
      </c>
      <c r="M4" s="25">
        <v>25</v>
      </c>
      <c r="N4" s="25">
        <v>26</v>
      </c>
      <c r="O4" s="25" t="s">
        <v>163</v>
      </c>
      <c r="P4" s="25">
        <v>29</v>
      </c>
      <c r="Q4" s="25" t="s">
        <v>164</v>
      </c>
      <c r="R4" s="25" t="s">
        <v>165</v>
      </c>
      <c r="S4" s="25" t="s">
        <v>166</v>
      </c>
      <c r="T4" s="25" t="s">
        <v>167</v>
      </c>
      <c r="U4" s="25" t="s">
        <v>168</v>
      </c>
      <c r="V4" s="25">
        <v>50</v>
      </c>
      <c r="W4" s="25">
        <v>51</v>
      </c>
      <c r="X4" s="25">
        <v>52</v>
      </c>
      <c r="Y4" s="25" t="s">
        <v>169</v>
      </c>
      <c r="Z4" s="25">
        <v>60</v>
      </c>
      <c r="AA4" s="25">
        <v>61</v>
      </c>
      <c r="AB4" s="25">
        <v>62</v>
      </c>
      <c r="AC4" s="25">
        <v>63</v>
      </c>
      <c r="AD4" s="25">
        <v>64</v>
      </c>
      <c r="AE4" s="25" t="s">
        <v>170</v>
      </c>
      <c r="AF4" s="25">
        <v>70</v>
      </c>
      <c r="AG4" s="25" t="s">
        <v>171</v>
      </c>
      <c r="AH4" s="25" t="s">
        <v>172</v>
      </c>
      <c r="AI4" s="25" t="s">
        <v>173</v>
      </c>
      <c r="AJ4" s="25" t="s">
        <v>2</v>
      </c>
      <c r="AK4" s="25" t="s">
        <v>174</v>
      </c>
      <c r="AL4" s="26"/>
      <c r="AM4" s="26"/>
      <c r="AN4" s="26"/>
      <c r="AO4" s="26"/>
      <c r="AP4" s="26"/>
      <c r="AQ4" s="27"/>
      <c r="AR4" s="28"/>
    </row>
    <row r="5" spans="1:107" ht="112">
      <c r="A5" s="29" t="s">
        <v>175</v>
      </c>
      <c r="B5" s="97" t="s">
        <v>176</v>
      </c>
      <c r="C5" s="97"/>
      <c r="D5" s="30" t="s">
        <v>177</v>
      </c>
      <c r="E5" s="30" t="s">
        <v>178</v>
      </c>
      <c r="F5" s="30" t="s">
        <v>179</v>
      </c>
      <c r="G5" s="30" t="s">
        <v>180</v>
      </c>
      <c r="H5" s="30" t="s">
        <v>181</v>
      </c>
      <c r="I5" s="30" t="s">
        <v>182</v>
      </c>
      <c r="J5" s="30" t="s">
        <v>183</v>
      </c>
      <c r="K5" s="30" t="s">
        <v>184</v>
      </c>
      <c r="L5" s="30" t="s">
        <v>185</v>
      </c>
      <c r="M5" s="30" t="s">
        <v>186</v>
      </c>
      <c r="N5" s="30" t="s">
        <v>187</v>
      </c>
      <c r="O5" s="30" t="s">
        <v>188</v>
      </c>
      <c r="P5" s="30" t="s">
        <v>105</v>
      </c>
      <c r="Q5" s="30" t="s">
        <v>189</v>
      </c>
      <c r="R5" s="30" t="s">
        <v>190</v>
      </c>
      <c r="S5" s="30" t="s">
        <v>191</v>
      </c>
      <c r="T5" s="30" t="s">
        <v>192</v>
      </c>
      <c r="U5" s="30" t="s">
        <v>115</v>
      </c>
      <c r="V5" s="30" t="s">
        <v>193</v>
      </c>
      <c r="W5" s="30" t="s">
        <v>194</v>
      </c>
      <c r="X5" s="30" t="s">
        <v>195</v>
      </c>
      <c r="Y5" s="30" t="s">
        <v>196</v>
      </c>
      <c r="Z5" s="30" t="s">
        <v>197</v>
      </c>
      <c r="AA5" s="30" t="s">
        <v>198</v>
      </c>
      <c r="AB5" s="30" t="s">
        <v>199</v>
      </c>
      <c r="AC5" s="30" t="s">
        <v>200</v>
      </c>
      <c r="AD5" s="30" t="s">
        <v>201</v>
      </c>
      <c r="AE5" s="30" t="s">
        <v>202</v>
      </c>
      <c r="AF5" s="30" t="s">
        <v>203</v>
      </c>
      <c r="AG5" s="30" t="s">
        <v>204</v>
      </c>
      <c r="AH5" s="30" t="s">
        <v>205</v>
      </c>
      <c r="AI5" s="30" t="s">
        <v>143</v>
      </c>
      <c r="AJ5" s="30" t="s">
        <v>206</v>
      </c>
      <c r="AK5" s="30" t="s">
        <v>207</v>
      </c>
      <c r="AL5" s="31" t="s">
        <v>208</v>
      </c>
      <c r="AM5" s="31" t="s">
        <v>209</v>
      </c>
      <c r="AN5" s="31" t="s">
        <v>210</v>
      </c>
      <c r="AO5" s="31" t="s">
        <v>211</v>
      </c>
      <c r="AP5" s="31" t="s">
        <v>212</v>
      </c>
      <c r="AQ5" s="32" t="s">
        <v>213</v>
      </c>
      <c r="AR5" s="33" t="s">
        <v>38</v>
      </c>
      <c r="AT5" s="34" t="s">
        <v>214</v>
      </c>
      <c r="AV5" s="35" t="s">
        <v>215</v>
      </c>
      <c r="AW5" s="36" t="s">
        <v>216</v>
      </c>
      <c r="AY5" s="37" t="s">
        <v>40</v>
      </c>
      <c r="AZ5" s="37" t="s">
        <v>217</v>
      </c>
      <c r="BD5" s="37" t="s">
        <v>67</v>
      </c>
      <c r="BE5" s="37" t="s">
        <v>68</v>
      </c>
      <c r="BF5" s="37" t="s">
        <v>69</v>
      </c>
      <c r="BG5" s="37" t="s">
        <v>70</v>
      </c>
      <c r="BH5" s="37" t="s">
        <v>71</v>
      </c>
      <c r="BI5" s="37" t="s">
        <v>72</v>
      </c>
      <c r="BJ5" s="37" t="s">
        <v>73</v>
      </c>
      <c r="BK5" s="37" t="s">
        <v>74</v>
      </c>
      <c r="BL5" s="37" t="s">
        <v>75</v>
      </c>
      <c r="BM5" s="37" t="s">
        <v>149</v>
      </c>
      <c r="BN5" s="37"/>
      <c r="BO5" s="37"/>
      <c r="BP5" s="37"/>
      <c r="BQ5" s="37" t="s">
        <v>67</v>
      </c>
      <c r="BR5" s="37" t="s">
        <v>68</v>
      </c>
      <c r="BS5" s="37" t="s">
        <v>69</v>
      </c>
      <c r="BT5" s="37" t="s">
        <v>70</v>
      </c>
      <c r="BU5" s="37" t="s">
        <v>71</v>
      </c>
      <c r="BV5" s="37" t="s">
        <v>72</v>
      </c>
      <c r="BW5" s="37" t="s">
        <v>73</v>
      </c>
      <c r="BX5" s="37" t="s">
        <v>74</v>
      </c>
      <c r="BY5" s="37" t="s">
        <v>75</v>
      </c>
      <c r="BZ5" s="37" t="s">
        <v>149</v>
      </c>
      <c r="CA5" s="37"/>
      <c r="CB5" s="37"/>
      <c r="CC5" s="37"/>
      <c r="CD5" s="37" t="s">
        <v>67</v>
      </c>
      <c r="CE5" s="37" t="s">
        <v>68</v>
      </c>
      <c r="CF5" s="37" t="s">
        <v>69</v>
      </c>
      <c r="CG5" s="37" t="s">
        <v>70</v>
      </c>
      <c r="CH5" s="37" t="s">
        <v>71</v>
      </c>
      <c r="CI5" s="37" t="s">
        <v>72</v>
      </c>
      <c r="CJ5" s="37" t="s">
        <v>73</v>
      </c>
      <c r="CK5" s="37" t="s">
        <v>74</v>
      </c>
      <c r="CL5" s="37" t="s">
        <v>75</v>
      </c>
      <c r="CM5" s="37" t="s">
        <v>149</v>
      </c>
      <c r="CQ5" s="13" t="s">
        <v>76</v>
      </c>
      <c r="CR5" s="13" t="s">
        <v>218</v>
      </c>
      <c r="CS5" s="13" t="s">
        <v>78</v>
      </c>
      <c r="CT5" s="13" t="s">
        <v>79</v>
      </c>
      <c r="CU5" s="13" t="s">
        <v>80</v>
      </c>
      <c r="CY5" s="13" t="s">
        <v>76</v>
      </c>
      <c r="CZ5" s="13" t="s">
        <v>218</v>
      </c>
      <c r="DA5" s="13" t="s">
        <v>78</v>
      </c>
      <c r="DB5" s="13" t="s">
        <v>79</v>
      </c>
      <c r="DC5" s="13" t="s">
        <v>80</v>
      </c>
    </row>
    <row r="6" spans="1:107">
      <c r="B6" s="98"/>
      <c r="C6" s="98"/>
      <c r="D6" s="38" t="s">
        <v>82</v>
      </c>
      <c r="E6" s="38" t="s">
        <v>84</v>
      </c>
      <c r="F6" s="38" t="s">
        <v>86</v>
      </c>
      <c r="G6" s="38" t="s">
        <v>88</v>
      </c>
      <c r="H6" s="38" t="s">
        <v>90</v>
      </c>
      <c r="I6" s="38" t="s">
        <v>92</v>
      </c>
      <c r="J6" s="38" t="s">
        <v>94</v>
      </c>
      <c r="K6" s="38" t="s">
        <v>96</v>
      </c>
      <c r="L6" s="38" t="s">
        <v>98</v>
      </c>
      <c r="M6" s="38" t="s">
        <v>100</v>
      </c>
      <c r="N6" s="38" t="s">
        <v>102</v>
      </c>
      <c r="O6" s="38" t="s">
        <v>104</v>
      </c>
      <c r="P6" s="38" t="s">
        <v>106</v>
      </c>
      <c r="Q6" s="38" t="s">
        <v>108</v>
      </c>
      <c r="R6" s="38" t="s">
        <v>110</v>
      </c>
      <c r="S6" s="38" t="s">
        <v>112</v>
      </c>
      <c r="T6" s="38" t="s">
        <v>114</v>
      </c>
      <c r="U6" s="38" t="s">
        <v>116</v>
      </c>
      <c r="V6" s="38" t="s">
        <v>118</v>
      </c>
      <c r="W6" s="38" t="s">
        <v>120</v>
      </c>
      <c r="X6" s="38" t="s">
        <v>122</v>
      </c>
      <c r="Y6" s="38" t="s">
        <v>124</v>
      </c>
      <c r="Z6" s="38" t="s">
        <v>126</v>
      </c>
      <c r="AA6" s="38" t="s">
        <v>128</v>
      </c>
      <c r="AB6" s="38" t="s">
        <v>130</v>
      </c>
      <c r="AC6" s="38" t="s">
        <v>132</v>
      </c>
      <c r="AD6" s="38" t="s">
        <v>134</v>
      </c>
      <c r="AE6" s="38" t="s">
        <v>136</v>
      </c>
      <c r="AF6" s="38" t="s">
        <v>138</v>
      </c>
      <c r="AG6" s="38" t="s">
        <v>140</v>
      </c>
      <c r="AH6" s="38" t="s">
        <v>142</v>
      </c>
      <c r="AI6" s="38" t="s">
        <v>144</v>
      </c>
      <c r="AJ6" s="38" t="s">
        <v>146</v>
      </c>
      <c r="AK6" s="38" t="s">
        <v>148</v>
      </c>
      <c r="AL6" s="39" t="s">
        <v>219</v>
      </c>
      <c r="AM6" s="39" t="s">
        <v>220</v>
      </c>
      <c r="AN6" s="39" t="s">
        <v>221</v>
      </c>
      <c r="AO6" s="39" t="s">
        <v>222</v>
      </c>
      <c r="AP6" s="39" t="s">
        <v>223</v>
      </c>
      <c r="AQ6" s="39" t="s">
        <v>224</v>
      </c>
      <c r="AR6" s="40"/>
      <c r="AT6" s="41"/>
    </row>
    <row r="7" spans="1:107">
      <c r="B7" s="42" t="s">
        <v>225</v>
      </c>
      <c r="C7" s="43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5"/>
    </row>
    <row r="8" spans="1:107" ht="15">
      <c r="A8" s="46" t="s">
        <v>158</v>
      </c>
      <c r="B8" s="47" t="s">
        <v>81</v>
      </c>
      <c r="C8" s="48" t="s">
        <v>82</v>
      </c>
      <c r="D8" s="49">
        <v>1378.33527969497</v>
      </c>
      <c r="E8" s="49">
        <v>0.32228240797514801</v>
      </c>
      <c r="F8" s="49">
        <v>115.257784398727</v>
      </c>
      <c r="G8" s="49">
        <v>17.084252034309198</v>
      </c>
      <c r="H8" s="49">
        <v>1.6513546620581501</v>
      </c>
      <c r="I8" s="49">
        <v>8.9472980445632795E-3</v>
      </c>
      <c r="J8" s="49">
        <v>7.6101759282256501E-2</v>
      </c>
      <c r="K8" s="49">
        <v>0.243832697104019</v>
      </c>
      <c r="L8" s="49">
        <v>0.118981012047428</v>
      </c>
      <c r="M8" s="49">
        <v>5.5009628424281198E-2</v>
      </c>
      <c r="N8" s="49">
        <v>0.20030818491117899</v>
      </c>
      <c r="O8" s="49">
        <v>4.5141771232222599E-2</v>
      </c>
      <c r="P8" s="49">
        <v>0</v>
      </c>
      <c r="Q8" s="49">
        <v>0</v>
      </c>
      <c r="R8" s="49">
        <v>0</v>
      </c>
      <c r="S8" s="49">
        <v>0</v>
      </c>
      <c r="T8" s="49">
        <v>0</v>
      </c>
      <c r="U8" s="49">
        <v>0.17382210253441799</v>
      </c>
      <c r="V8" s="49">
        <v>0</v>
      </c>
      <c r="W8" s="49">
        <v>0.97974936113736399</v>
      </c>
      <c r="X8" s="49">
        <v>0.136267310954272</v>
      </c>
      <c r="Y8" s="49">
        <v>12.3420672923117</v>
      </c>
      <c r="Z8" s="49">
        <v>0</v>
      </c>
      <c r="AA8" s="49">
        <v>0</v>
      </c>
      <c r="AB8" s="49">
        <v>0</v>
      </c>
      <c r="AC8" s="49">
        <v>0</v>
      </c>
      <c r="AD8" s="49">
        <v>0</v>
      </c>
      <c r="AE8" s="49">
        <v>0</v>
      </c>
      <c r="AF8" s="49">
        <v>0.27517007745739003</v>
      </c>
      <c r="AG8" s="49">
        <v>0.211895278481323</v>
      </c>
      <c r="AH8" s="49">
        <v>20.888328846723098</v>
      </c>
      <c r="AI8" s="49">
        <v>10.639964188331801</v>
      </c>
      <c r="AJ8" s="49">
        <v>11.9988168839072</v>
      </c>
      <c r="AK8" s="49">
        <v>7.1295647105072094E-2</v>
      </c>
      <c r="AL8" s="50">
        <v>1088.3774080923399</v>
      </c>
      <c r="AM8" s="50">
        <v>7.5040674419456194E-2</v>
      </c>
      <c r="AN8" s="50">
        <v>10.1120535087337</v>
      </c>
      <c r="AO8" s="50">
        <v>10.785940442938699</v>
      </c>
      <c r="AP8" s="50">
        <v>-6.41437274545767</v>
      </c>
      <c r="AQ8" s="50">
        <v>380.41525154911534</v>
      </c>
      <c r="AR8" s="51">
        <v>3054.4679740601191</v>
      </c>
      <c r="AT8" s="16">
        <v>1483.3513215220892</v>
      </c>
      <c r="AV8" s="36">
        <f t="array" ref="AV8:AV41">MMULT(D265:AK298,AT8:AT41)</f>
        <v>3054.4679740601232</v>
      </c>
      <c r="AW8" s="52">
        <f>AV8-AR8</f>
        <v>4.0927261579781771E-12</v>
      </c>
      <c r="AY8" s="13">
        <v>908.06213998813701</v>
      </c>
      <c r="AZ8" s="53">
        <f>AY8/$AR8</f>
        <v>0.29728978915470672</v>
      </c>
      <c r="BB8" s="13" t="s">
        <v>82</v>
      </c>
      <c r="BC8" t="s">
        <v>35</v>
      </c>
      <c r="BD8" s="13">
        <f>$AY8*BQ8/$BZ8</f>
        <v>87.887802244880632</v>
      </c>
      <c r="BE8" s="13">
        <f t="shared" ref="BE8:BL39" si="0">$AY8*BR8/$BZ8</f>
        <v>209.99146643242474</v>
      </c>
      <c r="BF8" s="13">
        <f t="shared" si="0"/>
        <v>70.947596086993343</v>
      </c>
      <c r="BG8" s="13">
        <f t="shared" si="0"/>
        <v>68.767173512215777</v>
      </c>
      <c r="BH8" s="13">
        <f t="shared" si="0"/>
        <v>294.52477240841682</v>
      </c>
      <c r="BI8" s="13">
        <f t="shared" si="0"/>
        <v>97.951291051546363</v>
      </c>
      <c r="BJ8" s="13">
        <f t="shared" si="0"/>
        <v>70.612146460104483</v>
      </c>
      <c r="BK8" s="13">
        <f t="shared" si="0"/>
        <v>5.3671940302217189</v>
      </c>
      <c r="BL8" s="13">
        <f t="shared" si="0"/>
        <v>2.0126977613331447</v>
      </c>
      <c r="BM8" s="13">
        <f>SUM(BD8:BL8)</f>
        <v>908.06213998813701</v>
      </c>
      <c r="BO8" s="13" t="s">
        <v>82</v>
      </c>
      <c r="BP8" s="13" t="s">
        <v>81</v>
      </c>
      <c r="BQ8" s="13">
        <v>52400</v>
      </c>
      <c r="BR8" s="13">
        <v>125200</v>
      </c>
      <c r="BS8" s="13">
        <v>42300</v>
      </c>
      <c r="BT8" s="13">
        <v>41000</v>
      </c>
      <c r="BU8" s="13">
        <v>175600</v>
      </c>
      <c r="BV8" s="13">
        <v>58400</v>
      </c>
      <c r="BW8" s="13">
        <v>42100</v>
      </c>
      <c r="BX8" s="13">
        <v>3200</v>
      </c>
      <c r="BY8" s="13">
        <v>1200</v>
      </c>
      <c r="BZ8" s="13">
        <v>541400</v>
      </c>
      <c r="CB8" s="13" t="s">
        <v>82</v>
      </c>
      <c r="CC8" s="13" t="s">
        <v>81</v>
      </c>
      <c r="CD8" s="13">
        <f>BQ8/$AR8</f>
        <v>17.155197057230186</v>
      </c>
      <c r="CE8" s="13">
        <f t="shared" ref="CE8:CM36" si="1">BR8/$AR8</f>
        <v>40.989134953534716</v>
      </c>
      <c r="CF8" s="13">
        <f t="shared" si="1"/>
        <v>13.848565563374748</v>
      </c>
      <c r="CG8" s="13">
        <f t="shared" si="1"/>
        <v>13.422959529512168</v>
      </c>
      <c r="CH8" s="13">
        <f t="shared" si="1"/>
        <v>57.48955349713016</v>
      </c>
      <c r="CI8" s="13">
        <f t="shared" si="1"/>
        <v>19.119532598134406</v>
      </c>
      <c r="CJ8" s="13">
        <f t="shared" si="1"/>
        <v>13.783087712011275</v>
      </c>
      <c r="CK8" s="13">
        <f t="shared" si="1"/>
        <v>1.0476456218155838</v>
      </c>
      <c r="CL8" s="13">
        <f t="shared" si="1"/>
        <v>0.39286710818084392</v>
      </c>
      <c r="CM8" s="13">
        <f t="shared" si="1"/>
        <v>177.24854364092408</v>
      </c>
      <c r="CO8" s="13">
        <v>1</v>
      </c>
      <c r="CP8" s="13" t="s">
        <v>177</v>
      </c>
      <c r="CQ8" s="13">
        <v>1912.0999250444529</v>
      </c>
      <c r="CR8" s="13">
        <v>1350.7741981622953</v>
      </c>
      <c r="CS8" s="13">
        <v>7117.8215054029033</v>
      </c>
      <c r="CT8" s="13">
        <v>11933.121886502291</v>
      </c>
      <c r="CU8" s="13">
        <v>432.85533199928466</v>
      </c>
      <c r="CW8" s="13">
        <v>1</v>
      </c>
      <c r="CX8" s="13" t="s">
        <v>177</v>
      </c>
      <c r="CY8" s="53">
        <f>CQ8/$AR8</f>
        <v>0.62600097342085226</v>
      </c>
      <c r="CZ8" s="53">
        <f t="shared" ref="CZ8:DC41" si="2">CR8/$AR8</f>
        <v>0.44222896086443264</v>
      </c>
      <c r="DA8" s="53">
        <f t="shared" si="2"/>
        <v>2.3302982928125497</v>
      </c>
      <c r="DB8" s="53">
        <f t="shared" si="2"/>
        <v>3.9067759059330767</v>
      </c>
      <c r="DC8" s="53">
        <f t="shared" si="2"/>
        <v>0.14171218545268174</v>
      </c>
    </row>
    <row r="9" spans="1:107">
      <c r="A9" s="46" t="s">
        <v>159</v>
      </c>
      <c r="B9" s="47" t="s">
        <v>83</v>
      </c>
      <c r="C9" s="48" t="s">
        <v>84</v>
      </c>
      <c r="D9" s="49">
        <v>2.8508189259552302E-3</v>
      </c>
      <c r="E9" s="49">
        <v>4.61432579809229</v>
      </c>
      <c r="F9" s="49">
        <v>2.8864094054998799</v>
      </c>
      <c r="G9" s="49">
        <v>0.30416723475927199</v>
      </c>
      <c r="H9" s="49">
        <v>3.2104905215014502E-2</v>
      </c>
      <c r="I9" s="49">
        <v>2.8554454381288698E-3</v>
      </c>
      <c r="J9" s="49">
        <v>2.32183483324798E-2</v>
      </c>
      <c r="K9" s="49">
        <v>8.3909665444742991</v>
      </c>
      <c r="L9" s="49">
        <v>3.8761457758398001</v>
      </c>
      <c r="M9" s="49">
        <v>1.8826129851237701</v>
      </c>
      <c r="N9" s="49">
        <v>6.8552142732508701</v>
      </c>
      <c r="O9" s="49">
        <v>13.9596505041324</v>
      </c>
      <c r="P9" s="49">
        <v>0.98480747897897403</v>
      </c>
      <c r="Q9" s="49">
        <v>0.223469569177805</v>
      </c>
      <c r="R9" s="49">
        <v>0.56805702660370205</v>
      </c>
      <c r="S9" s="49">
        <v>0.97188220737612097</v>
      </c>
      <c r="T9" s="49">
        <v>22.130385655682801</v>
      </c>
      <c r="U9" s="49">
        <v>13.9592920717739</v>
      </c>
      <c r="V9" s="49">
        <v>0.22576286976923199</v>
      </c>
      <c r="W9" s="49">
        <v>9.6273780254599498E-2</v>
      </c>
      <c r="X9" s="49">
        <v>0.45871501408787901</v>
      </c>
      <c r="Y9" s="49">
        <v>0.17408475637672</v>
      </c>
      <c r="Z9" s="49">
        <v>0.66830110835550505</v>
      </c>
      <c r="AA9" s="49">
        <v>6.448892863931E-3</v>
      </c>
      <c r="AB9" s="49">
        <v>3.4474038350494798E-2</v>
      </c>
      <c r="AC9" s="49">
        <v>0.202730067218165</v>
      </c>
      <c r="AD9" s="49">
        <v>0.51136890169500604</v>
      </c>
      <c r="AE9" s="49">
        <v>0</v>
      </c>
      <c r="AF9" s="49">
        <v>1.0026944780953201E-2</v>
      </c>
      <c r="AG9" s="49">
        <v>7.7212692466749498E-3</v>
      </c>
      <c r="AH9" s="49">
        <v>1.7015230160893</v>
      </c>
      <c r="AI9" s="49">
        <v>5.7631469604270702</v>
      </c>
      <c r="AJ9" s="49">
        <v>4.2799536640799898E-2</v>
      </c>
      <c r="AK9" s="49">
        <v>0.148847657193479</v>
      </c>
      <c r="AL9" s="50">
        <v>25.268908411479099</v>
      </c>
      <c r="AM9" s="50">
        <v>0</v>
      </c>
      <c r="AN9" s="50">
        <v>0</v>
      </c>
      <c r="AO9" s="50">
        <v>3.7043922229837398</v>
      </c>
      <c r="AP9" s="50">
        <v>-0.39176031210033002</v>
      </c>
      <c r="AQ9" s="50">
        <v>25.120690973839441</v>
      </c>
      <c r="AR9" s="54">
        <v>145.42287215822921</v>
      </c>
      <c r="AT9" s="16">
        <v>53.702231296201944</v>
      </c>
      <c r="AV9" s="36">
        <v>145.42287215822907</v>
      </c>
      <c r="AW9" s="52">
        <f t="shared" ref="AW9:AW41" si="3">AV9-AR9</f>
        <v>0</v>
      </c>
      <c r="AY9" s="13">
        <v>70.980728116926898</v>
      </c>
      <c r="AZ9" s="53">
        <f t="shared" ref="AZ9:AZ41" si="4">AY9/$AR9</f>
        <v>0.48809879122518918</v>
      </c>
      <c r="BB9" s="13" t="s">
        <v>84</v>
      </c>
      <c r="BC9" s="13" t="s">
        <v>83</v>
      </c>
      <c r="BD9" s="13">
        <f t="shared" ref="BD9:BK41" si="5">$AY9*BQ9/$BZ9</f>
        <v>23.473941581975826</v>
      </c>
      <c r="BE9" s="13">
        <f t="shared" si="0"/>
        <v>7.8246471939919422</v>
      </c>
      <c r="BF9" s="13">
        <f t="shared" si="0"/>
        <v>11.736970790987913</v>
      </c>
      <c r="BG9" s="13">
        <f t="shared" si="0"/>
        <v>18.443811242981003</v>
      </c>
      <c r="BH9" s="13">
        <f t="shared" si="0"/>
        <v>0</v>
      </c>
      <c r="BI9" s="13">
        <f t="shared" si="0"/>
        <v>0.55890337099942433</v>
      </c>
      <c r="BJ9" s="13">
        <f t="shared" si="0"/>
        <v>8.9424539359907893</v>
      </c>
      <c r="BK9" s="13">
        <f t="shared" si="0"/>
        <v>0</v>
      </c>
      <c r="BL9" s="13">
        <f t="shared" si="0"/>
        <v>0</v>
      </c>
      <c r="BM9" s="13">
        <f t="shared" ref="BM9:BM41" si="6">SUM(BD9:BL9)</f>
        <v>70.980728116926898</v>
      </c>
      <c r="BO9" s="13" t="s">
        <v>84</v>
      </c>
      <c r="BP9" s="13" t="s">
        <v>83</v>
      </c>
      <c r="BQ9" s="13">
        <v>4200</v>
      </c>
      <c r="BR9" s="13">
        <v>1400</v>
      </c>
      <c r="BS9" s="13">
        <v>2100</v>
      </c>
      <c r="BT9" s="13">
        <v>3300</v>
      </c>
      <c r="BU9" s="13">
        <v>0</v>
      </c>
      <c r="BV9" s="13">
        <v>100</v>
      </c>
      <c r="BW9" s="13">
        <v>1600</v>
      </c>
      <c r="BX9" s="13">
        <v>0</v>
      </c>
      <c r="BY9" s="13">
        <v>0</v>
      </c>
      <c r="BZ9" s="13">
        <v>12700</v>
      </c>
      <c r="CB9" s="13" t="s">
        <v>84</v>
      </c>
      <c r="CC9" s="13" t="s">
        <v>83</v>
      </c>
      <c r="CD9" s="13">
        <f t="shared" ref="CD9:CG41" si="7">BQ9/$AR9</f>
        <v>28.88128901367136</v>
      </c>
      <c r="CE9" s="13">
        <f t="shared" si="1"/>
        <v>9.6270963378904533</v>
      </c>
      <c r="CF9" s="13">
        <f t="shared" si="1"/>
        <v>14.44064450683568</v>
      </c>
      <c r="CG9" s="13">
        <f t="shared" si="1"/>
        <v>22.692441367884641</v>
      </c>
      <c r="CH9" s="13">
        <f t="shared" si="1"/>
        <v>0</v>
      </c>
      <c r="CI9" s="13">
        <f t="shared" si="1"/>
        <v>0.68764973842074661</v>
      </c>
      <c r="CJ9" s="13">
        <f t="shared" si="1"/>
        <v>11.002395814731946</v>
      </c>
      <c r="CK9" s="13">
        <f t="shared" si="1"/>
        <v>0</v>
      </c>
      <c r="CL9" s="13">
        <f t="shared" si="1"/>
        <v>0</v>
      </c>
      <c r="CM9" s="13">
        <f t="shared" si="1"/>
        <v>87.331516779434821</v>
      </c>
      <c r="CO9" s="13">
        <v>2</v>
      </c>
      <c r="CP9" s="13" t="s">
        <v>178</v>
      </c>
      <c r="CQ9" s="13">
        <v>147.72395499232425</v>
      </c>
      <c r="CR9" s="13">
        <v>181.80786951085605</v>
      </c>
      <c r="CS9" s="13">
        <v>0.22026194852809947</v>
      </c>
      <c r="CT9" s="13">
        <v>0</v>
      </c>
      <c r="CU9" s="13">
        <v>3.0552470335559363</v>
      </c>
      <c r="CW9" s="13">
        <v>2</v>
      </c>
      <c r="CX9" s="13" t="s">
        <v>178</v>
      </c>
      <c r="CY9" s="53">
        <f t="shared" ref="CY9:CY41" si="8">CQ9/$AR9</f>
        <v>1.0158233900894993</v>
      </c>
      <c r="CZ9" s="53">
        <f t="shared" si="2"/>
        <v>1.250201339119734</v>
      </c>
      <c r="DA9" s="53">
        <f t="shared" si="2"/>
        <v>1.5146307128939157E-3</v>
      </c>
      <c r="DB9" s="53">
        <f t="shared" si="2"/>
        <v>0</v>
      </c>
      <c r="DC9" s="53">
        <f t="shared" si="2"/>
        <v>2.1009398234355017E-2</v>
      </c>
    </row>
    <row r="10" spans="1:107">
      <c r="A10" s="46" t="s">
        <v>160</v>
      </c>
      <c r="B10" s="47" t="s">
        <v>85</v>
      </c>
      <c r="C10" s="48" t="s">
        <v>86</v>
      </c>
      <c r="D10" s="49">
        <v>7.4546053627268503</v>
      </c>
      <c r="E10" s="49">
        <v>0.17528078361357399</v>
      </c>
      <c r="F10" s="49">
        <v>60.077878349081402</v>
      </c>
      <c r="G10" s="49">
        <v>0.95281996888264697</v>
      </c>
      <c r="H10" s="49">
        <v>0.100570315577088</v>
      </c>
      <c r="I10" s="49">
        <v>4.6414201055247802E-4</v>
      </c>
      <c r="J10" s="49">
        <v>2.2884429132221301E-2</v>
      </c>
      <c r="K10" s="49">
        <v>2.24533054320383</v>
      </c>
      <c r="L10" s="49">
        <v>1.0370204236880201</v>
      </c>
      <c r="M10" s="49">
        <v>0.48742130035600401</v>
      </c>
      <c r="N10" s="49">
        <v>1.7748615789279301</v>
      </c>
      <c r="O10" s="49">
        <v>1.3347884067904601</v>
      </c>
      <c r="P10" s="49">
        <v>3.66096584787062E-3</v>
      </c>
      <c r="Q10" s="49">
        <v>8.3073542622412596E-4</v>
      </c>
      <c r="R10" s="49">
        <v>2.11171972027995E-3</v>
      </c>
      <c r="S10" s="49">
        <v>5.1796772440438699E-3</v>
      </c>
      <c r="T10" s="49">
        <v>1.3755839476738601</v>
      </c>
      <c r="U10" s="49">
        <v>33.639682464353299</v>
      </c>
      <c r="V10" s="49">
        <v>4.2342591706291902E-3</v>
      </c>
      <c r="W10" s="49">
        <v>4.5028237175504504</v>
      </c>
      <c r="X10" s="49">
        <v>56.710564288087902</v>
      </c>
      <c r="Y10" s="49">
        <v>24.287438614919001</v>
      </c>
      <c r="Z10" s="49">
        <v>2.9643079018779401</v>
      </c>
      <c r="AA10" s="49">
        <v>2.8604627219540098E-2</v>
      </c>
      <c r="AB10" s="49">
        <v>0.152912606330218</v>
      </c>
      <c r="AC10" s="49">
        <v>0.89922690938194805</v>
      </c>
      <c r="AD10" s="49">
        <v>4.0487025277100299</v>
      </c>
      <c r="AE10" s="49">
        <v>0.30455038620373598</v>
      </c>
      <c r="AF10" s="49">
        <v>5.29248214233768</v>
      </c>
      <c r="AG10" s="49">
        <v>4.0754866509121896</v>
      </c>
      <c r="AH10" s="49">
        <v>21.267982720827</v>
      </c>
      <c r="AI10" s="49">
        <v>10.0097579254221</v>
      </c>
      <c r="AJ10" s="49">
        <v>6.1944984462714201</v>
      </c>
      <c r="AK10" s="49">
        <v>2.33364262021087</v>
      </c>
      <c r="AL10" s="50">
        <v>322.937879669506</v>
      </c>
      <c r="AM10" s="50">
        <v>0.49457834846405702</v>
      </c>
      <c r="AN10" s="50">
        <v>0</v>
      </c>
      <c r="AO10" s="50">
        <v>24.004033570843799</v>
      </c>
      <c r="AP10" s="50">
        <v>16.376746302352299</v>
      </c>
      <c r="AQ10" s="50">
        <v>25.435917703299594</v>
      </c>
      <c r="AR10" s="54">
        <v>643.01734705315471</v>
      </c>
      <c r="AT10" s="16">
        <v>389.24915559446572</v>
      </c>
      <c r="AV10" s="36">
        <v>643.01734705315482</v>
      </c>
      <c r="AW10" s="52">
        <f t="shared" si="3"/>
        <v>0</v>
      </c>
      <c r="AY10" s="13">
        <v>174.12815804960599</v>
      </c>
      <c r="AZ10" s="53">
        <f t="shared" si="4"/>
        <v>0.27079853886929706</v>
      </c>
      <c r="BB10" s="13" t="s">
        <v>86</v>
      </c>
      <c r="BC10" s="13" t="s">
        <v>85</v>
      </c>
      <c r="BD10" s="13">
        <f t="shared" si="5"/>
        <v>6.1768434443272398</v>
      </c>
      <c r="BE10" s="13">
        <f t="shared" si="0"/>
        <v>24.927975328892078</v>
      </c>
      <c r="BF10" s="13">
        <f t="shared" si="0"/>
        <v>7.5004527538259351</v>
      </c>
      <c r="BG10" s="13">
        <f t="shared" si="0"/>
        <v>1.4706770105541049</v>
      </c>
      <c r="BH10" s="13">
        <f t="shared" si="0"/>
        <v>18.456996482454016</v>
      </c>
      <c r="BI10" s="13">
        <f t="shared" si="0"/>
        <v>2.9413540211082099</v>
      </c>
      <c r="BJ10" s="13">
        <f t="shared" si="0"/>
        <v>52.944372379947772</v>
      </c>
      <c r="BK10" s="13">
        <f t="shared" si="0"/>
        <v>54.047380137863357</v>
      </c>
      <c r="BL10" s="13">
        <f t="shared" si="0"/>
        <v>5.6621064906333034</v>
      </c>
      <c r="BM10" s="13">
        <f t="shared" si="6"/>
        <v>174.12815804960601</v>
      </c>
      <c r="BO10" s="13" t="s">
        <v>86</v>
      </c>
      <c r="BP10" s="13" t="s">
        <v>85</v>
      </c>
      <c r="BQ10" s="13">
        <v>1314.7806093121308</v>
      </c>
      <c r="BR10" s="13">
        <v>5306.0788875810995</v>
      </c>
      <c r="BS10" s="13">
        <v>1596.5193113075875</v>
      </c>
      <c r="BT10" s="13">
        <v>313.04300221717403</v>
      </c>
      <c r="BU10" s="13">
        <v>3928.6896778255341</v>
      </c>
      <c r="BV10" s="13">
        <v>626.08600443434807</v>
      </c>
      <c r="BW10" s="13">
        <v>11269.548079818265</v>
      </c>
      <c r="BX10" s="13">
        <v>11504.330331481146</v>
      </c>
      <c r="BY10" s="13">
        <v>1205.2155585361199</v>
      </c>
      <c r="BZ10" s="13">
        <v>37064.2914625134</v>
      </c>
      <c r="CB10" s="13" t="s">
        <v>86</v>
      </c>
      <c r="CC10" s="13" t="s">
        <v>85</v>
      </c>
      <c r="CD10" s="13">
        <f t="shared" si="7"/>
        <v>2.0447047273880856</v>
      </c>
      <c r="CE10" s="13">
        <f t="shared" si="1"/>
        <v>8.2518440783876326</v>
      </c>
      <c r="CF10" s="13">
        <f t="shared" si="1"/>
        <v>2.4828557403998186</v>
      </c>
      <c r="CG10" s="13">
        <f t="shared" si="1"/>
        <v>0.48683445890192523</v>
      </c>
      <c r="CH10" s="13">
        <f t="shared" si="1"/>
        <v>6.1097724592191618</v>
      </c>
      <c r="CI10" s="13">
        <f t="shared" si="1"/>
        <v>0.97366891780385045</v>
      </c>
      <c r="CJ10" s="13">
        <f t="shared" si="1"/>
        <v>17.526040520469309</v>
      </c>
      <c r="CK10" s="13">
        <f t="shared" si="1"/>
        <v>17.891166364645752</v>
      </c>
      <c r="CL10" s="13">
        <f t="shared" si="1"/>
        <v>1.8743126667724119</v>
      </c>
      <c r="CM10" s="13">
        <f t="shared" si="1"/>
        <v>57.641199933987934</v>
      </c>
      <c r="CO10" s="13">
        <v>3</v>
      </c>
      <c r="CP10" s="13" t="s">
        <v>179</v>
      </c>
      <c r="CQ10" s="13">
        <v>736.61603633032928</v>
      </c>
      <c r="CR10" s="13">
        <v>280.60886396253625</v>
      </c>
      <c r="CS10" s="13">
        <v>1.1878140347134405</v>
      </c>
      <c r="CT10" s="13">
        <v>0</v>
      </c>
      <c r="CU10" s="13">
        <v>16.476133668232652</v>
      </c>
      <c r="CW10" s="13">
        <v>3</v>
      </c>
      <c r="CX10" s="13" t="s">
        <v>179</v>
      </c>
      <c r="CY10" s="53">
        <f t="shared" si="8"/>
        <v>1.1455616861755322</v>
      </c>
      <c r="CZ10" s="53">
        <f t="shared" si="2"/>
        <v>0.4363939250605316</v>
      </c>
      <c r="DA10" s="53">
        <f t="shared" si="2"/>
        <v>1.8472503738149546E-3</v>
      </c>
      <c r="DB10" s="53">
        <f t="shared" si="2"/>
        <v>0</v>
      </c>
      <c r="DC10" s="53">
        <f t="shared" si="2"/>
        <v>2.5623155804023218E-2</v>
      </c>
    </row>
    <row r="11" spans="1:107">
      <c r="A11" s="46" t="s">
        <v>161</v>
      </c>
      <c r="B11" s="47" t="s">
        <v>87</v>
      </c>
      <c r="C11" s="48" t="s">
        <v>88</v>
      </c>
      <c r="D11" s="49">
        <v>1.9179563850660801E-3</v>
      </c>
      <c r="E11" s="49">
        <v>3.5643024884462297E-2</v>
      </c>
      <c r="F11" s="49">
        <v>0.28227246663440397</v>
      </c>
      <c r="G11" s="49">
        <v>3.3471471861303299</v>
      </c>
      <c r="H11" s="49">
        <v>0.37845462704011201</v>
      </c>
      <c r="I11" s="49">
        <v>6.5982684693700498E-3</v>
      </c>
      <c r="J11" s="49">
        <v>8.4192735244027705E-2</v>
      </c>
      <c r="K11" s="49">
        <v>0.77681805015260696</v>
      </c>
      <c r="L11" s="49">
        <v>0.35877843729337799</v>
      </c>
      <c r="M11" s="49">
        <v>6.7617910301614098E-2</v>
      </c>
      <c r="N11" s="49">
        <v>0.24621909414724999</v>
      </c>
      <c r="O11" s="49">
        <v>0.23021439540663199</v>
      </c>
      <c r="P11" s="49">
        <v>9.9997280488891199E-2</v>
      </c>
      <c r="Q11" s="49">
        <v>2.2691083959854599E-2</v>
      </c>
      <c r="R11" s="49">
        <v>5.7680469569412002E-2</v>
      </c>
      <c r="S11" s="49">
        <v>0.24737829436577699</v>
      </c>
      <c r="T11" s="49">
        <v>0.12832944124239801</v>
      </c>
      <c r="U11" s="49">
        <v>2.4255060998315401E-2</v>
      </c>
      <c r="V11" s="49">
        <v>3.5012438947584598E-3</v>
      </c>
      <c r="W11" s="49">
        <v>2.6120492346660602E-2</v>
      </c>
      <c r="X11" s="49">
        <v>0.22132881602059101</v>
      </c>
      <c r="Y11" s="49">
        <v>0.98336913881453303</v>
      </c>
      <c r="Z11" s="49">
        <v>7.0045362166167302E-2</v>
      </c>
      <c r="AA11" s="49">
        <v>6.7591543778282499E-4</v>
      </c>
      <c r="AB11" s="49">
        <v>3.6132612551440101E-3</v>
      </c>
      <c r="AC11" s="49">
        <v>2.1248357668013799E-2</v>
      </c>
      <c r="AD11" s="49">
        <v>7.7014289179000703E-2</v>
      </c>
      <c r="AE11" s="49">
        <v>1.17008381216625E-3</v>
      </c>
      <c r="AF11" s="49">
        <v>4.5537473763438301E-2</v>
      </c>
      <c r="AG11" s="49">
        <v>3.5066224400557698E-2</v>
      </c>
      <c r="AH11" s="49">
        <v>0.78931775024906103</v>
      </c>
      <c r="AI11" s="49">
        <v>0.44280833664512897</v>
      </c>
      <c r="AJ11" s="49">
        <v>0.56376093539884098</v>
      </c>
      <c r="AK11" s="49">
        <v>0.39399716784602701</v>
      </c>
      <c r="AL11" s="50">
        <v>84.964620207045996</v>
      </c>
      <c r="AM11" s="50">
        <v>0.38056022952391</v>
      </c>
      <c r="AN11" s="50">
        <v>0</v>
      </c>
      <c r="AO11" s="50">
        <v>0.105114890184802</v>
      </c>
      <c r="AP11" s="50">
        <v>1.16520323488674</v>
      </c>
      <c r="AQ11" s="50">
        <v>31.620553834027778</v>
      </c>
      <c r="AR11" s="54">
        <v>128.31083302728101</v>
      </c>
      <c r="AT11" s="16">
        <v>118.23605239566923</v>
      </c>
      <c r="AV11" s="36">
        <v>128.31083302728098</v>
      </c>
      <c r="AW11" s="52">
        <f t="shared" si="3"/>
        <v>0</v>
      </c>
      <c r="AY11" s="13">
        <v>41.308521858713497</v>
      </c>
      <c r="AZ11" s="53">
        <f t="shared" si="4"/>
        <v>0.32194103088653958</v>
      </c>
      <c r="BB11" s="13" t="s">
        <v>88</v>
      </c>
      <c r="BC11" s="13" t="s">
        <v>226</v>
      </c>
      <c r="BD11" s="13">
        <f t="shared" si="5"/>
        <v>1.4653360794476076</v>
      </c>
      <c r="BE11" s="13">
        <f t="shared" si="0"/>
        <v>5.9136777491992722</v>
      </c>
      <c r="BF11" s="13">
        <f t="shared" si="0"/>
        <v>1.7793366679006661</v>
      </c>
      <c r="BG11" s="13">
        <f t="shared" si="0"/>
        <v>0.34888954272562078</v>
      </c>
      <c r="BH11" s="13">
        <f t="shared" si="0"/>
        <v>4.3785637612065411</v>
      </c>
      <c r="BI11" s="13">
        <f t="shared" si="0"/>
        <v>0.69777908545124157</v>
      </c>
      <c r="BJ11" s="13">
        <f t="shared" si="0"/>
        <v>12.56002353812235</v>
      </c>
      <c r="BK11" s="13">
        <f t="shared" si="0"/>
        <v>12.821690695166565</v>
      </c>
      <c r="BL11" s="13">
        <f t="shared" si="0"/>
        <v>1.3432247394936401</v>
      </c>
      <c r="BM11" s="13">
        <f t="shared" si="6"/>
        <v>41.308521858713505</v>
      </c>
      <c r="BO11" s="13" t="s">
        <v>88</v>
      </c>
      <c r="BP11" s="13" t="s">
        <v>87</v>
      </c>
      <c r="BQ11" s="13">
        <v>311.90615089209405</v>
      </c>
      <c r="BR11" s="13">
        <v>1258.7641089573794</v>
      </c>
      <c r="BS11" s="13">
        <v>378.74318322611418</v>
      </c>
      <c r="BT11" s="13">
        <v>74.263369260022387</v>
      </c>
      <c r="BU11" s="13">
        <v>932.00528421328102</v>
      </c>
      <c r="BV11" s="13">
        <v>148.52673852004477</v>
      </c>
      <c r="BW11" s="13">
        <v>2673.4812933608059</v>
      </c>
      <c r="BX11" s="13">
        <v>2729.1788203058227</v>
      </c>
      <c r="BY11" s="13">
        <v>285.91397165108617</v>
      </c>
      <c r="BZ11" s="13">
        <v>8792.7829203866495</v>
      </c>
      <c r="CB11" s="13" t="s">
        <v>88</v>
      </c>
      <c r="CC11" s="13" t="s">
        <v>87</v>
      </c>
      <c r="CD11" s="13">
        <f t="shared" si="7"/>
        <v>2.4308637356112999</v>
      </c>
      <c r="CE11" s="13">
        <f t="shared" si="1"/>
        <v>9.8102715044313165</v>
      </c>
      <c r="CF11" s="13">
        <f t="shared" si="1"/>
        <v>2.9517631075280066</v>
      </c>
      <c r="CG11" s="13">
        <f t="shared" si="1"/>
        <v>0.57877707990745231</v>
      </c>
      <c r="CH11" s="13">
        <f t="shared" si="1"/>
        <v>7.2636523528385268</v>
      </c>
      <c r="CI11" s="13">
        <f t="shared" si="1"/>
        <v>1.1575541598149046</v>
      </c>
      <c r="CJ11" s="13">
        <f t="shared" si="1"/>
        <v>20.835974876668281</v>
      </c>
      <c r="CK11" s="13">
        <f t="shared" si="1"/>
        <v>21.270057686598872</v>
      </c>
      <c r="CL11" s="13">
        <f t="shared" si="1"/>
        <v>2.2282917576436914</v>
      </c>
      <c r="CM11" s="13">
        <f t="shared" si="1"/>
        <v>68.527206261042338</v>
      </c>
      <c r="CO11" s="13">
        <v>4</v>
      </c>
      <c r="CP11" s="13" t="s">
        <v>180</v>
      </c>
      <c r="CQ11" s="13">
        <v>257.57701674707528</v>
      </c>
      <c r="CR11" s="13">
        <v>63.024612753894836</v>
      </c>
      <c r="CS11" s="13">
        <v>0.48447420597099494</v>
      </c>
      <c r="CT11" s="13">
        <v>0</v>
      </c>
      <c r="CU11" s="13">
        <v>6.7201275141648802</v>
      </c>
      <c r="CW11" s="13">
        <v>4</v>
      </c>
      <c r="CX11" s="13" t="s">
        <v>180</v>
      </c>
      <c r="CY11" s="53">
        <f t="shared" si="8"/>
        <v>2.0074455965250428</v>
      </c>
      <c r="CZ11" s="53">
        <f t="shared" si="2"/>
        <v>0.4911869969739403</v>
      </c>
      <c r="DA11" s="53">
        <f t="shared" si="2"/>
        <v>3.7757856802939447E-3</v>
      </c>
      <c r="DB11" s="53">
        <f t="shared" si="2"/>
        <v>0</v>
      </c>
      <c r="DC11" s="53">
        <f t="shared" si="2"/>
        <v>5.2373812527084673E-2</v>
      </c>
    </row>
    <row r="12" spans="1:107" ht="15">
      <c r="A12" s="46">
        <v>19</v>
      </c>
      <c r="B12" s="47" t="s">
        <v>89</v>
      </c>
      <c r="C12" s="48" t="s">
        <v>90</v>
      </c>
      <c r="D12" s="49">
        <v>2.02853499348234E-4</v>
      </c>
      <c r="E12" s="49">
        <v>3.76980017974719E-3</v>
      </c>
      <c r="F12" s="49">
        <v>2.9854671395186001E-2</v>
      </c>
      <c r="G12" s="49">
        <v>0.37922646158067402</v>
      </c>
      <c r="H12" s="49">
        <v>4.0027419829451703E-2</v>
      </c>
      <c r="I12" s="49">
        <v>6.9786876233096401E-4</v>
      </c>
      <c r="J12" s="49">
        <v>8.9046816168147896E-3</v>
      </c>
      <c r="K12" s="49">
        <v>8.2160502218562997E-2</v>
      </c>
      <c r="L12" s="49">
        <v>3.7946358979975101E-2</v>
      </c>
      <c r="M12" s="49">
        <v>7.1516379778494999E-3</v>
      </c>
      <c r="N12" s="49">
        <v>2.6041470621033399E-2</v>
      </c>
      <c r="O12" s="49">
        <v>2.43487266301756E-2</v>
      </c>
      <c r="P12" s="49">
        <v>1.0576256285295901E-2</v>
      </c>
      <c r="Q12" s="49">
        <v>2.3999324599357501E-3</v>
      </c>
      <c r="R12" s="49">
        <v>6.1006001947231199E-3</v>
      </c>
      <c r="S12" s="49">
        <v>2.6164073941215601E-2</v>
      </c>
      <c r="T12" s="49">
        <v>1.3572819709624E-2</v>
      </c>
      <c r="U12" s="49">
        <v>2.5653471782381598E-3</v>
      </c>
      <c r="V12" s="49">
        <v>3.7031059812078201E-4</v>
      </c>
      <c r="W12" s="49">
        <v>2.7626453440109601E-3</v>
      </c>
      <c r="X12" s="49">
        <v>2.3408939424256901E-2</v>
      </c>
      <c r="Y12" s="49">
        <v>0.10400646881900499</v>
      </c>
      <c r="Z12" s="49">
        <v>7.4083784903335604E-3</v>
      </c>
      <c r="AA12" s="49">
        <v>7.14884931093025E-5</v>
      </c>
      <c r="AB12" s="49">
        <v>3.8215816343503602E-4</v>
      </c>
      <c r="AC12" s="49">
        <v>2.2473418800975499E-3</v>
      </c>
      <c r="AD12" s="49">
        <v>8.1454501162908002E-3</v>
      </c>
      <c r="AE12" s="49">
        <v>1.2375442824288699E-4</v>
      </c>
      <c r="AF12" s="49">
        <v>4.8162909106369599E-3</v>
      </c>
      <c r="AG12" s="49">
        <v>3.7087946232617201E-3</v>
      </c>
      <c r="AH12" s="49">
        <v>8.3482538488580907E-2</v>
      </c>
      <c r="AI12" s="49">
        <v>4.6833818187132802E-2</v>
      </c>
      <c r="AJ12" s="49">
        <v>5.9626422911357502E-2</v>
      </c>
      <c r="AK12" s="49">
        <v>4.1671283483386903E-2</v>
      </c>
      <c r="AL12" s="50">
        <v>8.9863203689061599</v>
      </c>
      <c r="AM12" s="50">
        <v>4.0250119800838299E-2</v>
      </c>
      <c r="AN12" s="50">
        <v>0</v>
      </c>
      <c r="AO12" s="50">
        <v>1.1117522522212001E-2</v>
      </c>
      <c r="AP12" s="50">
        <v>0.123268416245152</v>
      </c>
      <c r="AQ12" s="50">
        <v>3.3437715205520608</v>
      </c>
      <c r="AR12" s="54">
        <v>13.595505515447863</v>
      </c>
      <c r="AT12" s="16">
        <v>12.504727948026423</v>
      </c>
      <c r="AV12" s="36">
        <v>13.59550551544786</v>
      </c>
      <c r="AW12" s="52">
        <f t="shared" si="3"/>
        <v>0</v>
      </c>
      <c r="AY12" s="13">
        <v>4.3769510610669196</v>
      </c>
      <c r="AZ12" s="53">
        <f t="shared" si="4"/>
        <v>0.32194103088653958</v>
      </c>
      <c r="BB12" s="13" t="s">
        <v>90</v>
      </c>
      <c r="BC12" t="s">
        <v>227</v>
      </c>
      <c r="BD12" s="13">
        <f t="shared" si="5"/>
        <v>0.15526346669325219</v>
      </c>
      <c r="BE12" s="13">
        <f t="shared" si="0"/>
        <v>0.62659899058348201</v>
      </c>
      <c r="BF12" s="13">
        <f t="shared" si="0"/>
        <v>0.18853420955609196</v>
      </c>
      <c r="BG12" s="13">
        <f t="shared" si="0"/>
        <v>3.6967492069821951E-2</v>
      </c>
      <c r="BH12" s="13">
        <f t="shared" si="0"/>
        <v>0.46394202547626545</v>
      </c>
      <c r="BI12" s="13">
        <f t="shared" si="0"/>
        <v>7.3934984139643903E-2</v>
      </c>
      <c r="BJ12" s="13">
        <f t="shared" si="0"/>
        <v>1.3308297145135901</v>
      </c>
      <c r="BK12" s="13">
        <f t="shared" si="0"/>
        <v>1.3585553335659568</v>
      </c>
      <c r="BL12" s="13">
        <f t="shared" si="0"/>
        <v>0.14232484446881449</v>
      </c>
      <c r="BM12" s="13">
        <f t="shared" si="6"/>
        <v>4.3769510610669187</v>
      </c>
      <c r="BO12" s="13" t="s">
        <v>90</v>
      </c>
      <c r="BP12" s="13" t="s">
        <v>89</v>
      </c>
      <c r="BQ12" s="13">
        <v>33.048821324805623</v>
      </c>
      <c r="BR12" s="13">
        <v>133.37560034653697</v>
      </c>
      <c r="BS12" s="13">
        <v>40.130711608692543</v>
      </c>
      <c r="BT12" s="13">
        <v>7.8687669820965773</v>
      </c>
      <c r="BU12" s="13">
        <v>98.753025625312034</v>
      </c>
      <c r="BV12" s="13">
        <v>15.737533964193155</v>
      </c>
      <c r="BW12" s="13">
        <v>283.27561135547677</v>
      </c>
      <c r="BX12" s="13">
        <v>289.17718659204922</v>
      </c>
      <c r="BY12" s="13">
        <v>30.294752881071823</v>
      </c>
      <c r="BZ12" s="13">
        <v>931.66201068023486</v>
      </c>
      <c r="CB12" s="13" t="s">
        <v>90</v>
      </c>
      <c r="CC12" s="13" t="s">
        <v>89</v>
      </c>
      <c r="CD12" s="13">
        <f t="shared" si="7"/>
        <v>2.4308637356112999</v>
      </c>
      <c r="CE12" s="13">
        <f t="shared" si="1"/>
        <v>9.8102715044313165</v>
      </c>
      <c r="CF12" s="13">
        <f t="shared" si="1"/>
        <v>2.9517631075280071</v>
      </c>
      <c r="CG12" s="13">
        <f t="shared" si="1"/>
        <v>0.57877707990745242</v>
      </c>
      <c r="CH12" s="13">
        <f t="shared" si="1"/>
        <v>7.2636523528385259</v>
      </c>
      <c r="CI12" s="13">
        <f t="shared" si="1"/>
        <v>1.1575541598149048</v>
      </c>
      <c r="CJ12" s="13">
        <f t="shared" si="1"/>
        <v>20.835974876668285</v>
      </c>
      <c r="CK12" s="13">
        <f t="shared" si="1"/>
        <v>21.270057686598875</v>
      </c>
      <c r="CL12" s="13">
        <f t="shared" si="1"/>
        <v>2.2282917576436918</v>
      </c>
      <c r="CM12" s="13">
        <f t="shared" si="1"/>
        <v>68.527206261042366</v>
      </c>
      <c r="CO12" s="13">
        <v>5</v>
      </c>
      <c r="CP12" s="13" t="s">
        <v>181</v>
      </c>
      <c r="CQ12" s="13">
        <v>33.107264818211071</v>
      </c>
      <c r="CR12" s="13">
        <v>6.1392604137122442</v>
      </c>
      <c r="CS12" s="13">
        <v>6.5430241104568063E-2</v>
      </c>
      <c r="CT12" s="13">
        <v>0</v>
      </c>
      <c r="CU12" s="13">
        <v>0.90758095701708863</v>
      </c>
      <c r="CW12" s="13">
        <v>5</v>
      </c>
      <c r="CX12" s="13" t="s">
        <v>181</v>
      </c>
      <c r="CY12" s="53">
        <f t="shared" si="8"/>
        <v>2.435162471935524</v>
      </c>
      <c r="CZ12" s="53">
        <f t="shared" si="2"/>
        <v>0.45156543879420469</v>
      </c>
      <c r="DA12" s="53">
        <f t="shared" si="2"/>
        <v>4.8126376051426034E-3</v>
      </c>
      <c r="DB12" s="53">
        <f t="shared" si="2"/>
        <v>0</v>
      </c>
      <c r="DC12" s="53">
        <f t="shared" si="2"/>
        <v>6.6755955193122593E-2</v>
      </c>
    </row>
    <row r="13" spans="1:107" ht="15">
      <c r="A13" s="46">
        <v>20</v>
      </c>
      <c r="B13" s="47" t="s">
        <v>91</v>
      </c>
      <c r="C13" s="48" t="s">
        <v>92</v>
      </c>
      <c r="D13" s="49">
        <v>3.8517519534172302E-4</v>
      </c>
      <c r="E13" s="49">
        <v>3.0833725457673601E-3</v>
      </c>
      <c r="F13" s="49">
        <v>2.3914115005964898E-2</v>
      </c>
      <c r="G13" s="49">
        <v>2.9565573485649301E-4</v>
      </c>
      <c r="H13" s="49">
        <v>3.1206514900776197E-5</v>
      </c>
      <c r="I13" s="49">
        <v>1.6626927289274399E-2</v>
      </c>
      <c r="J13" s="49">
        <v>0.15233445655587799</v>
      </c>
      <c r="K13" s="49">
        <v>1.34819252215069E-2</v>
      </c>
      <c r="L13" s="49">
        <v>6.22671430166713E-3</v>
      </c>
      <c r="M13" s="49">
        <v>1.3500972807511301E-2</v>
      </c>
      <c r="N13" s="49">
        <v>4.9161491089332203E-2</v>
      </c>
      <c r="O13" s="49">
        <v>7.2919216700473299E-2</v>
      </c>
      <c r="P13" s="49">
        <v>6.58979434092106E-3</v>
      </c>
      <c r="Q13" s="49">
        <v>1.4953364325205401E-3</v>
      </c>
      <c r="R13" s="49">
        <v>3.80112769159162E-3</v>
      </c>
      <c r="S13" s="49">
        <v>9.9972398350372596E-2</v>
      </c>
      <c r="T13" s="49">
        <v>1.6183525202614998E-2</v>
      </c>
      <c r="U13" s="49">
        <v>0.34998044068329698</v>
      </c>
      <c r="V13" s="49">
        <v>1.0601191217991699E-3</v>
      </c>
      <c r="W13" s="49">
        <v>4.5637326603121198E-2</v>
      </c>
      <c r="X13" s="49">
        <v>6.1880320208436798E-2</v>
      </c>
      <c r="Y13" s="49">
        <v>6.0578199073964799E-2</v>
      </c>
      <c r="Z13" s="49">
        <v>7.39463685971387E-3</v>
      </c>
      <c r="AA13" s="49">
        <v>7.1355890750075598E-5</v>
      </c>
      <c r="AB13" s="49">
        <v>3.8144930706018198E-4</v>
      </c>
      <c r="AC13" s="49">
        <v>2.2431733374086498E-3</v>
      </c>
      <c r="AD13" s="49">
        <v>1.0550598309248699E-2</v>
      </c>
      <c r="AE13" s="49">
        <v>4.6996612063388798E-5</v>
      </c>
      <c r="AF13" s="49">
        <v>6.5738698906864096E-3</v>
      </c>
      <c r="AG13" s="49">
        <v>5.0622218958479596E-3</v>
      </c>
      <c r="AH13" s="49">
        <v>2.4156230883787901E-2</v>
      </c>
      <c r="AI13" s="49">
        <v>2.6508897727274699E-2</v>
      </c>
      <c r="AJ13" s="49">
        <v>2.7706604397014101E-3</v>
      </c>
      <c r="AK13" s="49">
        <v>4.4242045576835601E-2</v>
      </c>
      <c r="AL13" s="50">
        <v>1.8517086985319799</v>
      </c>
      <c r="AM13" s="50">
        <v>2.55759961235947E-4</v>
      </c>
      <c r="AN13" s="50">
        <v>0</v>
      </c>
      <c r="AO13" s="50">
        <v>6.9802044846605299E-3</v>
      </c>
      <c r="AP13" s="50">
        <v>1.03293410194119E-2</v>
      </c>
      <c r="AQ13" s="50">
        <v>0.95137723261373963</v>
      </c>
      <c r="AR13" s="54">
        <v>3.9497931900125209</v>
      </c>
      <c r="AT13" s="16">
        <v>2.8206512366110279</v>
      </c>
      <c r="AV13" s="36">
        <v>3.9497931900125209</v>
      </c>
      <c r="AW13" s="52">
        <f t="shared" si="3"/>
        <v>0</v>
      </c>
      <c r="AY13" s="13">
        <v>1.68225539393386</v>
      </c>
      <c r="AZ13" s="53">
        <f t="shared" si="4"/>
        <v>0.4259097408410204</v>
      </c>
      <c r="BB13" s="13" t="s">
        <v>92</v>
      </c>
      <c r="BC13" t="s">
        <v>228</v>
      </c>
      <c r="BD13" s="13">
        <f t="shared" si="5"/>
        <v>5.9674600122653826E-2</v>
      </c>
      <c r="BE13" s="13">
        <f t="shared" si="0"/>
        <v>0.24082963620928149</v>
      </c>
      <c r="BF13" s="13">
        <f t="shared" si="0"/>
        <v>7.246201443465107E-2</v>
      </c>
      <c r="BG13" s="13">
        <f t="shared" si="0"/>
        <v>1.4208238124441384E-2</v>
      </c>
      <c r="BH13" s="13">
        <f t="shared" si="0"/>
        <v>0.17831338846173939</v>
      </c>
      <c r="BI13" s="13">
        <f t="shared" si="0"/>
        <v>2.8416476248882768E-2</v>
      </c>
      <c r="BJ13" s="13">
        <f t="shared" si="0"/>
        <v>0.51149657247988989</v>
      </c>
      <c r="BK13" s="13">
        <f t="shared" si="0"/>
        <v>0.52215275107322101</v>
      </c>
      <c r="BL13" s="13">
        <f t="shared" si="0"/>
        <v>5.4701716779099338E-2</v>
      </c>
      <c r="BM13" s="13">
        <f t="shared" si="6"/>
        <v>1.6822553939338603</v>
      </c>
      <c r="BO13" s="13" t="s">
        <v>92</v>
      </c>
      <c r="BP13" s="13" t="s">
        <v>91</v>
      </c>
      <c r="BQ13" s="13">
        <v>12.702120074255182</v>
      </c>
      <c r="BR13" s="13">
        <v>51.262127442529838</v>
      </c>
      <c r="BS13" s="13">
        <v>15.424002947309864</v>
      </c>
      <c r="BT13" s="13">
        <v>3.0243143033940907</v>
      </c>
      <c r="BU13" s="13">
        <v>37.95514450759584</v>
      </c>
      <c r="BV13" s="13">
        <v>6.0486286067881814</v>
      </c>
      <c r="BW13" s="13">
        <v>108.87531492218727</v>
      </c>
      <c r="BX13" s="13">
        <v>111.14355064973284</v>
      </c>
      <c r="BY13" s="13">
        <v>11.64361006806725</v>
      </c>
      <c r="BZ13" s="13">
        <v>358.07881352186035</v>
      </c>
      <c r="CB13" s="13" t="s">
        <v>92</v>
      </c>
      <c r="CC13" s="13" t="s">
        <v>91</v>
      </c>
      <c r="CD13" s="13">
        <f t="shared" si="7"/>
        <v>3.21589497555818</v>
      </c>
      <c r="CE13" s="13">
        <f t="shared" si="1"/>
        <v>12.97843329421694</v>
      </c>
      <c r="CF13" s="13">
        <f t="shared" si="1"/>
        <v>3.9050153274635044</v>
      </c>
      <c r="CG13" s="13">
        <f t="shared" si="1"/>
        <v>0.76568927989480473</v>
      </c>
      <c r="CH13" s="13">
        <f t="shared" si="1"/>
        <v>9.6094004626797993</v>
      </c>
      <c r="CI13" s="13">
        <f t="shared" si="1"/>
        <v>1.5313785597896095</v>
      </c>
      <c r="CJ13" s="13">
        <f t="shared" si="1"/>
        <v>27.564814076212972</v>
      </c>
      <c r="CK13" s="13">
        <f t="shared" si="1"/>
        <v>28.139081036134076</v>
      </c>
      <c r="CL13" s="13">
        <f t="shared" si="1"/>
        <v>2.9479037275949982</v>
      </c>
      <c r="CM13" s="13">
        <f t="shared" si="1"/>
        <v>90.657610739544879</v>
      </c>
      <c r="CO13" s="13">
        <v>6</v>
      </c>
      <c r="CP13" s="13" t="s">
        <v>182</v>
      </c>
      <c r="CQ13" s="13">
        <v>22.71378944775423</v>
      </c>
      <c r="CR13" s="13">
        <v>1.7543551177829022</v>
      </c>
      <c r="CS13" s="13">
        <v>4.9561495492031871E-2</v>
      </c>
      <c r="CT13" s="13">
        <v>0</v>
      </c>
      <c r="CU13" s="13">
        <v>0.68746605163764274</v>
      </c>
      <c r="CW13" s="13">
        <v>6</v>
      </c>
      <c r="CX13" s="13" t="s">
        <v>182</v>
      </c>
      <c r="CY13" s="53">
        <f t="shared" si="8"/>
        <v>5.7506275278382937</v>
      </c>
      <c r="CZ13" s="53">
        <f t="shared" si="2"/>
        <v>0.44416379121291177</v>
      </c>
      <c r="DA13" s="53">
        <f t="shared" si="2"/>
        <v>1.2547871016982223E-2</v>
      </c>
      <c r="DB13" s="53">
        <f t="shared" si="2"/>
        <v>0</v>
      </c>
      <c r="DC13" s="53">
        <f t="shared" si="2"/>
        <v>0.17405115117823763</v>
      </c>
    </row>
    <row r="14" spans="1:107" ht="15">
      <c r="A14" s="46" t="s">
        <v>162</v>
      </c>
      <c r="B14" s="47" t="s">
        <v>93</v>
      </c>
      <c r="C14" s="48" t="s">
        <v>94</v>
      </c>
      <c r="D14" s="49">
        <v>1.12307231579582E-2</v>
      </c>
      <c r="E14" s="49">
        <v>8.7607994861008606E-2</v>
      </c>
      <c r="F14" s="49">
        <v>0.34312789748198202</v>
      </c>
      <c r="G14" s="49">
        <v>2.3196665638752799E-2</v>
      </c>
      <c r="H14" s="49">
        <v>2.4484121448056098E-3</v>
      </c>
      <c r="I14" s="49">
        <v>0.20582268989264399</v>
      </c>
      <c r="J14" s="49">
        <v>1.3532635416604</v>
      </c>
      <c r="K14" s="49">
        <v>0.18267616580984899</v>
      </c>
      <c r="L14" s="49">
        <v>8.4370167875383401E-2</v>
      </c>
      <c r="M14" s="49">
        <v>0.131620483703668</v>
      </c>
      <c r="N14" s="49">
        <v>0.479273555248662</v>
      </c>
      <c r="O14" s="49">
        <v>0.94402352760613395</v>
      </c>
      <c r="P14" s="49">
        <v>9.9656614580167502E-2</v>
      </c>
      <c r="Q14" s="49">
        <v>2.26137810702229E-2</v>
      </c>
      <c r="R14" s="49">
        <v>5.7483966529675502E-2</v>
      </c>
      <c r="S14" s="49">
        <v>0.87684298135317296</v>
      </c>
      <c r="T14" s="49">
        <v>0.28172083091508698</v>
      </c>
      <c r="U14" s="49">
        <v>3.0704924180275999</v>
      </c>
      <c r="V14" s="49">
        <v>1.54535877606928E-2</v>
      </c>
      <c r="W14" s="49">
        <v>0.48384832784739401</v>
      </c>
      <c r="X14" s="49">
        <v>1.2888535864306401</v>
      </c>
      <c r="Y14" s="49">
        <v>0.73539986326442697</v>
      </c>
      <c r="Z14" s="49">
        <v>7.4604433170623694E-2</v>
      </c>
      <c r="AA14" s="49">
        <v>7.1990902106318204E-4</v>
      </c>
      <c r="AB14" s="49">
        <v>3.8484390615028999E-3</v>
      </c>
      <c r="AC14" s="49">
        <v>2.2631358174267899E-2</v>
      </c>
      <c r="AD14" s="49">
        <v>0.12696247946019401</v>
      </c>
      <c r="AE14" s="49">
        <v>8.0066201035611004E-2</v>
      </c>
      <c r="AF14" s="49">
        <v>6.5417540257969198E-2</v>
      </c>
      <c r="AG14" s="49">
        <v>5.0374910086914901E-2</v>
      </c>
      <c r="AH14" s="49">
        <v>0.44159581089754102</v>
      </c>
      <c r="AI14" s="49">
        <v>0.78944446963847803</v>
      </c>
      <c r="AJ14" s="49">
        <v>0.12968381302128201</v>
      </c>
      <c r="AK14" s="49">
        <v>0.55237798473641497</v>
      </c>
      <c r="AL14" s="50">
        <v>16.282415815947399</v>
      </c>
      <c r="AM14" s="50">
        <v>3.9456840381070198E-3</v>
      </c>
      <c r="AN14" s="50">
        <v>0.17572228859660799</v>
      </c>
      <c r="AO14" s="50">
        <v>5.8627837264681099E-2</v>
      </c>
      <c r="AP14" s="50">
        <v>0.19917203468174899</v>
      </c>
      <c r="AQ14" s="50">
        <v>9.6412972226915219</v>
      </c>
      <c r="AR14" s="54">
        <v>39.479936014642256</v>
      </c>
      <c r="AT14" s="16">
        <v>26.361180883220065</v>
      </c>
      <c r="AV14" s="36">
        <v>39.479936014642227</v>
      </c>
      <c r="AW14" s="52">
        <f t="shared" si="3"/>
        <v>0</v>
      </c>
      <c r="AY14" s="13">
        <v>13.251193717242099</v>
      </c>
      <c r="AZ14" s="53">
        <f t="shared" si="4"/>
        <v>0.33564374856959034</v>
      </c>
      <c r="BB14" s="13" t="s">
        <v>94</v>
      </c>
      <c r="BC14" t="s">
        <v>229</v>
      </c>
      <c r="BD14" s="13">
        <f t="shared" si="5"/>
        <v>0.47005923659135829</v>
      </c>
      <c r="BE14" s="13">
        <f t="shared" si="0"/>
        <v>1.8970247762436958</v>
      </c>
      <c r="BF14" s="13">
        <f t="shared" si="0"/>
        <v>0.57078621586093503</v>
      </c>
      <c r="BG14" s="13">
        <f t="shared" si="0"/>
        <v>0.1119188658550853</v>
      </c>
      <c r="BH14" s="13">
        <f t="shared" si="0"/>
        <v>1.4045817664813207</v>
      </c>
      <c r="BI14" s="13">
        <f t="shared" si="0"/>
        <v>0.2238377317101706</v>
      </c>
      <c r="BJ14" s="13">
        <f t="shared" si="0"/>
        <v>4.0290791707830715</v>
      </c>
      <c r="BK14" s="13">
        <f t="shared" si="0"/>
        <v>4.1130183201743851</v>
      </c>
      <c r="BL14" s="13">
        <f t="shared" si="0"/>
        <v>0.43088763354207843</v>
      </c>
      <c r="BM14" s="13">
        <f t="shared" si="6"/>
        <v>13.251193717242099</v>
      </c>
      <c r="BO14" s="13" t="s">
        <v>94</v>
      </c>
      <c r="BP14" s="13" t="s">
        <v>93</v>
      </c>
      <c r="BQ14" s="13">
        <v>100.05511311217865</v>
      </c>
      <c r="BR14" s="13">
        <v>403.79384934557811</v>
      </c>
      <c r="BS14" s="13">
        <v>121.49549449335977</v>
      </c>
      <c r="BT14" s="13">
        <v>23.822645979090154</v>
      </c>
      <c r="BU14" s="13">
        <v>298.97420703758144</v>
      </c>
      <c r="BV14" s="13">
        <v>47.645291958180309</v>
      </c>
      <c r="BW14" s="13">
        <v>857.6152552472455</v>
      </c>
      <c r="BX14" s="13">
        <v>875.48223973156314</v>
      </c>
      <c r="BY14" s="13">
        <v>91.717187019497089</v>
      </c>
      <c r="BZ14" s="13">
        <v>2820.601283924274</v>
      </c>
      <c r="CB14" s="13" t="s">
        <v>94</v>
      </c>
      <c r="CC14" s="13" t="s">
        <v>93</v>
      </c>
      <c r="CD14" s="13">
        <f t="shared" si="7"/>
        <v>2.5343281477221837</v>
      </c>
      <c r="CE14" s="13">
        <f t="shared" si="1"/>
        <v>10.227824310450242</v>
      </c>
      <c r="CF14" s="13">
        <f t="shared" si="1"/>
        <v>3.0773984650912229</v>
      </c>
      <c r="CG14" s="13">
        <f t="shared" si="1"/>
        <v>0.60341146374337717</v>
      </c>
      <c r="CH14" s="13">
        <f t="shared" si="1"/>
        <v>7.5728138699793828</v>
      </c>
      <c r="CI14" s="13">
        <f t="shared" si="1"/>
        <v>1.2068229274867543</v>
      </c>
      <c r="CJ14" s="13">
        <f t="shared" si="1"/>
        <v>21.722812694761576</v>
      </c>
      <c r="CK14" s="13">
        <f t="shared" si="1"/>
        <v>22.175371292569107</v>
      </c>
      <c r="CL14" s="13">
        <f t="shared" si="1"/>
        <v>2.3231341354120016</v>
      </c>
      <c r="CM14" s="13">
        <f t="shared" si="1"/>
        <v>71.443917307215841</v>
      </c>
      <c r="CO14" s="13">
        <v>7</v>
      </c>
      <c r="CP14" s="13" t="s">
        <v>183</v>
      </c>
      <c r="CQ14" s="13">
        <v>78.99374344440163</v>
      </c>
      <c r="CR14" s="13">
        <v>17.757572465338427</v>
      </c>
      <c r="CS14" s="13">
        <v>0.15893345671873219</v>
      </c>
      <c r="CT14" s="13">
        <v>0</v>
      </c>
      <c r="CU14" s="13">
        <v>2.2045613208163837</v>
      </c>
      <c r="CW14" s="13">
        <v>7</v>
      </c>
      <c r="CX14" s="13" t="s">
        <v>183</v>
      </c>
      <c r="CY14" s="53">
        <f t="shared" si="8"/>
        <v>2.0008579399699271</v>
      </c>
      <c r="CZ14" s="53">
        <f t="shared" si="2"/>
        <v>0.44978726558099097</v>
      </c>
      <c r="DA14" s="53">
        <f t="shared" si="2"/>
        <v>4.0256766540803712E-3</v>
      </c>
      <c r="DB14" s="53">
        <f t="shared" si="2"/>
        <v>0</v>
      </c>
      <c r="DC14" s="53">
        <f t="shared" si="2"/>
        <v>5.584004290176052E-2</v>
      </c>
    </row>
    <row r="15" spans="1:107">
      <c r="A15" s="46">
        <v>23</v>
      </c>
      <c r="B15" s="47" t="s">
        <v>95</v>
      </c>
      <c r="C15" s="48" t="s">
        <v>96</v>
      </c>
      <c r="D15" s="49">
        <v>2.2130152200826498</v>
      </c>
      <c r="E15" s="49">
        <v>0.952800340978042</v>
      </c>
      <c r="F15" s="49">
        <v>0.190984390102514</v>
      </c>
      <c r="G15" s="49">
        <v>0.141127946943953</v>
      </c>
      <c r="H15" s="49">
        <v>1.48960796629232E-2</v>
      </c>
      <c r="I15" s="49">
        <v>1.0911787999223301E-2</v>
      </c>
      <c r="J15" s="49">
        <v>0.16828597804131101</v>
      </c>
      <c r="K15" s="49">
        <v>0.44978891269892002</v>
      </c>
      <c r="L15" s="49">
        <v>0.207737916463582</v>
      </c>
      <c r="M15" s="49">
        <v>4.5088967209401497E-2</v>
      </c>
      <c r="N15" s="49">
        <v>0.16418378818295001</v>
      </c>
      <c r="O15" s="49">
        <v>1.5555215040216399</v>
      </c>
      <c r="P15" s="49">
        <v>0.12195166209180899</v>
      </c>
      <c r="Q15" s="49">
        <v>2.76729066034598E-2</v>
      </c>
      <c r="R15" s="49">
        <v>7.03442043607104E-2</v>
      </c>
      <c r="S15" s="49">
        <v>1.9759600619989201E-2</v>
      </c>
      <c r="T15" s="49">
        <v>1.6404699230144899</v>
      </c>
      <c r="U15" s="49">
        <v>8.6613918526965197</v>
      </c>
      <c r="V15" s="49">
        <v>0.10687936522962101</v>
      </c>
      <c r="W15" s="49">
        <v>0.94616081322609003</v>
      </c>
      <c r="X15" s="49">
        <v>6.5938171643759098</v>
      </c>
      <c r="Y15" s="49">
        <v>1.6129210514517E-2</v>
      </c>
      <c r="Z15" s="49">
        <v>5.1022492669931401</v>
      </c>
      <c r="AA15" s="49">
        <v>4.1192671374420599E-2</v>
      </c>
      <c r="AB15" s="49">
        <v>0.22020488829387599</v>
      </c>
      <c r="AC15" s="49">
        <v>1.51968277311299</v>
      </c>
      <c r="AD15" s="49">
        <v>2.2148989253795701</v>
      </c>
      <c r="AE15" s="49">
        <v>4.70080903393051E-2</v>
      </c>
      <c r="AF15" s="49">
        <v>0.377051373860253</v>
      </c>
      <c r="AG15" s="49">
        <v>0.29034917823961198</v>
      </c>
      <c r="AH15" s="49">
        <v>0.71652912678080605</v>
      </c>
      <c r="AI15" s="49">
        <v>3.2257143747974198E-2</v>
      </c>
      <c r="AJ15" s="49">
        <v>0.40635280616209202</v>
      </c>
      <c r="AK15" s="49">
        <v>0.198396447389867</v>
      </c>
      <c r="AL15" s="50">
        <v>30.250183004462301</v>
      </c>
      <c r="AM15" s="50">
        <v>0.61423419069449503</v>
      </c>
      <c r="AN15" s="50">
        <v>0</v>
      </c>
      <c r="AO15" s="50">
        <v>7.0251812528014597</v>
      </c>
      <c r="AP15" s="50">
        <v>1.9261330396324901</v>
      </c>
      <c r="AQ15" s="50">
        <v>9.4063350435427289</v>
      </c>
      <c r="AR15" s="54">
        <v>84.707158757927587</v>
      </c>
      <c r="AT15" s="16">
        <v>49.222066531133478</v>
      </c>
      <c r="AV15" s="36">
        <v>84.70715875792763</v>
      </c>
      <c r="AW15" s="52">
        <f t="shared" si="3"/>
        <v>0</v>
      </c>
      <c r="AY15" s="13">
        <v>29.5295096869655</v>
      </c>
      <c r="AZ15" s="53">
        <f t="shared" si="4"/>
        <v>0.34860701409373962</v>
      </c>
      <c r="BB15" s="13" t="s">
        <v>96</v>
      </c>
      <c r="BC15" s="13" t="s">
        <v>95</v>
      </c>
      <c r="BD15" s="13">
        <f t="shared" si="5"/>
        <v>1.0474994990308706</v>
      </c>
      <c r="BE15" s="13">
        <f t="shared" si="0"/>
        <v>4.2274086925174421</v>
      </c>
      <c r="BF15" s="13">
        <f t="shared" si="0"/>
        <v>1.2719636773946288</v>
      </c>
      <c r="BG15" s="13">
        <f t="shared" si="0"/>
        <v>0.24940464262639778</v>
      </c>
      <c r="BH15" s="13">
        <f t="shared" si="0"/>
        <v>3.1300282649612918</v>
      </c>
      <c r="BI15" s="13">
        <f t="shared" si="0"/>
        <v>0.49880928525279555</v>
      </c>
      <c r="BJ15" s="13">
        <f t="shared" si="0"/>
        <v>8.9785671345503193</v>
      </c>
      <c r="BK15" s="13">
        <f t="shared" si="0"/>
        <v>9.1656206165201173</v>
      </c>
      <c r="BL15" s="13">
        <f t="shared" si="0"/>
        <v>0.96020787411163144</v>
      </c>
      <c r="BM15" s="13">
        <f t="shared" si="6"/>
        <v>29.529509686965497</v>
      </c>
      <c r="BO15" s="13" t="s">
        <v>96</v>
      </c>
      <c r="BP15" s="13" t="s">
        <v>95</v>
      </c>
      <c r="BQ15" s="13">
        <v>222.96696395224299</v>
      </c>
      <c r="BR15" s="13">
        <v>899.83096166440919</v>
      </c>
      <c r="BS15" s="13">
        <v>270.74559908486651</v>
      </c>
      <c r="BT15" s="13">
        <v>53.087372369581665</v>
      </c>
      <c r="BU15" s="13">
        <v>666.24652323824989</v>
      </c>
      <c r="BV15" s="13">
        <v>106.17474473916333</v>
      </c>
      <c r="BW15" s="13">
        <v>1911.1454053049399</v>
      </c>
      <c r="BX15" s="13">
        <v>1950.9609345821261</v>
      </c>
      <c r="BY15" s="13">
        <v>204.38638362288941</v>
      </c>
      <c r="BZ15" s="13">
        <v>6285.5448885584701</v>
      </c>
      <c r="CB15" s="13" t="s">
        <v>96</v>
      </c>
      <c r="CC15" s="13" t="s">
        <v>95</v>
      </c>
      <c r="CD15" s="13">
        <f t="shared" si="7"/>
        <v>2.6322092160997657</v>
      </c>
      <c r="CE15" s="13">
        <f t="shared" si="1"/>
        <v>10.622844336402625</v>
      </c>
      <c r="CF15" s="13">
        <f t="shared" si="1"/>
        <v>3.1962540481211446</v>
      </c>
      <c r="CG15" s="13">
        <f t="shared" si="1"/>
        <v>0.6267164800237538</v>
      </c>
      <c r="CH15" s="13">
        <f t="shared" si="1"/>
        <v>7.8652918242981098</v>
      </c>
      <c r="CI15" s="13">
        <f t="shared" si="1"/>
        <v>1.2534329600475076</v>
      </c>
      <c r="CJ15" s="13">
        <f t="shared" si="1"/>
        <v>22.561793280855134</v>
      </c>
      <c r="CK15" s="13">
        <f t="shared" si="1"/>
        <v>23.031830640872951</v>
      </c>
      <c r="CL15" s="13">
        <f t="shared" si="1"/>
        <v>2.4128584480914519</v>
      </c>
      <c r="CM15" s="13">
        <f t="shared" si="1"/>
        <v>74.203231234812463</v>
      </c>
      <c r="CO15" s="13">
        <v>8</v>
      </c>
      <c r="CP15" s="13" t="s">
        <v>184</v>
      </c>
      <c r="CQ15" s="13">
        <v>8207.630134942292</v>
      </c>
      <c r="CR15" s="13">
        <v>93.403020648539623</v>
      </c>
      <c r="CS15" s="13">
        <v>0.11881105663179906</v>
      </c>
      <c r="CT15" s="13">
        <v>0</v>
      </c>
      <c r="CU15" s="13">
        <v>1.6480246849429909</v>
      </c>
      <c r="CW15" s="13">
        <v>8</v>
      </c>
      <c r="CX15" s="13" t="s">
        <v>184</v>
      </c>
      <c r="CY15" s="53">
        <f t="shared" si="8"/>
        <v>96.8941734711903</v>
      </c>
      <c r="CZ15" s="53">
        <f t="shared" si="2"/>
        <v>1.1026579337345346</v>
      </c>
      <c r="DA15" s="53">
        <f t="shared" si="2"/>
        <v>1.4026093942228909E-3</v>
      </c>
      <c r="DB15" s="53">
        <f t="shared" si="2"/>
        <v>0</v>
      </c>
      <c r="DC15" s="53">
        <f t="shared" si="2"/>
        <v>1.9455553805701874E-2</v>
      </c>
    </row>
    <row r="16" spans="1:107" ht="15">
      <c r="A16" s="46">
        <v>24</v>
      </c>
      <c r="B16" s="47" t="s">
        <v>97</v>
      </c>
      <c r="C16" s="48" t="s">
        <v>98</v>
      </c>
      <c r="D16" s="49">
        <v>1.01222798707358</v>
      </c>
      <c r="E16" s="49">
        <v>0.484552641388653</v>
      </c>
      <c r="F16" s="49">
        <v>8.7355813462829598E-2</v>
      </c>
      <c r="G16" s="49">
        <v>6.4551592939143407E-2</v>
      </c>
      <c r="H16" s="49">
        <v>6.8134320069996096E-3</v>
      </c>
      <c r="I16" s="49">
        <v>4.9910263163101803E-3</v>
      </c>
      <c r="J16" s="49">
        <v>7.6973612860693499E-2</v>
      </c>
      <c r="K16" s="49">
        <v>0.205732396947653</v>
      </c>
      <c r="L16" s="49">
        <v>9.5018837246378302E-2</v>
      </c>
      <c r="M16" s="49">
        <v>2.06235881721114E-2</v>
      </c>
      <c r="N16" s="49">
        <v>7.5097280811441305E-2</v>
      </c>
      <c r="O16" s="49">
        <v>0.71149189873474195</v>
      </c>
      <c r="P16" s="49">
        <v>5.5780405086802397E-2</v>
      </c>
      <c r="Q16" s="49">
        <v>1.2657522774131199E-2</v>
      </c>
      <c r="R16" s="49">
        <v>3.21752745919546E-2</v>
      </c>
      <c r="S16" s="49">
        <v>9.0379951206130994E-3</v>
      </c>
      <c r="T16" s="49">
        <v>0.84134828382567795</v>
      </c>
      <c r="U16" s="49">
        <v>3.9617003808871698</v>
      </c>
      <c r="V16" s="49">
        <v>5.9691969500691798E-2</v>
      </c>
      <c r="W16" s="49">
        <v>0.493146197900451</v>
      </c>
      <c r="X16" s="49">
        <v>3.3940045949514701</v>
      </c>
      <c r="Y16" s="49">
        <v>7.37746317514515E-3</v>
      </c>
      <c r="Z16" s="49">
        <v>2.1860291919150998</v>
      </c>
      <c r="AA16" s="49">
        <v>2.37462037575682E-2</v>
      </c>
      <c r="AB16" s="49">
        <v>0.12694078755683699</v>
      </c>
      <c r="AC16" s="49">
        <v>0.635348146754806</v>
      </c>
      <c r="AD16" s="49">
        <v>1.0130895894717999</v>
      </c>
      <c r="AE16" s="49">
        <v>2.15013906043315E-2</v>
      </c>
      <c r="AF16" s="49">
        <v>0.17246241676170501</v>
      </c>
      <c r="AG16" s="49">
        <v>0.1328050352166</v>
      </c>
      <c r="AH16" s="49">
        <v>0.32773874716227003</v>
      </c>
      <c r="AI16" s="49">
        <v>1.47543421249201E-2</v>
      </c>
      <c r="AJ16" s="49">
        <v>0.18586482338236801</v>
      </c>
      <c r="AK16" s="49">
        <v>9.0746071134790399E-2</v>
      </c>
      <c r="AL16" s="50">
        <v>13.8363629736224</v>
      </c>
      <c r="AM16" s="50">
        <v>0.28094928258795798</v>
      </c>
      <c r="AN16" s="50">
        <v>0</v>
      </c>
      <c r="AO16" s="50">
        <v>3.2133014783715299</v>
      </c>
      <c r="AP16" s="50">
        <v>0.88178625148363199</v>
      </c>
      <c r="AQ16" s="50">
        <v>4.2921987787201346</v>
      </c>
      <c r="AR16" s="54">
        <v>39.147975706403393</v>
      </c>
      <c r="AT16" s="16">
        <v>22.504598764785655</v>
      </c>
      <c r="AV16" s="36">
        <v>39.147975706403393</v>
      </c>
      <c r="AW16" s="52">
        <f t="shared" si="3"/>
        <v>0</v>
      </c>
      <c r="AY16" s="13">
        <v>13.6548744202851</v>
      </c>
      <c r="AZ16" s="53">
        <f t="shared" si="4"/>
        <v>0.34880154526231577</v>
      </c>
      <c r="BB16" s="13" t="s">
        <v>98</v>
      </c>
      <c r="BC16" t="s">
        <v>230</v>
      </c>
      <c r="BD16" s="13">
        <f t="shared" si="5"/>
        <v>0.48437899126011336</v>
      </c>
      <c r="BE16" s="13">
        <f t="shared" si="0"/>
        <v>1.9548152147283142</v>
      </c>
      <c r="BF16" s="13">
        <f t="shared" si="0"/>
        <v>0.58817448938728045</v>
      </c>
      <c r="BG16" s="13">
        <f t="shared" si="0"/>
        <v>0.11532833125240793</v>
      </c>
      <c r="BH16" s="13">
        <f t="shared" si="0"/>
        <v>1.4473705572177196</v>
      </c>
      <c r="BI16" s="13">
        <f t="shared" si="0"/>
        <v>0.23065666250481587</v>
      </c>
      <c r="BJ16" s="13">
        <f t="shared" si="0"/>
        <v>4.1518199250866852</v>
      </c>
      <c r="BK16" s="13">
        <f t="shared" si="0"/>
        <v>4.238316173525992</v>
      </c>
      <c r="BL16" s="13">
        <f t="shared" si="0"/>
        <v>0.44401407532177051</v>
      </c>
      <c r="BM16" s="13">
        <f t="shared" si="6"/>
        <v>13.6548744202851</v>
      </c>
      <c r="BO16" s="13" t="s">
        <v>98</v>
      </c>
      <c r="BP16" s="13" t="s">
        <v>97</v>
      </c>
      <c r="BQ16" s="13">
        <v>103.10316442484012</v>
      </c>
      <c r="BR16" s="13">
        <v>416.09491357167616</v>
      </c>
      <c r="BS16" s="13">
        <v>125.19669965873442</v>
      </c>
      <c r="BT16" s="13">
        <v>24.548372482104789</v>
      </c>
      <c r="BU16" s="13">
        <v>308.08207465041511</v>
      </c>
      <c r="BV16" s="13">
        <v>49.096744964209577</v>
      </c>
      <c r="BW16" s="13">
        <v>883.74140935577236</v>
      </c>
      <c r="BX16" s="13">
        <v>902.152688717351</v>
      </c>
      <c r="BY16" s="13">
        <v>94.511234056103433</v>
      </c>
      <c r="BZ16" s="13">
        <v>2906.5273018812072</v>
      </c>
      <c r="CB16" s="13" t="s">
        <v>98</v>
      </c>
      <c r="CC16" s="13" t="s">
        <v>97</v>
      </c>
      <c r="CD16" s="13">
        <f t="shared" si="7"/>
        <v>2.6336780526809114</v>
      </c>
      <c r="CE16" s="13">
        <f t="shared" si="1"/>
        <v>10.628772141176535</v>
      </c>
      <c r="CF16" s="13">
        <f t="shared" si="1"/>
        <v>3.1980376353982494</v>
      </c>
      <c r="CG16" s="13">
        <f t="shared" si="1"/>
        <v>0.62706620301926463</v>
      </c>
      <c r="CH16" s="13">
        <f t="shared" si="1"/>
        <v>7.8696808478917708</v>
      </c>
      <c r="CI16" s="13">
        <f t="shared" si="1"/>
        <v>1.2541324060385293</v>
      </c>
      <c r="CJ16" s="13">
        <f t="shared" si="1"/>
        <v>22.574383308693523</v>
      </c>
      <c r="CK16" s="13">
        <f t="shared" si="1"/>
        <v>23.044682960957974</v>
      </c>
      <c r="CL16" s="13">
        <f t="shared" si="1"/>
        <v>2.4142048816241686</v>
      </c>
      <c r="CM16" s="13">
        <f t="shared" si="1"/>
        <v>74.24463843748093</v>
      </c>
      <c r="CO16" s="13">
        <v>9</v>
      </c>
      <c r="CP16" s="13" t="s">
        <v>185</v>
      </c>
      <c r="CQ16" s="13">
        <v>128.44982690479492</v>
      </c>
      <c r="CR16" s="13">
        <v>39.609975429640187</v>
      </c>
      <c r="CS16" s="13">
        <v>0.26535046106344179</v>
      </c>
      <c r="CT16" s="13">
        <v>0</v>
      </c>
      <c r="CU16" s="13">
        <v>3.6806684696760303</v>
      </c>
      <c r="CW16" s="13">
        <v>9</v>
      </c>
      <c r="CX16" s="13" t="s">
        <v>185</v>
      </c>
      <c r="CY16" s="53">
        <f t="shared" si="8"/>
        <v>3.2811358591852939</v>
      </c>
      <c r="CZ16" s="53">
        <f t="shared" si="2"/>
        <v>1.0118013694169434</v>
      </c>
      <c r="DA16" s="53">
        <f t="shared" si="2"/>
        <v>6.7781400257699324E-3</v>
      </c>
      <c r="DB16" s="53">
        <f t="shared" si="2"/>
        <v>0</v>
      </c>
      <c r="DC16" s="53">
        <f t="shared" si="2"/>
        <v>9.4019381673264582E-2</v>
      </c>
    </row>
    <row r="17" spans="1:107">
      <c r="A17" s="46">
        <v>25</v>
      </c>
      <c r="B17" s="47" t="s">
        <v>99</v>
      </c>
      <c r="C17" s="48" t="s">
        <v>100</v>
      </c>
      <c r="D17" s="49">
        <v>0.101000925210621</v>
      </c>
      <c r="E17" s="49">
        <v>1.32165899593687E-2</v>
      </c>
      <c r="F17" s="49">
        <v>0.78944415196195294</v>
      </c>
      <c r="G17" s="49">
        <v>3.6063585395868701E-2</v>
      </c>
      <c r="H17" s="49">
        <v>3.8065177919780701E-3</v>
      </c>
      <c r="I17" s="49">
        <v>1.6242853119178001E-4</v>
      </c>
      <c r="J17" s="49">
        <v>3.47038420473098E-3</v>
      </c>
      <c r="K17" s="49">
        <v>1.6133592629303001E-2</v>
      </c>
      <c r="L17" s="49">
        <v>7.4514040325557897E-3</v>
      </c>
      <c r="M17" s="49">
        <v>2.1045083372799498</v>
      </c>
      <c r="N17" s="49">
        <v>7.6632083736256602</v>
      </c>
      <c r="O17" s="49">
        <v>4.3316433587721498E-2</v>
      </c>
      <c r="P17" s="49">
        <v>6.7143821379006194E-2</v>
      </c>
      <c r="Q17" s="49">
        <v>1.5236075229723501E-2</v>
      </c>
      <c r="R17" s="49">
        <v>3.87299247228634E-2</v>
      </c>
      <c r="S17" s="49">
        <v>1.0431990071072801E-2</v>
      </c>
      <c r="T17" s="49">
        <v>0.78056236948859303</v>
      </c>
      <c r="U17" s="49">
        <v>28.221606216619801</v>
      </c>
      <c r="V17" s="49">
        <v>1.4112357694593701E-4</v>
      </c>
      <c r="W17" s="49">
        <v>1.1601363921700201</v>
      </c>
      <c r="X17" s="49">
        <v>4.4560687100890899</v>
      </c>
      <c r="Y17" s="49">
        <v>0.42811539642751201</v>
      </c>
      <c r="Z17" s="49">
        <v>1.1252651562590801</v>
      </c>
      <c r="AA17" s="49">
        <v>1.0858450398333301E-2</v>
      </c>
      <c r="AB17" s="49">
        <v>5.8046341187145502E-2</v>
      </c>
      <c r="AC17" s="49">
        <v>0.34135074431944801</v>
      </c>
      <c r="AD17" s="49">
        <v>0.698473010026045</v>
      </c>
      <c r="AE17" s="49">
        <v>1.2262175570839501E-3</v>
      </c>
      <c r="AF17" s="49">
        <v>0.657821402715426</v>
      </c>
      <c r="AG17" s="49">
        <v>0.50655671069811004</v>
      </c>
      <c r="AH17" s="49">
        <v>4.1606395567117198E-2</v>
      </c>
      <c r="AI17" s="49">
        <v>5.5534743009051299E-2</v>
      </c>
      <c r="AJ17" s="49">
        <v>7.7454651821434297E-3</v>
      </c>
      <c r="AK17" s="49">
        <v>0.100302617026558</v>
      </c>
      <c r="AL17" s="50">
        <v>13.1131811046724</v>
      </c>
      <c r="AM17" s="50">
        <v>1.2706102495626301E-2</v>
      </c>
      <c r="AN17" s="50">
        <v>0</v>
      </c>
      <c r="AO17" s="50">
        <v>3.38232092535524</v>
      </c>
      <c r="AP17" s="50">
        <v>0.99270696603659303</v>
      </c>
      <c r="AQ17" s="50">
        <v>9.2741681406676122</v>
      </c>
      <c r="AR17" s="54">
        <v>76.339825237158536</v>
      </c>
      <c r="AT17" s="16">
        <v>26.77508323922747</v>
      </c>
      <c r="AV17" s="36">
        <v>76.339825237158465</v>
      </c>
      <c r="AW17" s="52">
        <f t="shared" si="3"/>
        <v>0</v>
      </c>
      <c r="AY17" s="13">
        <v>27.2723558503649</v>
      </c>
      <c r="AZ17" s="53">
        <f t="shared" si="4"/>
        <v>0.35724938805715312</v>
      </c>
      <c r="BB17" s="13" t="s">
        <v>100</v>
      </c>
      <c r="BC17" s="13" t="s">
        <v>99</v>
      </c>
      <c r="BD17" s="13">
        <f t="shared" si="5"/>
        <v>0.96743154198929571</v>
      </c>
      <c r="BE17" s="13">
        <f t="shared" si="0"/>
        <v>3.9042772944567998</v>
      </c>
      <c r="BF17" s="13">
        <f t="shared" si="0"/>
        <v>1.1747383009870018</v>
      </c>
      <c r="BG17" s="13">
        <f t="shared" si="0"/>
        <v>0.23034084333078467</v>
      </c>
      <c r="BH17" s="13">
        <f t="shared" si="0"/>
        <v>2.8907775838013472</v>
      </c>
      <c r="BI17" s="13">
        <f t="shared" si="0"/>
        <v>0.46068168666156933</v>
      </c>
      <c r="BJ17" s="13">
        <f t="shared" si="0"/>
        <v>8.2922703599082475</v>
      </c>
      <c r="BK17" s="13">
        <f t="shared" si="0"/>
        <v>8.4650259924063374</v>
      </c>
      <c r="BL17" s="13">
        <f t="shared" si="0"/>
        <v>0.88681224682352089</v>
      </c>
      <c r="BM17" s="13">
        <f t="shared" si="6"/>
        <v>27.272355850364907</v>
      </c>
      <c r="BO17" s="13" t="s">
        <v>100</v>
      </c>
      <c r="BP17" s="13" t="s">
        <v>99</v>
      </c>
      <c r="BQ17" s="13">
        <v>205.92398750410578</v>
      </c>
      <c r="BR17" s="13">
        <v>831.05037814156969</v>
      </c>
      <c r="BS17" s="13">
        <v>250.05055625498559</v>
      </c>
      <c r="BT17" s="13">
        <v>49.029520834310901</v>
      </c>
      <c r="BU17" s="13">
        <v>615.32048647060174</v>
      </c>
      <c r="BV17" s="13">
        <v>98.059041668621802</v>
      </c>
      <c r="BW17" s="13">
        <v>1765.0627500351923</v>
      </c>
      <c r="BX17" s="13">
        <v>1801.8348906609256</v>
      </c>
      <c r="BY17" s="13">
        <v>188.76365521209695</v>
      </c>
      <c r="BZ17" s="13">
        <v>5805.0952667824095</v>
      </c>
      <c r="CB17" s="13" t="s">
        <v>100</v>
      </c>
      <c r="CC17" s="13" t="s">
        <v>99</v>
      </c>
      <c r="CD17" s="13">
        <f t="shared" si="7"/>
        <v>2.697464748764868</v>
      </c>
      <c r="CE17" s="13">
        <f t="shared" si="1"/>
        <v>10.886197021801074</v>
      </c>
      <c r="CF17" s="13">
        <f t="shared" si="1"/>
        <v>3.2754929092144827</v>
      </c>
      <c r="CG17" s="13">
        <f t="shared" si="1"/>
        <v>0.64225351161068289</v>
      </c>
      <c r="CH17" s="13">
        <f t="shared" si="1"/>
        <v>8.0602815707140696</v>
      </c>
      <c r="CI17" s="13">
        <f t="shared" si="1"/>
        <v>1.2845070232213658</v>
      </c>
      <c r="CJ17" s="13">
        <f t="shared" si="1"/>
        <v>23.121126417984581</v>
      </c>
      <c r="CK17" s="13">
        <f t="shared" si="1"/>
        <v>23.602816551692595</v>
      </c>
      <c r="CL17" s="13">
        <f t="shared" si="1"/>
        <v>2.4726760197011286</v>
      </c>
      <c r="CM17" s="13">
        <f t="shared" si="1"/>
        <v>76.042815774704835</v>
      </c>
      <c r="CO17" s="13">
        <v>10</v>
      </c>
      <c r="CP17" s="13" t="s">
        <v>186</v>
      </c>
      <c r="CQ17" s="13">
        <v>6052.6365861002423</v>
      </c>
      <c r="CR17" s="13">
        <v>89.757301569724859</v>
      </c>
      <c r="CS17" s="13">
        <v>0.47699451487064631</v>
      </c>
      <c r="CT17" s="13">
        <v>0</v>
      </c>
      <c r="CU17" s="13">
        <v>6.6163769380941355</v>
      </c>
      <c r="CW17" s="13">
        <v>10</v>
      </c>
      <c r="CX17" s="13" t="s">
        <v>186</v>
      </c>
      <c r="CY17" s="53">
        <f t="shared" si="8"/>
        <v>79.285439379734285</v>
      </c>
      <c r="CZ17" s="53">
        <f t="shared" si="2"/>
        <v>1.1757598513080607</v>
      </c>
      <c r="DA17" s="53">
        <f t="shared" si="2"/>
        <v>6.2483050411604613E-3</v>
      </c>
      <c r="DB17" s="53">
        <f t="shared" si="2"/>
        <v>0</v>
      </c>
      <c r="DC17" s="53">
        <f t="shared" si="2"/>
        <v>8.6670056127841427E-2</v>
      </c>
    </row>
    <row r="18" spans="1:107">
      <c r="A18" s="46">
        <v>26</v>
      </c>
      <c r="B18" s="47" t="s">
        <v>101</v>
      </c>
      <c r="C18" s="48" t="s">
        <v>102</v>
      </c>
      <c r="D18" s="49">
        <v>0.38473112915317298</v>
      </c>
      <c r="E18" s="49">
        <v>5.0344425736881901E-2</v>
      </c>
      <c r="F18" s="49">
        <v>3.0071381955593801</v>
      </c>
      <c r="G18" s="49">
        <v>0.13737283991934701</v>
      </c>
      <c r="H18" s="49">
        <v>1.4499727454926101E-2</v>
      </c>
      <c r="I18" s="49">
        <v>6.1872019569909995E-4</v>
      </c>
      <c r="J18" s="49">
        <v>1.3219332703113601E-2</v>
      </c>
      <c r="K18" s="49">
        <v>6.1455826237484697E-2</v>
      </c>
      <c r="L18" s="49">
        <v>2.8383770556987601E-2</v>
      </c>
      <c r="M18" s="49">
        <v>6.6776852314577697</v>
      </c>
      <c r="N18" s="49">
        <v>26.753112396680201</v>
      </c>
      <c r="O18" s="49">
        <v>0.165000274703821</v>
      </c>
      <c r="P18" s="49">
        <v>0.25576318396029601</v>
      </c>
      <c r="Q18" s="49">
        <v>5.80370171339568E-2</v>
      </c>
      <c r="R18" s="49">
        <v>0.14752941757287799</v>
      </c>
      <c r="S18" s="49">
        <v>3.9737371820991199E-2</v>
      </c>
      <c r="T18" s="49">
        <v>2.9733058500363598</v>
      </c>
      <c r="U18" s="49">
        <v>96.621798892795098</v>
      </c>
      <c r="V18" s="49">
        <v>5.3756570046584E-4</v>
      </c>
      <c r="W18" s="49">
        <v>4.4191732224283502</v>
      </c>
      <c r="X18" s="49">
        <v>16.9739865535056</v>
      </c>
      <c r="Y18" s="49">
        <v>1.63077040662689</v>
      </c>
      <c r="Z18" s="49">
        <v>4.2863422613356299</v>
      </c>
      <c r="AA18" s="49">
        <v>4.1361837764286202E-2</v>
      </c>
      <c r="AB18" s="49">
        <v>0.22110920609460499</v>
      </c>
      <c r="AC18" s="49">
        <v>1.3002678641352501</v>
      </c>
      <c r="AD18" s="49">
        <v>2.6606123584507402</v>
      </c>
      <c r="AE18" s="49">
        <v>4.6708885521649403E-3</v>
      </c>
      <c r="AF18" s="49">
        <v>2.50576289791471</v>
      </c>
      <c r="AG18" s="49">
        <v>1.9295678220827599</v>
      </c>
      <c r="AH18" s="49">
        <v>0.158486424883239</v>
      </c>
      <c r="AI18" s="49">
        <v>0.211542065981559</v>
      </c>
      <c r="AJ18" s="49">
        <v>2.9503903643739001E-2</v>
      </c>
      <c r="AK18" s="49">
        <v>0.382071144647181</v>
      </c>
      <c r="AL18" s="50">
        <v>49.950522360761198</v>
      </c>
      <c r="AM18" s="50">
        <v>4.8399884952382899E-2</v>
      </c>
      <c r="AN18" s="50">
        <v>0</v>
      </c>
      <c r="AO18" s="50">
        <v>12.8838834501439</v>
      </c>
      <c r="AP18" s="50">
        <v>3.7562967689667399</v>
      </c>
      <c r="AQ18" s="50">
        <v>39.504039557199562</v>
      </c>
      <c r="AR18" s="54">
        <v>280.28864204944927</v>
      </c>
      <c r="AT18" s="16">
        <v>106.14314202202378</v>
      </c>
      <c r="AV18" s="36">
        <v>280.28864204944898</v>
      </c>
      <c r="AW18" s="52">
        <f t="shared" si="3"/>
        <v>0</v>
      </c>
      <c r="AY18" s="13">
        <v>100.13294585153599</v>
      </c>
      <c r="AZ18" s="53">
        <f t="shared" si="4"/>
        <v>0.35724938805715245</v>
      </c>
      <c r="BB18" s="13" t="s">
        <v>102</v>
      </c>
      <c r="BC18" s="13" t="s">
        <v>101</v>
      </c>
      <c r="BD18" s="13">
        <f t="shared" si="5"/>
        <v>3.5520132818957024</v>
      </c>
      <c r="BE18" s="13">
        <f t="shared" si="0"/>
        <v>14.334910744793371</v>
      </c>
      <c r="BF18" s="13">
        <f t="shared" si="0"/>
        <v>4.3131589851590677</v>
      </c>
      <c r="BG18" s="13">
        <f t="shared" si="0"/>
        <v>0.84571744807040539</v>
      </c>
      <c r="BH18" s="13">
        <f t="shared" si="0"/>
        <v>10.613753973283588</v>
      </c>
      <c r="BI18" s="13">
        <f t="shared" si="0"/>
        <v>1.6914348961408108</v>
      </c>
      <c r="BJ18" s="13">
        <f t="shared" si="0"/>
        <v>30.445828130534593</v>
      </c>
      <c r="BK18" s="13">
        <f t="shared" si="0"/>
        <v>31.080116216587395</v>
      </c>
      <c r="BL18" s="13">
        <f t="shared" si="0"/>
        <v>3.2560121750710604</v>
      </c>
      <c r="BM18" s="13">
        <f t="shared" si="6"/>
        <v>100.13294585153599</v>
      </c>
      <c r="BO18" s="13" t="s">
        <v>102</v>
      </c>
      <c r="BP18" s="13" t="s">
        <v>101</v>
      </c>
      <c r="BQ18" s="13">
        <v>756.06873140756227</v>
      </c>
      <c r="BR18" s="13">
        <v>3051.2773803233763</v>
      </c>
      <c r="BS18" s="13">
        <v>918.08345956632559</v>
      </c>
      <c r="BT18" s="13">
        <v>180.01636462084815</v>
      </c>
      <c r="BU18" s="13">
        <v>2259.2053759916444</v>
      </c>
      <c r="BV18" s="13">
        <v>360.0327292416963</v>
      </c>
      <c r="BW18" s="13">
        <v>6480.5891263505337</v>
      </c>
      <c r="BX18" s="13">
        <v>6615.6013998161698</v>
      </c>
      <c r="BY18" s="13">
        <v>693.06300379026538</v>
      </c>
      <c r="BZ18" s="13">
        <v>21313.937571108421</v>
      </c>
      <c r="CB18" s="13" t="s">
        <v>102</v>
      </c>
      <c r="CC18" s="13" t="s">
        <v>101</v>
      </c>
      <c r="CD18" s="13">
        <f t="shared" si="7"/>
        <v>2.6974647487648631</v>
      </c>
      <c r="CE18" s="13">
        <f t="shared" si="1"/>
        <v>10.886197021801054</v>
      </c>
      <c r="CF18" s="13">
        <f t="shared" si="1"/>
        <v>3.2754929092144764</v>
      </c>
      <c r="CG18" s="13">
        <f t="shared" si="1"/>
        <v>0.64225351161068167</v>
      </c>
      <c r="CH18" s="13">
        <f t="shared" si="1"/>
        <v>8.0602815707140554</v>
      </c>
      <c r="CI18" s="13">
        <f t="shared" si="1"/>
        <v>1.2845070232213633</v>
      </c>
      <c r="CJ18" s="13">
        <f t="shared" si="1"/>
        <v>23.121126417984538</v>
      </c>
      <c r="CK18" s="13">
        <f t="shared" si="1"/>
        <v>23.602816551692552</v>
      </c>
      <c r="CL18" s="13">
        <f t="shared" si="1"/>
        <v>2.4726760197011242</v>
      </c>
      <c r="CM18" s="13">
        <f t="shared" si="1"/>
        <v>76.042815774704707</v>
      </c>
      <c r="CO18" s="13">
        <v>11</v>
      </c>
      <c r="CP18" s="13" t="s">
        <v>187</v>
      </c>
      <c r="CQ18" s="13">
        <v>436.36594477295796</v>
      </c>
      <c r="CR18" s="13">
        <v>351.34225869589119</v>
      </c>
      <c r="CS18" s="13">
        <v>0.80348773115520189</v>
      </c>
      <c r="CT18" s="13">
        <v>0</v>
      </c>
      <c r="CU18" s="13">
        <v>11.145154773736813</v>
      </c>
      <c r="CW18" s="13">
        <v>11</v>
      </c>
      <c r="CX18" s="13" t="s">
        <v>187</v>
      </c>
      <c r="CY18" s="53">
        <f t="shared" si="8"/>
        <v>1.5568449066729331</v>
      </c>
      <c r="CZ18" s="53">
        <f t="shared" si="2"/>
        <v>1.2535015908133247</v>
      </c>
      <c r="DA18" s="53">
        <f t="shared" si="2"/>
        <v>2.8666439184983046E-3</v>
      </c>
      <c r="DB18" s="53">
        <f t="shared" si="2"/>
        <v>0</v>
      </c>
      <c r="DC18" s="53">
        <f t="shared" si="2"/>
        <v>3.9763133790382259E-2</v>
      </c>
    </row>
    <row r="19" spans="1:107">
      <c r="A19" s="46" t="s">
        <v>163</v>
      </c>
      <c r="B19" s="47" t="s">
        <v>103</v>
      </c>
      <c r="C19" s="48" t="s">
        <v>104</v>
      </c>
      <c r="D19" s="49">
        <v>5.3915921237788798</v>
      </c>
      <c r="E19" s="49">
        <v>0.86736334192928699</v>
      </c>
      <c r="F19" s="49">
        <v>1.0242406574956799</v>
      </c>
      <c r="G19" s="49">
        <v>0.73888680052762901</v>
      </c>
      <c r="H19" s="49">
        <v>7.7989631967884498E-2</v>
      </c>
      <c r="I19" s="49">
        <v>1.017056053646E-2</v>
      </c>
      <c r="J19" s="49">
        <v>0.215189960943695</v>
      </c>
      <c r="K19" s="49">
        <v>0.31077492789305999</v>
      </c>
      <c r="L19" s="49">
        <v>0.14353340908791901</v>
      </c>
      <c r="M19" s="49">
        <v>1.1610610567683</v>
      </c>
      <c r="N19" s="49">
        <v>4.2278059226020703</v>
      </c>
      <c r="O19" s="49">
        <v>680.66174693343305</v>
      </c>
      <c r="P19" s="49">
        <v>1.3994913998615199</v>
      </c>
      <c r="Q19" s="49">
        <v>0.31756840486157001</v>
      </c>
      <c r="R19" s="49">
        <v>0.80725516441753298</v>
      </c>
      <c r="S19" s="49">
        <v>0.54063281434677901</v>
      </c>
      <c r="T19" s="49">
        <v>3.5194957459588601</v>
      </c>
      <c r="U19" s="49">
        <v>39.760638862588202</v>
      </c>
      <c r="V19" s="49">
        <v>4.074277229E-2</v>
      </c>
      <c r="W19" s="49">
        <v>0.461171662261675</v>
      </c>
      <c r="X19" s="49">
        <v>1.082073762954</v>
      </c>
      <c r="Y19" s="49">
        <v>0.166460974514613</v>
      </c>
      <c r="Z19" s="49">
        <v>0.291138842252957</v>
      </c>
      <c r="AA19" s="49">
        <v>2.8093971096924699E-3</v>
      </c>
      <c r="AB19" s="49">
        <v>1.5018277671040499E-2</v>
      </c>
      <c r="AC19" s="49">
        <v>8.8317371199635494E-2</v>
      </c>
      <c r="AD19" s="49">
        <v>0.68821234769337403</v>
      </c>
      <c r="AE19" s="49">
        <v>9.6207525261942997E-3</v>
      </c>
      <c r="AF19" s="49">
        <v>0.19080627007614201</v>
      </c>
      <c r="AG19" s="49">
        <v>0.14693075681540099</v>
      </c>
      <c r="AH19" s="49">
        <v>2.1620346660196001E-2</v>
      </c>
      <c r="AI19" s="49">
        <v>0.142763413771505</v>
      </c>
      <c r="AJ19" s="49">
        <v>5.07854180166529E-2</v>
      </c>
      <c r="AK19" s="49">
        <v>0.59048227390910901</v>
      </c>
      <c r="AL19" s="50">
        <v>13.142784189125701</v>
      </c>
      <c r="AM19" s="50">
        <v>4.28109170770208E-3</v>
      </c>
      <c r="AN19" s="50">
        <v>0</v>
      </c>
      <c r="AO19" s="50">
        <v>0.36787173206271601</v>
      </c>
      <c r="AP19" s="50">
        <v>8.9889044107388294</v>
      </c>
      <c r="AQ19" s="50">
        <v>960.72218546758506</v>
      </c>
      <c r="AR19" s="54">
        <v>1728.3904192499404</v>
      </c>
      <c r="AT19" s="16">
        <v>983.22602689122004</v>
      </c>
      <c r="AV19" s="36">
        <v>1728.3904192499392</v>
      </c>
      <c r="AW19" s="52">
        <f t="shared" si="3"/>
        <v>0</v>
      </c>
      <c r="AY19" s="13">
        <v>668.72253093647498</v>
      </c>
      <c r="AZ19" s="53">
        <f t="shared" si="4"/>
        <v>0.38690478927016769</v>
      </c>
      <c r="BB19" s="13" t="s">
        <v>104</v>
      </c>
      <c r="BC19" s="13" t="s">
        <v>103</v>
      </c>
      <c r="BD19" s="13">
        <f t="shared" si="5"/>
        <v>23.721576266327659</v>
      </c>
      <c r="BE19" s="13">
        <f t="shared" si="0"/>
        <v>95.733504217679481</v>
      </c>
      <c r="BF19" s="13">
        <f t="shared" si="0"/>
        <v>28.80477118054073</v>
      </c>
      <c r="BG19" s="13">
        <f t="shared" si="0"/>
        <v>5.6479943491256321</v>
      </c>
      <c r="BH19" s="13">
        <f t="shared" si="0"/>
        <v>70.882329081526692</v>
      </c>
      <c r="BI19" s="13">
        <f t="shared" si="0"/>
        <v>11.295988698251264</v>
      </c>
      <c r="BJ19" s="13">
        <f t="shared" si="0"/>
        <v>203.32779656852279</v>
      </c>
      <c r="BK19" s="13">
        <f t="shared" si="0"/>
        <v>207.56379233036699</v>
      </c>
      <c r="BL19" s="13">
        <f t="shared" si="0"/>
        <v>21.744778244133684</v>
      </c>
      <c r="BM19" s="13">
        <f t="shared" si="6"/>
        <v>668.72253093647498</v>
      </c>
      <c r="BO19" s="13" t="s">
        <v>104</v>
      </c>
      <c r="BP19" s="13" t="s">
        <v>103</v>
      </c>
      <c r="BQ19" s="13">
        <v>5049.28913584978</v>
      </c>
      <c r="BR19" s="13">
        <v>20377.488298250897</v>
      </c>
      <c r="BS19" s="13">
        <v>6131.279664960447</v>
      </c>
      <c r="BT19" s="13">
        <v>1202.2116990118523</v>
      </c>
      <c r="BU19" s="13">
        <v>15087.756822598747</v>
      </c>
      <c r="BV19" s="13">
        <v>2404.4233980237045</v>
      </c>
      <c r="BW19" s="13">
        <v>43279.62116442668</v>
      </c>
      <c r="BX19" s="13">
        <v>44181.27993868557</v>
      </c>
      <c r="BY19" s="13">
        <v>4628.5150411956311</v>
      </c>
      <c r="BZ19" s="13">
        <v>142341.86516300333</v>
      </c>
      <c r="CB19" s="13" t="s">
        <v>104</v>
      </c>
      <c r="CC19" s="13" t="s">
        <v>103</v>
      </c>
      <c r="CD19" s="13">
        <f t="shared" si="7"/>
        <v>2.9213822754473444</v>
      </c>
      <c r="CE19" s="13">
        <f t="shared" si="1"/>
        <v>11.789864183055354</v>
      </c>
      <c r="CF19" s="13">
        <f t="shared" si="1"/>
        <v>3.5473927630432036</v>
      </c>
      <c r="CG19" s="13">
        <f t="shared" si="1"/>
        <v>0.69556720843984376</v>
      </c>
      <c r="CH19" s="13">
        <f t="shared" si="1"/>
        <v>8.7293684659200395</v>
      </c>
      <c r="CI19" s="13">
        <f t="shared" si="1"/>
        <v>1.3911344168796875</v>
      </c>
      <c r="CJ19" s="13">
        <f t="shared" si="1"/>
        <v>25.040419503834375</v>
      </c>
      <c r="CK19" s="13">
        <f t="shared" si="1"/>
        <v>25.562094910164259</v>
      </c>
      <c r="CL19" s="13">
        <f t="shared" si="1"/>
        <v>2.6779337524933986</v>
      </c>
      <c r="CM19" s="13">
        <f t="shared" si="1"/>
        <v>82.355157479277523</v>
      </c>
      <c r="CO19" s="13">
        <v>12</v>
      </c>
      <c r="CP19" s="13" t="s">
        <v>188</v>
      </c>
      <c r="CQ19" s="13">
        <v>1297.7736343186723</v>
      </c>
      <c r="CR19" s="13">
        <v>2080.1698378172136</v>
      </c>
      <c r="CS19" s="13">
        <v>1.3834283677618302</v>
      </c>
      <c r="CT19" s="13">
        <v>0</v>
      </c>
      <c r="CU19" s="13">
        <v>19.189494349734439</v>
      </c>
      <c r="CW19" s="13">
        <v>12</v>
      </c>
      <c r="CX19" s="13" t="s">
        <v>188</v>
      </c>
      <c r="CY19" s="53">
        <f t="shared" si="8"/>
        <v>0.75085676237540111</v>
      </c>
      <c r="CZ19" s="53">
        <f t="shared" si="2"/>
        <v>1.2035300674253524</v>
      </c>
      <c r="DA19" s="53">
        <f t="shared" si="2"/>
        <v>8.0041427697926531E-4</v>
      </c>
      <c r="DB19" s="53">
        <f t="shared" si="2"/>
        <v>0</v>
      </c>
      <c r="DC19" s="53">
        <f t="shared" si="2"/>
        <v>1.1102522980925799E-2</v>
      </c>
    </row>
    <row r="20" spans="1:107">
      <c r="A20" s="46">
        <v>29</v>
      </c>
      <c r="B20" s="47" t="s">
        <v>105</v>
      </c>
      <c r="C20" s="48" t="s">
        <v>106</v>
      </c>
      <c r="D20" s="49">
        <v>2.8659536965405099</v>
      </c>
      <c r="E20" s="49">
        <v>0.12127127552652001</v>
      </c>
      <c r="F20" s="49">
        <v>0.143011486979084</v>
      </c>
      <c r="G20" s="49">
        <v>1.8525717961289E-2</v>
      </c>
      <c r="H20" s="49">
        <v>1.9553927945526301E-3</v>
      </c>
      <c r="I20" s="49">
        <v>1.19336152213944E-3</v>
      </c>
      <c r="J20" s="49">
        <v>2.7885611750720601E-2</v>
      </c>
      <c r="K20" s="49">
        <v>3.3765801935704602E-2</v>
      </c>
      <c r="L20" s="49">
        <v>1.5594953863481699E-2</v>
      </c>
      <c r="M20" s="49">
        <v>7.3923134781094704E-2</v>
      </c>
      <c r="N20" s="49">
        <v>0.26917849429445601</v>
      </c>
      <c r="O20" s="49">
        <v>0.599482730632377</v>
      </c>
      <c r="P20" s="49">
        <v>0.17149106594803901</v>
      </c>
      <c r="Q20" s="49">
        <v>3.8914240034999797E-2</v>
      </c>
      <c r="R20" s="49">
        <v>9.8919542236359306E-2</v>
      </c>
      <c r="S20" s="49">
        <v>2.0215163422255999E-2</v>
      </c>
      <c r="T20" s="49">
        <v>1.1289641955205501</v>
      </c>
      <c r="U20" s="49">
        <v>3.5368231145534801</v>
      </c>
      <c r="V20" s="49">
        <v>7.9612418835617801E-3</v>
      </c>
      <c r="W20" s="49">
        <v>0.31620732684271102</v>
      </c>
      <c r="X20" s="49">
        <v>1.45697037776842</v>
      </c>
      <c r="Y20" s="49">
        <v>0.33468867520092099</v>
      </c>
      <c r="Z20" s="49">
        <v>1.21091272835597</v>
      </c>
      <c r="AA20" s="49">
        <v>1.3114207393363201E-2</v>
      </c>
      <c r="AB20" s="49">
        <v>7.01050084338916E-2</v>
      </c>
      <c r="AC20" s="49">
        <v>0.35235485346603002</v>
      </c>
      <c r="AD20" s="49">
        <v>2.24340522063464</v>
      </c>
      <c r="AE20" s="49">
        <v>2.8058910273155501E-2</v>
      </c>
      <c r="AF20" s="49">
        <v>0.19473143784366501</v>
      </c>
      <c r="AG20" s="49">
        <v>0.149953340247691</v>
      </c>
      <c r="AH20" s="49">
        <v>0.333654251039262</v>
      </c>
      <c r="AI20" s="49">
        <v>0.18939591112986001</v>
      </c>
      <c r="AJ20" s="49">
        <v>0.108554321868075</v>
      </c>
      <c r="AK20" s="49">
        <v>0.408204003193396</v>
      </c>
      <c r="AL20" s="50">
        <v>12.910169638968499</v>
      </c>
      <c r="AM20" s="50">
        <v>3.79780360363981E-2</v>
      </c>
      <c r="AN20" s="50">
        <v>0</v>
      </c>
      <c r="AO20" s="50">
        <v>0.13540936789856001</v>
      </c>
      <c r="AP20" s="50">
        <v>2.2426628313506499E-2</v>
      </c>
      <c r="AQ20" s="50">
        <v>4.5069379933470826</v>
      </c>
      <c r="AR20" s="54">
        <v>34.198262460436275</v>
      </c>
      <c r="AT20" s="16">
        <v>17.612921664564048</v>
      </c>
      <c r="AV20" s="36">
        <v>34.198262460436297</v>
      </c>
      <c r="AW20" s="52">
        <f t="shared" si="3"/>
        <v>0</v>
      </c>
      <c r="AY20" s="13">
        <v>15.466765562722999</v>
      </c>
      <c r="AZ20" s="53">
        <f t="shared" si="4"/>
        <v>0.45226758466505101</v>
      </c>
      <c r="BB20" s="13" t="s">
        <v>106</v>
      </c>
      <c r="BC20" s="13" t="s">
        <v>105</v>
      </c>
      <c r="BD20" s="13">
        <f t="shared" si="5"/>
        <v>0.54865215678578205</v>
      </c>
      <c r="BE20" s="13">
        <f t="shared" si="0"/>
        <v>2.2142033470283349</v>
      </c>
      <c r="BF20" s="13">
        <f t="shared" si="0"/>
        <v>0.66622047609702129</v>
      </c>
      <c r="BG20" s="13">
        <f t="shared" si="0"/>
        <v>0.1306314659013767</v>
      </c>
      <c r="BH20" s="13">
        <f t="shared" si="0"/>
        <v>1.6394248970622776</v>
      </c>
      <c r="BI20" s="13">
        <f t="shared" si="0"/>
        <v>0.2612629318027534</v>
      </c>
      <c r="BJ20" s="13">
        <f t="shared" si="0"/>
        <v>4.7027327724495604</v>
      </c>
      <c r="BK20" s="13">
        <f t="shared" si="0"/>
        <v>4.8007063718755933</v>
      </c>
      <c r="BL20" s="13">
        <f t="shared" si="0"/>
        <v>0.50293114372030023</v>
      </c>
      <c r="BM20" s="13">
        <f t="shared" si="6"/>
        <v>15.466765562722999</v>
      </c>
      <c r="BO20" s="13" t="s">
        <v>106</v>
      </c>
      <c r="BP20" s="13" t="s">
        <v>105</v>
      </c>
      <c r="BQ20" s="13">
        <v>116.78411853901099</v>
      </c>
      <c r="BR20" s="13">
        <v>471.30733553243721</v>
      </c>
      <c r="BS20" s="13">
        <v>141.8092867973705</v>
      </c>
      <c r="BT20" s="13">
        <v>27.805742509288333</v>
      </c>
      <c r="BU20" s="13">
        <v>348.96206849156857</v>
      </c>
      <c r="BV20" s="13">
        <v>55.611485018576666</v>
      </c>
      <c r="BW20" s="13">
        <v>1001.0067303343799</v>
      </c>
      <c r="BX20" s="13">
        <v>1021.8610372163462</v>
      </c>
      <c r="BY20" s="13">
        <v>107.05210866076008</v>
      </c>
      <c r="BZ20" s="13">
        <v>3292.1999130997383</v>
      </c>
      <c r="CB20" s="13" t="s">
        <v>106</v>
      </c>
      <c r="CC20" s="13" t="s">
        <v>105</v>
      </c>
      <c r="CD20" s="13">
        <f t="shared" si="7"/>
        <v>3.4149138037091125</v>
      </c>
      <c r="CE20" s="13">
        <f t="shared" si="1"/>
        <v>13.781616422111775</v>
      </c>
      <c r="CF20" s="13">
        <f t="shared" si="1"/>
        <v>4.1466810473610654</v>
      </c>
      <c r="CG20" s="13">
        <f t="shared" si="1"/>
        <v>0.81307471516883634</v>
      </c>
      <c r="CH20" s="13">
        <f t="shared" si="1"/>
        <v>10.204087675368896</v>
      </c>
      <c r="CI20" s="13">
        <f t="shared" si="1"/>
        <v>1.6261494303376727</v>
      </c>
      <c r="CJ20" s="13">
        <f t="shared" si="1"/>
        <v>29.270689746078105</v>
      </c>
      <c r="CK20" s="13">
        <f t="shared" si="1"/>
        <v>29.880495782454734</v>
      </c>
      <c r="CL20" s="13">
        <f t="shared" si="1"/>
        <v>3.1303376534000198</v>
      </c>
      <c r="CM20" s="13">
        <f t="shared" si="1"/>
        <v>96.268046275990216</v>
      </c>
      <c r="CO20" s="13">
        <v>13</v>
      </c>
      <c r="CP20" s="13" t="s">
        <v>105</v>
      </c>
      <c r="CQ20" s="13">
        <v>4162.265329640667</v>
      </c>
      <c r="CR20" s="13">
        <v>42.037745717335092</v>
      </c>
      <c r="CS20" s="13">
        <v>4.6555571596233206E-2</v>
      </c>
      <c r="CT20" s="13">
        <v>0</v>
      </c>
      <c r="CU20" s="13">
        <v>0.64577096936353806</v>
      </c>
      <c r="CW20" s="13">
        <v>13</v>
      </c>
      <c r="CX20" s="13" t="s">
        <v>105</v>
      </c>
      <c r="CY20" s="53">
        <f t="shared" si="8"/>
        <v>121.70984810868569</v>
      </c>
      <c r="CZ20" s="53">
        <f t="shared" si="2"/>
        <v>1.2292363030422455</v>
      </c>
      <c r="DA20" s="53">
        <f t="shared" si="2"/>
        <v>1.3613431866631531E-3</v>
      </c>
      <c r="DB20" s="53">
        <f t="shared" si="2"/>
        <v>0</v>
      </c>
      <c r="DC20" s="53">
        <f t="shared" si="2"/>
        <v>1.8883151449890938E-2</v>
      </c>
    </row>
    <row r="21" spans="1:107">
      <c r="A21" s="46" t="s">
        <v>164</v>
      </c>
      <c r="B21" s="47" t="s">
        <v>107</v>
      </c>
      <c r="C21" s="48" t="s">
        <v>108</v>
      </c>
      <c r="D21" s="49">
        <v>0.64764109054506902</v>
      </c>
      <c r="E21" s="49">
        <v>2.74045813191586E-2</v>
      </c>
      <c r="F21" s="49">
        <v>3.2317380249167402E-2</v>
      </c>
      <c r="G21" s="49">
        <v>4.1863956832458296E-3</v>
      </c>
      <c r="H21" s="49">
        <v>4.4187480189812102E-4</v>
      </c>
      <c r="I21" s="49">
        <v>2.6967286964400301E-4</v>
      </c>
      <c r="J21" s="49">
        <v>6.3015212096947399E-3</v>
      </c>
      <c r="K21" s="49">
        <v>7.6303119674144297E-3</v>
      </c>
      <c r="L21" s="49">
        <v>3.5241088993646602E-3</v>
      </c>
      <c r="M21" s="49">
        <v>1.6704966198138198E-2</v>
      </c>
      <c r="N21" s="49">
        <v>6.0828286865408199E-2</v>
      </c>
      <c r="O21" s="49">
        <v>0.135469616937059</v>
      </c>
      <c r="P21" s="49">
        <v>3.8753124694021202E-2</v>
      </c>
      <c r="Q21" s="49">
        <v>8.7937432082109499E-3</v>
      </c>
      <c r="R21" s="49">
        <v>2.23535922047545E-2</v>
      </c>
      <c r="S21" s="49">
        <v>4.5681723679417401E-3</v>
      </c>
      <c r="T21" s="49">
        <v>0.27909075636051101</v>
      </c>
      <c r="U21" s="49">
        <v>0.79924249360323796</v>
      </c>
      <c r="V21" s="49">
        <v>1.7990616463158199E-3</v>
      </c>
      <c r="W21" s="49">
        <v>7.1455745513947205E-2</v>
      </c>
      <c r="X21" s="49">
        <v>0.32924254341192699</v>
      </c>
      <c r="Y21" s="49">
        <v>7.5632114664608605E-2</v>
      </c>
      <c r="Z21" s="49">
        <v>0.30711023673458798</v>
      </c>
      <c r="AA21" s="49">
        <v>2.9635159800817002E-3</v>
      </c>
      <c r="AB21" s="49">
        <v>1.5842155499442501E-2</v>
      </c>
      <c r="AC21" s="49">
        <v>9.3162315845615004E-2</v>
      </c>
      <c r="AD21" s="49">
        <v>0.54039789448819697</v>
      </c>
      <c r="AE21" s="49">
        <v>6.3406827789117296E-3</v>
      </c>
      <c r="AF21" s="49">
        <v>4.4004926151010697E-2</v>
      </c>
      <c r="AG21" s="49">
        <v>3.3886082990845202E-2</v>
      </c>
      <c r="AH21" s="49">
        <v>7.5398358064510299E-2</v>
      </c>
      <c r="AI21" s="49">
        <v>4.2799217090277501E-2</v>
      </c>
      <c r="AJ21" s="49">
        <v>2.4530835750377299E-2</v>
      </c>
      <c r="AK21" s="49">
        <v>9.2244925698609606E-2</v>
      </c>
      <c r="AL21" s="50">
        <v>2.9176493313415399</v>
      </c>
      <c r="AM21" s="50">
        <v>8.5828664534395391E-3</v>
      </c>
      <c r="AN21" s="50">
        <v>0</v>
      </c>
      <c r="AO21" s="50">
        <v>3.0601912118471301E-2</v>
      </c>
      <c r="AP21" s="50">
        <v>5.0667365166185002E-3</v>
      </c>
      <c r="AQ21" s="50">
        <v>1.0129548066501779</v>
      </c>
      <c r="AR21" s="54">
        <v>7.8271879553734518</v>
      </c>
      <c r="AT21" s="16">
        <v>3.9748556530802475</v>
      </c>
      <c r="AV21" s="36">
        <v>7.8271879553734545</v>
      </c>
      <c r="AW21" s="52">
        <f t="shared" si="3"/>
        <v>0</v>
      </c>
      <c r="AY21" s="13">
        <v>3.5736685285404999</v>
      </c>
      <c r="AZ21" s="53">
        <f t="shared" si="4"/>
        <v>0.4565711912011946</v>
      </c>
      <c r="BB21" s="13" t="s">
        <v>108</v>
      </c>
      <c r="BC21" s="13" t="s">
        <v>107</v>
      </c>
      <c r="BD21" s="13">
        <f t="shared" si="5"/>
        <v>0.12676864712728125</v>
      </c>
      <c r="BE21" s="13">
        <f t="shared" si="0"/>
        <v>0.5116020401922422</v>
      </c>
      <c r="BF21" s="13">
        <f t="shared" si="0"/>
        <v>0.15393335722598436</v>
      </c>
      <c r="BG21" s="13">
        <f t="shared" si="0"/>
        <v>3.0183011220781247E-2</v>
      </c>
      <c r="BH21" s="13">
        <f t="shared" si="0"/>
        <v>0.37879679082080475</v>
      </c>
      <c r="BI21" s="13">
        <f t="shared" si="0"/>
        <v>6.0366022441562493E-2</v>
      </c>
      <c r="BJ21" s="13">
        <f t="shared" si="0"/>
        <v>1.0865884039481251</v>
      </c>
      <c r="BK21" s="13">
        <f t="shared" si="0"/>
        <v>1.1092256623637109</v>
      </c>
      <c r="BL21" s="13">
        <f t="shared" si="0"/>
        <v>0.11620459320000781</v>
      </c>
      <c r="BM21" s="13">
        <f t="shared" si="6"/>
        <v>3.5736685285405003</v>
      </c>
      <c r="BO21" s="13" t="s">
        <v>108</v>
      </c>
      <c r="BP21" s="13" t="s">
        <v>107</v>
      </c>
      <c r="BQ21" s="13">
        <v>26.983516842207223</v>
      </c>
      <c r="BR21" s="13">
        <v>108.89776439890771</v>
      </c>
      <c r="BS21" s="13">
        <v>32.765699022680195</v>
      </c>
      <c r="BT21" s="13">
        <v>6.4246468671921955</v>
      </c>
      <c r="BU21" s="13">
        <v>80.629318183262058</v>
      </c>
      <c r="BV21" s="13">
        <v>12.849293734384391</v>
      </c>
      <c r="BW21" s="13">
        <v>231.28728721891903</v>
      </c>
      <c r="BX21" s="13">
        <v>236.1057723693132</v>
      </c>
      <c r="BY21" s="13">
        <v>24.734890438689952</v>
      </c>
      <c r="BZ21" s="13">
        <v>760.67818907555591</v>
      </c>
      <c r="CB21" s="13" t="s">
        <v>108</v>
      </c>
      <c r="CC21" s="13" t="s">
        <v>107</v>
      </c>
      <c r="CD21" s="13">
        <f t="shared" si="7"/>
        <v>3.4474088262672598</v>
      </c>
      <c r="CE21" s="13">
        <f t="shared" si="1"/>
        <v>13.912757048864297</v>
      </c>
      <c r="CF21" s="13">
        <f t="shared" si="1"/>
        <v>4.1861392890388149</v>
      </c>
      <c r="CG21" s="13">
        <f t="shared" si="1"/>
        <v>0.82081162530172846</v>
      </c>
      <c r="CH21" s="13">
        <f t="shared" si="1"/>
        <v>10.301185897536692</v>
      </c>
      <c r="CI21" s="13">
        <f t="shared" si="1"/>
        <v>1.6416232506034569</v>
      </c>
      <c r="CJ21" s="13">
        <f t="shared" si="1"/>
        <v>29.549218510862222</v>
      </c>
      <c r="CK21" s="13">
        <f t="shared" si="1"/>
        <v>30.164827229838522</v>
      </c>
      <c r="CL21" s="13">
        <f t="shared" si="1"/>
        <v>3.1601247574116544</v>
      </c>
      <c r="CM21" s="13">
        <f t="shared" si="1"/>
        <v>97.184096435724641</v>
      </c>
      <c r="CO21" s="13">
        <v>14</v>
      </c>
      <c r="CP21" s="13" t="s">
        <v>189</v>
      </c>
      <c r="CQ21" s="13">
        <v>9.680477511550551</v>
      </c>
      <c r="CR21" s="13">
        <v>9.0456519472375803</v>
      </c>
      <c r="CS21" s="13">
        <v>1.5848715305112986E-2</v>
      </c>
      <c r="CT21" s="13">
        <v>0</v>
      </c>
      <c r="CU21" s="13">
        <v>0.2198370655721395</v>
      </c>
      <c r="CW21" s="13">
        <v>14</v>
      </c>
      <c r="CX21" s="13" t="s">
        <v>189</v>
      </c>
      <c r="CY21" s="53">
        <f t="shared" si="8"/>
        <v>1.2367759106774476</v>
      </c>
      <c r="CZ21" s="53">
        <f t="shared" si="2"/>
        <v>1.1556707209295567</v>
      </c>
      <c r="DA21" s="53">
        <f t="shared" si="2"/>
        <v>2.0248287629572848E-3</v>
      </c>
      <c r="DB21" s="53">
        <f t="shared" si="2"/>
        <v>0</v>
      </c>
      <c r="DC21" s="53">
        <f t="shared" si="2"/>
        <v>2.80863404361229E-2</v>
      </c>
    </row>
    <row r="22" spans="1:107">
      <c r="A22" s="46" t="s">
        <v>165</v>
      </c>
      <c r="B22" s="47" t="s">
        <v>109</v>
      </c>
      <c r="C22" s="48" t="s">
        <v>110</v>
      </c>
      <c r="D22" s="49">
        <v>1.6610626363210801</v>
      </c>
      <c r="E22" s="49">
        <v>7.0286964119225206E-2</v>
      </c>
      <c r="F22" s="49">
        <v>8.2887255949886496E-2</v>
      </c>
      <c r="G22" s="49">
        <v>1.07372208956708E-2</v>
      </c>
      <c r="H22" s="49">
        <v>1.13331555715067E-3</v>
      </c>
      <c r="I22" s="49">
        <v>6.9165396441744898E-4</v>
      </c>
      <c r="J22" s="49">
        <v>1.6162071224664499E-2</v>
      </c>
      <c r="K22" s="49">
        <v>1.9570138920429799E-2</v>
      </c>
      <c r="L22" s="49">
        <v>9.0385951486409294E-3</v>
      </c>
      <c r="M22" s="49">
        <v>4.28447107477085E-2</v>
      </c>
      <c r="N22" s="49">
        <v>0.15601171083587601</v>
      </c>
      <c r="O22" s="49">
        <v>0.34745096062618602</v>
      </c>
      <c r="P22" s="49">
        <v>9.9393581429112005E-2</v>
      </c>
      <c r="Q22" s="49">
        <v>2.2554094373888299E-2</v>
      </c>
      <c r="R22" s="49">
        <v>5.7332243646902502E-2</v>
      </c>
      <c r="S22" s="49">
        <v>1.17163974729833E-2</v>
      </c>
      <c r="T22" s="49">
        <v>0.71580885509111403</v>
      </c>
      <c r="U22" s="49">
        <v>2.04988822183455</v>
      </c>
      <c r="V22" s="49">
        <v>4.6142132189580598E-3</v>
      </c>
      <c r="W22" s="49">
        <v>0.1832688980926</v>
      </c>
      <c r="X22" s="49">
        <v>0.8444375984368</v>
      </c>
      <c r="Y22" s="49">
        <v>0.19398040304947201</v>
      </c>
      <c r="Z22" s="49">
        <v>0.78767290543935098</v>
      </c>
      <c r="AA22" s="49">
        <v>7.6007926898387099E-3</v>
      </c>
      <c r="AB22" s="49">
        <v>4.0631783503367998E-2</v>
      </c>
      <c r="AC22" s="49">
        <v>0.238941667265202</v>
      </c>
      <c r="AD22" s="49">
        <v>1.24061003950662</v>
      </c>
      <c r="AE22" s="49">
        <v>1.6262512380044499E-2</v>
      </c>
      <c r="AF22" s="49">
        <v>0.11286334315507</v>
      </c>
      <c r="AG22" s="49">
        <v>8.6910647222824905E-2</v>
      </c>
      <c r="AH22" s="49">
        <v>0.19338086673207999</v>
      </c>
      <c r="AI22" s="49">
        <v>0.109770954021187</v>
      </c>
      <c r="AJ22" s="49">
        <v>6.2916413577753294E-2</v>
      </c>
      <c r="AK22" s="49">
        <v>0.23658875526136999</v>
      </c>
      <c r="AL22" s="50">
        <v>7.4825639554468903</v>
      </c>
      <c r="AM22" s="50">
        <v>2.2011503051119499E-2</v>
      </c>
      <c r="AN22" s="50">
        <v>0</v>
      </c>
      <c r="AO22" s="50">
        <v>7.8481249314546503E-2</v>
      </c>
      <c r="AP22" s="50">
        <v>1.2949661847892899E-2</v>
      </c>
      <c r="AQ22" s="50">
        <v>2.606416300783057</v>
      </c>
      <c r="AR22" s="54">
        <v>19.937445092155528</v>
      </c>
      <c r="AT22" s="16">
        <v>10.202422670443507</v>
      </c>
      <c r="AV22" s="36">
        <v>19.937445092155521</v>
      </c>
      <c r="AW22" s="52">
        <f t="shared" si="3"/>
        <v>0</v>
      </c>
      <c r="AY22" s="13">
        <v>9.1232064089193106</v>
      </c>
      <c r="AZ22" s="53">
        <f t="shared" si="4"/>
        <v>0.45759155030896487</v>
      </c>
      <c r="BB22" s="13" t="s">
        <v>110</v>
      </c>
      <c r="BC22" s="13" t="s">
        <v>109</v>
      </c>
      <c r="BD22" s="13">
        <f t="shared" si="5"/>
        <v>0.32362725437044859</v>
      </c>
      <c r="BE22" s="13">
        <f t="shared" si="0"/>
        <v>1.3060671337093102</v>
      </c>
      <c r="BF22" s="13">
        <f t="shared" si="0"/>
        <v>0.39297595173554467</v>
      </c>
      <c r="BG22" s="13">
        <f t="shared" si="0"/>
        <v>7.7054108183440134E-2</v>
      </c>
      <c r="BH22" s="13">
        <f t="shared" si="0"/>
        <v>0.96702905770217373</v>
      </c>
      <c r="BI22" s="13">
        <f t="shared" si="0"/>
        <v>0.15410821636688027</v>
      </c>
      <c r="BJ22" s="13">
        <f t="shared" si="0"/>
        <v>2.7739478946038449</v>
      </c>
      <c r="BK22" s="13">
        <f t="shared" si="0"/>
        <v>2.831738475741425</v>
      </c>
      <c r="BL22" s="13">
        <f t="shared" si="0"/>
        <v>0.29665831650624452</v>
      </c>
      <c r="BM22" s="13">
        <f t="shared" si="6"/>
        <v>9.1232064089193123</v>
      </c>
      <c r="BO22" s="13" t="s">
        <v>110</v>
      </c>
      <c r="BP22" s="13" t="s">
        <v>109</v>
      </c>
      <c r="BQ22" s="13">
        <v>68.88612970787932</v>
      </c>
      <c r="BR22" s="13">
        <v>278.00473774965582</v>
      </c>
      <c r="BS22" s="13">
        <v>83.647443216710599</v>
      </c>
      <c r="BT22" s="13">
        <v>16.40145945425698</v>
      </c>
      <c r="BU22" s="13">
        <v>205.8383161509251</v>
      </c>
      <c r="BV22" s="13">
        <v>32.802918908513959</v>
      </c>
      <c r="BW22" s="13">
        <v>590.45254035325127</v>
      </c>
      <c r="BX22" s="13">
        <v>602.75363494394401</v>
      </c>
      <c r="BY22" s="13">
        <v>63.145618898889374</v>
      </c>
      <c r="BZ22" s="13">
        <v>1941.9327993840261</v>
      </c>
      <c r="CB22" s="13" t="s">
        <v>110</v>
      </c>
      <c r="CC22" s="13" t="s">
        <v>109</v>
      </c>
      <c r="CD22" s="13">
        <f t="shared" si="7"/>
        <v>3.4551131997842019</v>
      </c>
      <c r="CE22" s="13">
        <f t="shared" si="1"/>
        <v>13.9438496991291</v>
      </c>
      <c r="CF22" s="13">
        <f t="shared" si="1"/>
        <v>4.1954945997379589</v>
      </c>
      <c r="CG22" s="13">
        <f t="shared" si="1"/>
        <v>0.82264599994861942</v>
      </c>
      <c r="CH22" s="13">
        <f t="shared" si="1"/>
        <v>10.324207299355175</v>
      </c>
      <c r="CI22" s="13">
        <f t="shared" si="1"/>
        <v>1.6452919998972388</v>
      </c>
      <c r="CJ22" s="13">
        <f t="shared" si="1"/>
        <v>29.6152559981503</v>
      </c>
      <c r="CK22" s="13">
        <f t="shared" si="1"/>
        <v>30.232240498111764</v>
      </c>
      <c r="CL22" s="13">
        <f t="shared" si="1"/>
        <v>3.1671870998021849</v>
      </c>
      <c r="CM22" s="13">
        <f t="shared" si="1"/>
        <v>97.401286393916536</v>
      </c>
      <c r="CO22" s="13">
        <v>15</v>
      </c>
      <c r="CP22" s="13" t="s">
        <v>190</v>
      </c>
      <c r="CQ22" s="13">
        <v>15.437026854359228</v>
      </c>
      <c r="CR22" s="13">
        <v>21.672981230071354</v>
      </c>
      <c r="CS22" s="13">
        <v>1.9811354752179142E-2</v>
      </c>
      <c r="CT22" s="13">
        <v>0</v>
      </c>
      <c r="CU22" s="13">
        <v>0.27480272122262556</v>
      </c>
      <c r="CW22" s="13">
        <v>15</v>
      </c>
      <c r="CX22" s="13" t="s">
        <v>190</v>
      </c>
      <c r="CY22" s="53">
        <f t="shared" si="8"/>
        <v>0.77427307175045168</v>
      </c>
      <c r="CZ22" s="53">
        <f t="shared" si="2"/>
        <v>1.0870490742366323</v>
      </c>
      <c r="DA22" s="53">
        <f t="shared" si="2"/>
        <v>9.9367570220790236E-4</v>
      </c>
      <c r="DB22" s="53">
        <f t="shared" si="2"/>
        <v>0</v>
      </c>
      <c r="DC22" s="53">
        <f t="shared" si="2"/>
        <v>1.3783246547008566E-2</v>
      </c>
    </row>
    <row r="23" spans="1:107">
      <c r="A23" s="46" t="s">
        <v>166</v>
      </c>
      <c r="B23" s="47" t="s">
        <v>111</v>
      </c>
      <c r="C23" s="48" t="s">
        <v>112</v>
      </c>
      <c r="D23" s="49">
        <v>1.7112076548565899E-3</v>
      </c>
      <c r="E23" s="49">
        <v>8.0712653415392702E-3</v>
      </c>
      <c r="F23" s="49">
        <v>0.30706452776549098</v>
      </c>
      <c r="G23" s="49">
        <v>3.0423322033103801</v>
      </c>
      <c r="H23" s="49">
        <v>0.34615031516346101</v>
      </c>
      <c r="I23" s="49">
        <v>0</v>
      </c>
      <c r="J23" s="49">
        <v>4.0262542179657398E-2</v>
      </c>
      <c r="K23" s="49">
        <v>0</v>
      </c>
      <c r="L23" s="49">
        <v>0</v>
      </c>
      <c r="M23" s="49">
        <v>5.85033100262888E-2</v>
      </c>
      <c r="N23" s="49">
        <v>0.21302983092845701</v>
      </c>
      <c r="O23" s="49">
        <v>0.10325334991145201</v>
      </c>
      <c r="P23" s="49">
        <v>2.12360059508893E-2</v>
      </c>
      <c r="Q23" s="49">
        <v>4.81881098813613E-3</v>
      </c>
      <c r="R23" s="49">
        <v>1.22493610729963E-2</v>
      </c>
      <c r="S23" s="49">
        <v>0.70692028455246902</v>
      </c>
      <c r="T23" s="49">
        <v>3.6661567015148798E-2</v>
      </c>
      <c r="U23" s="49">
        <v>2.83685060262217</v>
      </c>
      <c r="V23" s="49">
        <v>8.6505854489270003E-3</v>
      </c>
      <c r="W23" s="49">
        <v>0.25665942194772801</v>
      </c>
      <c r="X23" s="49">
        <v>0.42610576460822402</v>
      </c>
      <c r="Y23" s="49">
        <v>0.42437033464267199</v>
      </c>
      <c r="Z23" s="49">
        <v>0.31384598344272202</v>
      </c>
      <c r="AA23" s="49">
        <v>3.0285137907036502E-3</v>
      </c>
      <c r="AB23" s="49">
        <v>1.6189616228494502E-2</v>
      </c>
      <c r="AC23" s="49">
        <v>9.5205613942583006E-2</v>
      </c>
      <c r="AD23" s="49">
        <v>0.30738921088780602</v>
      </c>
      <c r="AE23" s="49">
        <v>1.33104011099282E-2</v>
      </c>
      <c r="AF23" s="49">
        <v>9.7376393990137006E-2</v>
      </c>
      <c r="AG23" s="49">
        <v>7.4984890481931896E-2</v>
      </c>
      <c r="AH23" s="49">
        <v>5.4185193926623201E-2</v>
      </c>
      <c r="AI23" s="49">
        <v>0.243384952822499</v>
      </c>
      <c r="AJ23" s="49">
        <v>2.3079637253863802E-2</v>
      </c>
      <c r="AK23" s="49">
        <v>1.50099013898109</v>
      </c>
      <c r="AL23" s="50">
        <v>10.177276778074599</v>
      </c>
      <c r="AM23" s="50">
        <v>4.07368694748809E-2</v>
      </c>
      <c r="AN23" s="50">
        <v>0</v>
      </c>
      <c r="AO23" s="50">
        <v>0.84144122342567096</v>
      </c>
      <c r="AP23" s="50">
        <v>3.6331984101077501</v>
      </c>
      <c r="AQ23" s="50">
        <v>1.8568745446655806</v>
      </c>
      <c r="AR23" s="54">
        <v>28.147399663737804</v>
      </c>
      <c r="AT23" s="16">
        <v>16.549527825748481</v>
      </c>
      <c r="AV23" s="36">
        <v>28.147399663737811</v>
      </c>
      <c r="AW23" s="52">
        <f t="shared" si="3"/>
        <v>0</v>
      </c>
      <c r="AY23" s="13">
        <v>10.264208633239001</v>
      </c>
      <c r="AZ23" s="53">
        <f t="shared" si="4"/>
        <v>0.3646592138478193</v>
      </c>
      <c r="BB23" s="13" t="s">
        <v>112</v>
      </c>
      <c r="BC23" s="13" t="s">
        <v>111</v>
      </c>
      <c r="BD23" s="13">
        <f t="shared" si="5"/>
        <v>0.36410199543584293</v>
      </c>
      <c r="BE23" s="13">
        <f t="shared" si="0"/>
        <v>1.4694116244375088</v>
      </c>
      <c r="BF23" s="13">
        <f t="shared" si="0"/>
        <v>0.44212385160066636</v>
      </c>
      <c r="BG23" s="13">
        <f t="shared" si="0"/>
        <v>8.6690951294248308E-2</v>
      </c>
      <c r="BH23" s="13">
        <f t="shared" si="0"/>
        <v>1.0879714387428163</v>
      </c>
      <c r="BI23" s="13">
        <f t="shared" si="0"/>
        <v>0.17338190258849662</v>
      </c>
      <c r="BJ23" s="13">
        <f t="shared" si="0"/>
        <v>3.1208742465929391</v>
      </c>
      <c r="BK23" s="13">
        <f t="shared" si="0"/>
        <v>3.1858924600636254</v>
      </c>
      <c r="BL23" s="13">
        <f t="shared" si="0"/>
        <v>0.33376016248285595</v>
      </c>
      <c r="BM23" s="13">
        <f t="shared" si="6"/>
        <v>10.264208633238999</v>
      </c>
      <c r="BO23" s="13" t="s">
        <v>112</v>
      </c>
      <c r="BP23" s="13" t="s">
        <v>111</v>
      </c>
      <c r="BQ23" s="13">
        <v>77.501437056907662</v>
      </c>
      <c r="BR23" s="13">
        <v>312.77365669394879</v>
      </c>
      <c r="BS23" s="13">
        <v>94.108887854816444</v>
      </c>
      <c r="BT23" s="13">
        <v>18.452723108787538</v>
      </c>
      <c r="BU23" s="13">
        <v>231.58167501528362</v>
      </c>
      <c r="BV23" s="13">
        <v>36.905446217575076</v>
      </c>
      <c r="BW23" s="13">
        <v>664.29803191635142</v>
      </c>
      <c r="BX23" s="13">
        <v>678.1375742479421</v>
      </c>
      <c r="BY23" s="13">
        <v>71.042983968832019</v>
      </c>
      <c r="BZ23" s="13">
        <v>2184.8024160804448</v>
      </c>
      <c r="CB23" s="13" t="s">
        <v>112</v>
      </c>
      <c r="CC23" s="13" t="s">
        <v>111</v>
      </c>
      <c r="CD23" s="13">
        <f t="shared" si="7"/>
        <v>2.7534137427533842</v>
      </c>
      <c r="CE23" s="13">
        <f t="shared" si="1"/>
        <v>11.111991176111873</v>
      </c>
      <c r="CF23" s="13">
        <f t="shared" si="1"/>
        <v>3.3434309733433953</v>
      </c>
      <c r="CG23" s="13">
        <f t="shared" si="1"/>
        <v>0.65557470065556767</v>
      </c>
      <c r="CH23" s="13">
        <f t="shared" si="1"/>
        <v>8.2274624932273746</v>
      </c>
      <c r="CI23" s="13">
        <f t="shared" si="1"/>
        <v>1.3111494013111353</v>
      </c>
      <c r="CJ23" s="13">
        <f t="shared" si="1"/>
        <v>23.60068922360044</v>
      </c>
      <c r="CK23" s="13">
        <f t="shared" si="1"/>
        <v>24.092370249092117</v>
      </c>
      <c r="CL23" s="13">
        <f t="shared" si="1"/>
        <v>2.5239625975239357</v>
      </c>
      <c r="CM23" s="13">
        <f t="shared" si="1"/>
        <v>77.620044557619224</v>
      </c>
      <c r="CO23" s="13">
        <v>16</v>
      </c>
      <c r="CP23" s="13" t="s">
        <v>191</v>
      </c>
      <c r="CQ23" s="13">
        <v>2873.8376886987198</v>
      </c>
      <c r="CR23" s="13">
        <v>31.968249553835193</v>
      </c>
      <c r="CS23" s="13">
        <v>7.0442352445093157E-2</v>
      </c>
      <c r="CT23" s="13">
        <v>0</v>
      </c>
      <c r="CU23" s="13">
        <v>0.9771038065483949</v>
      </c>
      <c r="CW23" s="13">
        <v>16</v>
      </c>
      <c r="CX23" s="13" t="s">
        <v>191</v>
      </c>
      <c r="CY23" s="53">
        <f t="shared" si="8"/>
        <v>102.09958017546732</v>
      </c>
      <c r="CZ23" s="53">
        <f t="shared" si="2"/>
        <v>1.1357443293427838</v>
      </c>
      <c r="DA23" s="53">
        <f t="shared" si="2"/>
        <v>2.502623804920914E-3</v>
      </c>
      <c r="DB23" s="53">
        <f t="shared" si="2"/>
        <v>0</v>
      </c>
      <c r="DC23" s="53">
        <f t="shared" si="2"/>
        <v>3.471382146206544E-2</v>
      </c>
    </row>
    <row r="24" spans="1:107">
      <c r="A24" s="46" t="s">
        <v>167</v>
      </c>
      <c r="B24" s="47" t="s">
        <v>113</v>
      </c>
      <c r="C24" s="48" t="s">
        <v>114</v>
      </c>
      <c r="D24" s="49">
        <v>0.45508647310894101</v>
      </c>
      <c r="E24" s="49">
        <v>1.71474211539722</v>
      </c>
      <c r="F24" s="49">
        <v>7.3802835442988997</v>
      </c>
      <c r="G24" s="49">
        <v>1.6256600486349599</v>
      </c>
      <c r="H24" s="49">
        <v>0.17158870453146299</v>
      </c>
      <c r="I24" s="49">
        <v>0.10168415708208201</v>
      </c>
      <c r="J24" s="49">
        <v>2.1221881041813599</v>
      </c>
      <c r="K24" s="49">
        <v>2.3717278487040301</v>
      </c>
      <c r="L24" s="49">
        <v>1.09539783618063</v>
      </c>
      <c r="M24" s="49">
        <v>1.48926642178393</v>
      </c>
      <c r="N24" s="49">
        <v>5.4229098130943196</v>
      </c>
      <c r="O24" s="49">
        <v>9.3004468613429108</v>
      </c>
      <c r="P24" s="49">
        <v>2.3998645605727198</v>
      </c>
      <c r="Q24" s="49">
        <v>0.54457009200649498</v>
      </c>
      <c r="R24" s="49">
        <v>1.3842907935101501</v>
      </c>
      <c r="S24" s="49">
        <v>0.333390619397545</v>
      </c>
      <c r="T24" s="49">
        <v>10.254990193801801</v>
      </c>
      <c r="U24" s="49">
        <v>14.522730035051699</v>
      </c>
      <c r="V24" s="49">
        <v>0.102278155412151</v>
      </c>
      <c r="W24" s="49">
        <v>2.6427501153633299</v>
      </c>
      <c r="X24" s="49">
        <v>5.4360366120526296</v>
      </c>
      <c r="Y24" s="49">
        <v>7.0283698550422402</v>
      </c>
      <c r="Z24" s="49">
        <v>1.44276225609444</v>
      </c>
      <c r="AA24" s="49">
        <v>1.39221962994665E-2</v>
      </c>
      <c r="AB24" s="49">
        <v>7.4424298756044893E-2</v>
      </c>
      <c r="AC24" s="49">
        <v>0.43766392947872501</v>
      </c>
      <c r="AD24" s="49">
        <v>2.2009125900371398</v>
      </c>
      <c r="AE24" s="49">
        <v>0.86124927573505305</v>
      </c>
      <c r="AF24" s="49">
        <v>2.2418581538504698</v>
      </c>
      <c r="AG24" s="49">
        <v>1.7263474365207101</v>
      </c>
      <c r="AH24" s="49">
        <v>7.29261610831617</v>
      </c>
      <c r="AI24" s="49">
        <v>7.5921529301161996</v>
      </c>
      <c r="AJ24" s="49">
        <v>6.94215648913445</v>
      </c>
      <c r="AK24" s="49">
        <v>2.86039078206591</v>
      </c>
      <c r="AL24" s="50">
        <v>55.165758969974597</v>
      </c>
      <c r="AM24" s="50">
        <v>1.6126186036357501E-2</v>
      </c>
      <c r="AN24" s="50">
        <v>0.70802152621987902</v>
      </c>
      <c r="AO24" s="50">
        <v>67.713824172405296</v>
      </c>
      <c r="AP24" s="50">
        <v>-2.97586834382578</v>
      </c>
      <c r="AQ24" s="50">
        <v>126.35686858946364</v>
      </c>
      <c r="AR24" s="54">
        <v>358.57144050723031</v>
      </c>
      <c r="AT24" s="16">
        <v>246.98473110027399</v>
      </c>
      <c r="AV24" s="36">
        <v>358.57144050723031</v>
      </c>
      <c r="AW24" s="52">
        <f t="shared" si="3"/>
        <v>0</v>
      </c>
      <c r="AY24" s="13">
        <v>158.31998110911701</v>
      </c>
      <c r="AZ24" s="53">
        <f t="shared" si="4"/>
        <v>0.44152981309710476</v>
      </c>
      <c r="BB24" s="13" t="s">
        <v>114</v>
      </c>
      <c r="BC24" s="13" t="s">
        <v>113</v>
      </c>
      <c r="BD24" s="13">
        <f t="shared" si="5"/>
        <v>8.9769061453623049</v>
      </c>
      <c r="BE24" s="13">
        <f t="shared" si="0"/>
        <v>21.218141798129086</v>
      </c>
      <c r="BF24" s="13">
        <f t="shared" si="0"/>
        <v>9.3849473337878635</v>
      </c>
      <c r="BG24" s="13">
        <f t="shared" si="0"/>
        <v>5.3045354495322714</v>
      </c>
      <c r="BH24" s="13">
        <f t="shared" si="0"/>
        <v>35.90762458144922</v>
      </c>
      <c r="BI24" s="13">
        <f t="shared" si="0"/>
        <v>7.3447413916600679</v>
      </c>
      <c r="BJ24" s="13">
        <f t="shared" si="0"/>
        <v>24.890512493959115</v>
      </c>
      <c r="BK24" s="13">
        <f t="shared" si="0"/>
        <v>37.947830523577018</v>
      </c>
      <c r="BL24" s="13">
        <f t="shared" si="0"/>
        <v>7.3447413916600679</v>
      </c>
      <c r="BM24" s="13">
        <f t="shared" si="6"/>
        <v>158.31998110911701</v>
      </c>
      <c r="BO24" s="13" t="s">
        <v>114</v>
      </c>
      <c r="BP24" s="13" t="s">
        <v>113</v>
      </c>
      <c r="BQ24" s="13">
        <v>2200</v>
      </c>
      <c r="BR24" s="13">
        <v>5200</v>
      </c>
      <c r="BS24" s="13">
        <v>2300</v>
      </c>
      <c r="BT24" s="13">
        <v>1300</v>
      </c>
      <c r="BU24" s="13">
        <v>8800</v>
      </c>
      <c r="BV24" s="13">
        <v>1800</v>
      </c>
      <c r="BW24" s="13">
        <v>6100</v>
      </c>
      <c r="BX24" s="13">
        <v>9300</v>
      </c>
      <c r="BY24" s="13">
        <v>1800</v>
      </c>
      <c r="BZ24" s="13">
        <v>38800</v>
      </c>
      <c r="CB24" s="13" t="s">
        <v>114</v>
      </c>
      <c r="CC24" s="13" t="s">
        <v>113</v>
      </c>
      <c r="CD24" s="13">
        <f t="shared" si="7"/>
        <v>6.1354579630990962</v>
      </c>
      <c r="CE24" s="13">
        <f t="shared" si="1"/>
        <v>14.501991549143318</v>
      </c>
      <c r="CF24" s="13">
        <f t="shared" si="1"/>
        <v>6.4143424159672371</v>
      </c>
      <c r="CG24" s="13">
        <f t="shared" si="1"/>
        <v>3.6254978872858294</v>
      </c>
      <c r="CH24" s="13">
        <f t="shared" si="1"/>
        <v>24.541831852396385</v>
      </c>
      <c r="CI24" s="13">
        <f t="shared" si="1"/>
        <v>5.0199201516265335</v>
      </c>
      <c r="CJ24" s="13">
        <f t="shared" si="1"/>
        <v>17.011951624956584</v>
      </c>
      <c r="CK24" s="13">
        <f t="shared" si="1"/>
        <v>25.936254116737089</v>
      </c>
      <c r="CL24" s="13">
        <f t="shared" si="1"/>
        <v>5.0199201516265335</v>
      </c>
      <c r="CM24" s="13">
        <f t="shared" si="1"/>
        <v>108.20716771283861</v>
      </c>
      <c r="CO24" s="13">
        <v>17</v>
      </c>
      <c r="CP24" s="13" t="s">
        <v>192</v>
      </c>
      <c r="CQ24" s="13">
        <v>252288.19067019684</v>
      </c>
      <c r="CR24" s="13">
        <v>2977.6219434453242</v>
      </c>
      <c r="CS24" s="13">
        <v>0.68518741636044134</v>
      </c>
      <c r="CT24" s="13">
        <v>0</v>
      </c>
      <c r="CU24" s="13">
        <v>9.5042145738487882</v>
      </c>
      <c r="CW24" s="13">
        <v>17</v>
      </c>
      <c r="CX24" s="13" t="s">
        <v>192</v>
      </c>
      <c r="CY24" s="53">
        <f t="shared" si="8"/>
        <v>703.59254020151013</v>
      </c>
      <c r="CZ24" s="53">
        <f t="shared" si="2"/>
        <v>8.3041246654591916</v>
      </c>
      <c r="DA24" s="53">
        <f t="shared" si="2"/>
        <v>1.9108811772381663E-3</v>
      </c>
      <c r="DB24" s="53">
        <f t="shared" si="2"/>
        <v>0</v>
      </c>
      <c r="DC24" s="53">
        <f t="shared" si="2"/>
        <v>2.6505776813692285E-2</v>
      </c>
    </row>
    <row r="25" spans="1:107">
      <c r="A25" s="46" t="s">
        <v>168</v>
      </c>
      <c r="B25" s="47" t="s">
        <v>115</v>
      </c>
      <c r="C25" s="48" t="s">
        <v>116</v>
      </c>
      <c r="D25" s="49">
        <v>4.1450161344167196E-3</v>
      </c>
      <c r="E25" s="49">
        <v>2.8444387995265701E-2</v>
      </c>
      <c r="F25" s="49">
        <v>2.2826376063073801</v>
      </c>
      <c r="G25" s="49">
        <v>0.74450921713538798</v>
      </c>
      <c r="H25" s="49">
        <v>7.8583079031353698E-2</v>
      </c>
      <c r="I25" s="49">
        <v>0</v>
      </c>
      <c r="J25" s="49">
        <v>0.47581336866513602</v>
      </c>
      <c r="K25" s="49">
        <v>8.3450630452131594E-2</v>
      </c>
      <c r="L25" s="49">
        <v>3.85422130431715E-2</v>
      </c>
      <c r="M25" s="49">
        <v>0.75559166451398996</v>
      </c>
      <c r="N25" s="49">
        <v>2.7513582474228602</v>
      </c>
      <c r="O25" s="49">
        <v>2.8826521177903701</v>
      </c>
      <c r="P25" s="49">
        <v>2.3293337620832001E-2</v>
      </c>
      <c r="Q25" s="49">
        <v>5.2856545405578102E-3</v>
      </c>
      <c r="R25" s="49">
        <v>1.34360719135527E-2</v>
      </c>
      <c r="S25" s="49">
        <v>1.64781612047314E-2</v>
      </c>
      <c r="T25" s="49">
        <v>0.67159142399932603</v>
      </c>
      <c r="U25" s="49">
        <v>300.02433587558102</v>
      </c>
      <c r="V25" s="49">
        <v>0</v>
      </c>
      <c r="W25" s="49">
        <v>5.8537826399544599</v>
      </c>
      <c r="X25" s="49">
        <v>31.098643925099299</v>
      </c>
      <c r="Y25" s="49">
        <v>2.7707979476158302</v>
      </c>
      <c r="Z25" s="49">
        <v>1.5173742815817</v>
      </c>
      <c r="AA25" s="49">
        <v>1.4642178583967399E-2</v>
      </c>
      <c r="AB25" s="49">
        <v>7.8273129464084795E-2</v>
      </c>
      <c r="AC25" s="49">
        <v>0.460297590792764</v>
      </c>
      <c r="AD25" s="49">
        <v>0.38491157538895698</v>
      </c>
      <c r="AE25" s="49">
        <v>0.212414302377362</v>
      </c>
      <c r="AF25" s="49">
        <v>9.6081916209526703</v>
      </c>
      <c r="AG25" s="49">
        <v>7.3988075230997099</v>
      </c>
      <c r="AH25" s="49">
        <v>0</v>
      </c>
      <c r="AI25" s="49">
        <v>15.543908712034</v>
      </c>
      <c r="AJ25" s="49">
        <v>0.806632699322543</v>
      </c>
      <c r="AK25" s="49">
        <v>5.1031497240365997</v>
      </c>
      <c r="AL25" s="50">
        <v>0.16736332761603301</v>
      </c>
      <c r="AM25" s="50">
        <v>0</v>
      </c>
      <c r="AN25" s="50">
        <v>0.309887968670434</v>
      </c>
      <c r="AO25" s="50">
        <v>1425.30240516298</v>
      </c>
      <c r="AP25" s="50">
        <v>34.8460359137258</v>
      </c>
      <c r="AQ25" s="50">
        <v>120.02961846139846</v>
      </c>
      <c r="AR25" s="54">
        <v>1972.3872867580462</v>
      </c>
      <c r="AT25" s="16">
        <v>1580.6553108343908</v>
      </c>
      <c r="AV25" s="36">
        <v>1972.3872867580446</v>
      </c>
      <c r="AW25" s="52">
        <f t="shared" si="3"/>
        <v>0</v>
      </c>
      <c r="AY25" s="13">
        <v>607.03134930170097</v>
      </c>
      <c r="AZ25" s="53">
        <f t="shared" si="4"/>
        <v>0.30776478502832988</v>
      </c>
      <c r="BB25" s="13" t="s">
        <v>116</v>
      </c>
      <c r="BC25" s="13" t="s">
        <v>115</v>
      </c>
      <c r="BD25" s="13">
        <f t="shared" si="5"/>
        <v>66.972942293849641</v>
      </c>
      <c r="BE25" s="13">
        <f t="shared" si="0"/>
        <v>95.947052080550534</v>
      </c>
      <c r="BF25" s="13">
        <f t="shared" si="0"/>
        <v>41.561223054693919</v>
      </c>
      <c r="BG25" s="13">
        <f t="shared" si="0"/>
        <v>8.7872300172781426</v>
      </c>
      <c r="BH25" s="13">
        <f t="shared" si="0"/>
        <v>153.89527165395236</v>
      </c>
      <c r="BI25" s="13">
        <f t="shared" si="0"/>
        <v>17.811952737725967</v>
      </c>
      <c r="BJ25" s="13">
        <f t="shared" si="0"/>
        <v>83.834924218896887</v>
      </c>
      <c r="BK25" s="13">
        <f t="shared" si="0"/>
        <v>86.447343953763365</v>
      </c>
      <c r="BL25" s="13">
        <f t="shared" si="0"/>
        <v>51.773409290990145</v>
      </c>
      <c r="BM25" s="13">
        <f t="shared" si="6"/>
        <v>607.03134930170097</v>
      </c>
      <c r="BO25" s="13" t="s">
        <v>116</v>
      </c>
      <c r="BP25" s="13" t="s">
        <v>115</v>
      </c>
      <c r="BQ25" s="13">
        <v>28200</v>
      </c>
      <c r="BR25" s="13">
        <v>40400</v>
      </c>
      <c r="BS25" s="13">
        <v>17500</v>
      </c>
      <c r="BT25" s="13">
        <v>3700</v>
      </c>
      <c r="BU25" s="13">
        <v>64800</v>
      </c>
      <c r="BV25" s="13">
        <v>7500</v>
      </c>
      <c r="BW25" s="13">
        <v>35300</v>
      </c>
      <c r="BX25" s="13">
        <v>36400</v>
      </c>
      <c r="BY25" s="13">
        <v>21800</v>
      </c>
      <c r="BZ25" s="13">
        <v>255600</v>
      </c>
      <c r="CB25" s="13" t="s">
        <v>116</v>
      </c>
      <c r="CC25" s="13" t="s">
        <v>115</v>
      </c>
      <c r="CD25" s="13">
        <f t="shared" si="7"/>
        <v>14.297394933198689</v>
      </c>
      <c r="CE25" s="13">
        <f t="shared" si="1"/>
        <v>20.482792741178265</v>
      </c>
      <c r="CF25" s="13">
        <f t="shared" si="1"/>
        <v>8.8724968557084072</v>
      </c>
      <c r="CG25" s="13">
        <f t="shared" si="1"/>
        <v>1.8758993352069202</v>
      </c>
      <c r="CH25" s="13">
        <f t="shared" si="1"/>
        <v>32.853588357137411</v>
      </c>
      <c r="CI25" s="13">
        <f t="shared" si="1"/>
        <v>3.8024986524464599</v>
      </c>
      <c r="CJ25" s="13">
        <f t="shared" si="1"/>
        <v>17.89709365751467</v>
      </c>
      <c r="CK25" s="13">
        <f t="shared" si="1"/>
        <v>18.454793459873486</v>
      </c>
      <c r="CL25" s="13">
        <f t="shared" si="1"/>
        <v>11.052596083111043</v>
      </c>
      <c r="CM25" s="13">
        <f t="shared" si="1"/>
        <v>129.58915407537535</v>
      </c>
      <c r="CO25" s="13">
        <v>18</v>
      </c>
      <c r="CP25" s="13" t="s">
        <v>115</v>
      </c>
      <c r="CQ25" s="13">
        <v>1428.7879507021667</v>
      </c>
      <c r="CR25" s="13">
        <v>12556.871139841152</v>
      </c>
      <c r="CS25" s="13">
        <v>2.0860452678444168</v>
      </c>
      <c r="CT25" s="13">
        <v>0</v>
      </c>
      <c r="CU25" s="13">
        <v>28.935472781545748</v>
      </c>
      <c r="CW25" s="13">
        <v>18</v>
      </c>
      <c r="CX25" s="13" t="s">
        <v>115</v>
      </c>
      <c r="CY25" s="53">
        <f t="shared" si="8"/>
        <v>0.72439523429023034</v>
      </c>
      <c r="CZ25" s="53">
        <f t="shared" si="2"/>
        <v>6.3663314117586429</v>
      </c>
      <c r="DA25" s="53">
        <f t="shared" si="2"/>
        <v>1.0576245759894279E-3</v>
      </c>
      <c r="DB25" s="53">
        <f t="shared" si="2"/>
        <v>0</v>
      </c>
      <c r="DC25" s="53">
        <f t="shared" si="2"/>
        <v>1.4670279501297189E-2</v>
      </c>
    </row>
    <row r="26" spans="1:107">
      <c r="A26" s="46">
        <v>50</v>
      </c>
      <c r="B26" s="47" t="s">
        <v>117</v>
      </c>
      <c r="C26" s="48" t="s">
        <v>118</v>
      </c>
      <c r="D26" s="49">
        <v>7.7280941849753297</v>
      </c>
      <c r="E26" s="49">
        <v>0.98303583142541295</v>
      </c>
      <c r="F26" s="49">
        <v>0.21724663107391801</v>
      </c>
      <c r="G26" s="49">
        <v>0.23800081024433201</v>
      </c>
      <c r="H26" s="49">
        <v>2.51210274506991E-2</v>
      </c>
      <c r="I26" s="49">
        <v>1.3233396389788399E-2</v>
      </c>
      <c r="J26" s="49">
        <v>0.20585859197332201</v>
      </c>
      <c r="K26" s="49">
        <v>0.30414702490926698</v>
      </c>
      <c r="L26" s="49">
        <v>0.140472269256539</v>
      </c>
      <c r="M26" s="49">
        <v>0.20276132373252301</v>
      </c>
      <c r="N26" s="49">
        <v>0.73832079747556301</v>
      </c>
      <c r="O26" s="49">
        <v>0.279105476398328</v>
      </c>
      <c r="P26" s="49">
        <v>9.0935023758395003E-2</v>
      </c>
      <c r="Q26" s="49">
        <v>2.0634703752991999E-2</v>
      </c>
      <c r="R26" s="49">
        <v>5.24531751768244E-2</v>
      </c>
      <c r="S26" s="49">
        <v>2.0751357693866299E-2</v>
      </c>
      <c r="T26" s="49">
        <v>0.75573331878435301</v>
      </c>
      <c r="U26" s="49">
        <v>0.19089580494352201</v>
      </c>
      <c r="V26" s="49">
        <v>7.7844654714014902E-2</v>
      </c>
      <c r="W26" s="49">
        <v>0.88899529348697803</v>
      </c>
      <c r="X26" s="49">
        <v>0.49821707674655802</v>
      </c>
      <c r="Y26" s="49">
        <v>0.218210579668382</v>
      </c>
      <c r="Z26" s="49">
        <v>0.94364762613703701</v>
      </c>
      <c r="AA26" s="49">
        <v>9.1058990718048197E-3</v>
      </c>
      <c r="AB26" s="49">
        <v>4.8677675446104997E-2</v>
      </c>
      <c r="AC26" s="49">
        <v>0.28625681490753702</v>
      </c>
      <c r="AD26" s="49">
        <v>1.74598037976743</v>
      </c>
      <c r="AE26" s="49">
        <v>6.8785356081629404E-2</v>
      </c>
      <c r="AF26" s="49">
        <v>0.29178625274459502</v>
      </c>
      <c r="AG26" s="49">
        <v>0.22469059809714201</v>
      </c>
      <c r="AH26" s="49">
        <v>1.5598073143678699</v>
      </c>
      <c r="AI26" s="49">
        <v>0.17896967163946101</v>
      </c>
      <c r="AJ26" s="49">
        <v>0.45258976942769202</v>
      </c>
      <c r="AK26" s="49">
        <v>0.66976480968595797</v>
      </c>
      <c r="AL26" s="50">
        <v>4.3147224307380796</v>
      </c>
      <c r="AM26" s="50">
        <v>0</v>
      </c>
      <c r="AN26" s="50">
        <v>0</v>
      </c>
      <c r="AO26" s="50">
        <v>0.80986465700430899</v>
      </c>
      <c r="AP26" s="50">
        <v>0</v>
      </c>
      <c r="AQ26" s="50">
        <v>0.63112070097919803</v>
      </c>
      <c r="AR26" s="54">
        <v>26.125838310126756</v>
      </c>
      <c r="AT26" s="16">
        <v>5.7557077887215868</v>
      </c>
      <c r="AV26" s="36">
        <v>26.125838310126806</v>
      </c>
      <c r="AW26" s="52">
        <f t="shared" si="3"/>
        <v>4.9737991503207013E-14</v>
      </c>
      <c r="AY26" s="13">
        <v>19.932169982200801</v>
      </c>
      <c r="AZ26" s="53">
        <f t="shared" si="4"/>
        <v>0.76292939371345647</v>
      </c>
      <c r="BB26" s="13" t="s">
        <v>118</v>
      </c>
      <c r="BC26" s="13" t="s">
        <v>231</v>
      </c>
      <c r="BD26" s="13">
        <f t="shared" si="5"/>
        <v>1.360065359343761</v>
      </c>
      <c r="BE26" s="13">
        <f t="shared" si="0"/>
        <v>2.4058731924755166</v>
      </c>
      <c r="BF26" s="13">
        <f t="shared" si="0"/>
        <v>0.98913844315909882</v>
      </c>
      <c r="BG26" s="13">
        <f t="shared" si="0"/>
        <v>0.22667755989062682</v>
      </c>
      <c r="BH26" s="13">
        <f t="shared" si="0"/>
        <v>5.3320744201545169</v>
      </c>
      <c r="BI26" s="13">
        <f t="shared" si="0"/>
        <v>0.57699742517614094</v>
      </c>
      <c r="BJ26" s="13">
        <f t="shared" si="0"/>
        <v>2.4831496333473213</v>
      </c>
      <c r="BK26" s="13">
        <f t="shared" si="0"/>
        <v>5.2547979792827126</v>
      </c>
      <c r="BL26" s="13">
        <f t="shared" si="0"/>
        <v>1.3033959693711041</v>
      </c>
      <c r="BM26" s="13">
        <f t="shared" si="6"/>
        <v>19.932169982200797</v>
      </c>
      <c r="BO26" s="13" t="s">
        <v>118</v>
      </c>
      <c r="BP26" s="13" t="s">
        <v>117</v>
      </c>
      <c r="BQ26" s="13">
        <v>399.17227544178343</v>
      </c>
      <c r="BR26" s="13">
        <v>706.11156299739719</v>
      </c>
      <c r="BS26" s="13">
        <v>290.3071094122061</v>
      </c>
      <c r="BT26" s="13">
        <v>66.528712573630571</v>
      </c>
      <c r="BU26" s="13">
        <v>1564.9367616751736</v>
      </c>
      <c r="BV26" s="13">
        <v>169.3458138237869</v>
      </c>
      <c r="BW26" s="13">
        <v>728.79180592022578</v>
      </c>
      <c r="BX26" s="13">
        <v>1542.2565187523451</v>
      </c>
      <c r="BY26" s="13">
        <v>382.54009729837577</v>
      </c>
      <c r="BZ26" s="13">
        <v>5849.9906578949249</v>
      </c>
      <c r="CB26" s="13" t="s">
        <v>118</v>
      </c>
      <c r="CC26" s="13" t="s">
        <v>117</v>
      </c>
      <c r="CD26" s="13">
        <f t="shared" si="7"/>
        <v>15.278831274365594</v>
      </c>
      <c r="CE26" s="13">
        <f t="shared" si="1"/>
        <v>27.027326534578531</v>
      </c>
      <c r="CF26" s="13">
        <f t="shared" si="1"/>
        <v>11.111877290447703</v>
      </c>
      <c r="CG26" s="13">
        <f t="shared" si="1"/>
        <v>2.5464718790609324</v>
      </c>
      <c r="CH26" s="13">
        <f t="shared" si="1"/>
        <v>59.899963518819654</v>
      </c>
      <c r="CI26" s="13">
        <f t="shared" si="1"/>
        <v>6.4819284194278275</v>
      </c>
      <c r="CJ26" s="13">
        <f t="shared" si="1"/>
        <v>27.895441947894756</v>
      </c>
      <c r="CK26" s="13">
        <f t="shared" si="1"/>
        <v>59.031848105503428</v>
      </c>
      <c r="CL26" s="13">
        <f t="shared" si="1"/>
        <v>14.642213304600359</v>
      </c>
      <c r="CM26" s="13">
        <f t="shared" si="1"/>
        <v>223.91590227469879</v>
      </c>
      <c r="CO26" s="13">
        <v>19</v>
      </c>
      <c r="CP26" s="13" t="s">
        <v>193</v>
      </c>
      <c r="CQ26" s="13">
        <v>53.232881113495942</v>
      </c>
      <c r="CR26" s="13">
        <v>11.498623083081011</v>
      </c>
      <c r="CS26" s="13">
        <v>0.10636736676369533</v>
      </c>
      <c r="CT26" s="13">
        <v>0</v>
      </c>
      <c r="CU26" s="13">
        <v>1.4754186274279595</v>
      </c>
      <c r="CW26" s="13">
        <v>19</v>
      </c>
      <c r="CX26" s="13" t="s">
        <v>193</v>
      </c>
      <c r="CY26" s="53">
        <f t="shared" si="8"/>
        <v>2.0375568615864128</v>
      </c>
      <c r="CZ26" s="53">
        <f t="shared" si="2"/>
        <v>0.44012455970164893</v>
      </c>
      <c r="DA26" s="53">
        <f t="shared" si="2"/>
        <v>4.071347510501349E-3</v>
      </c>
      <c r="DB26" s="53">
        <f t="shared" si="2"/>
        <v>0</v>
      </c>
      <c r="DC26" s="53">
        <f t="shared" si="2"/>
        <v>5.6473542012853449E-2</v>
      </c>
    </row>
    <row r="27" spans="1:107">
      <c r="A27" s="46">
        <v>51</v>
      </c>
      <c r="B27" s="47" t="s">
        <v>119</v>
      </c>
      <c r="C27" s="48" t="s">
        <v>120</v>
      </c>
      <c r="D27" s="49">
        <v>84.772409236385499</v>
      </c>
      <c r="E27" s="49">
        <v>0.67405621952907802</v>
      </c>
      <c r="F27" s="49">
        <v>19.588989223363701</v>
      </c>
      <c r="G27" s="49">
        <v>1.89297882674429</v>
      </c>
      <c r="H27" s="49">
        <v>0.19980424865536001</v>
      </c>
      <c r="I27" s="49">
        <v>1.00583107141853E-2</v>
      </c>
      <c r="J27" s="49">
        <v>0.180183516560076</v>
      </c>
      <c r="K27" s="49">
        <v>0.91003485681570495</v>
      </c>
      <c r="L27" s="49">
        <v>0.42030548047473798</v>
      </c>
      <c r="M27" s="49">
        <v>0.42155755746495199</v>
      </c>
      <c r="N27" s="49">
        <v>1.5350299863891199</v>
      </c>
      <c r="O27" s="49">
        <v>14.7743606952014</v>
      </c>
      <c r="P27" s="49">
        <v>0.31626574383323802</v>
      </c>
      <c r="Q27" s="49">
        <v>7.1766077155899E-2</v>
      </c>
      <c r="R27" s="49">
        <v>0.182428527294271</v>
      </c>
      <c r="S27" s="49">
        <v>0.14813335218274901</v>
      </c>
      <c r="T27" s="49">
        <v>1.70501473843644</v>
      </c>
      <c r="U27" s="49">
        <v>12.2267438228034</v>
      </c>
      <c r="V27" s="49">
        <v>2.8480710625386998E-2</v>
      </c>
      <c r="W27" s="49">
        <v>1.30475146647685</v>
      </c>
      <c r="X27" s="49">
        <v>13.7890320161089</v>
      </c>
      <c r="Y27" s="49">
        <v>6.1433560021160503</v>
      </c>
      <c r="Z27" s="49">
        <v>1.6473018254734599</v>
      </c>
      <c r="AA27" s="49">
        <v>1.5895938004916801E-2</v>
      </c>
      <c r="AB27" s="49">
        <v>8.4975388483124803E-2</v>
      </c>
      <c r="AC27" s="49">
        <v>0.499711291260033</v>
      </c>
      <c r="AD27" s="49">
        <v>1.8183549914487001</v>
      </c>
      <c r="AE27" s="49">
        <v>0.116412113238819</v>
      </c>
      <c r="AF27" s="49">
        <v>1.24627055324281</v>
      </c>
      <c r="AG27" s="49">
        <v>0.95969317733447801</v>
      </c>
      <c r="AH27" s="49">
        <v>6.12228215683509</v>
      </c>
      <c r="AI27" s="49">
        <v>3.1607376476364699</v>
      </c>
      <c r="AJ27" s="49">
        <v>2.3567370397755498</v>
      </c>
      <c r="AK27" s="49">
        <v>0.901211792971783</v>
      </c>
      <c r="AL27" s="50">
        <v>143.48005461526901</v>
      </c>
      <c r="AM27" s="50">
        <v>0.20578427441133601</v>
      </c>
      <c r="AN27" s="50">
        <v>0.62410364896167003</v>
      </c>
      <c r="AO27" s="50">
        <v>8.2949234227775506</v>
      </c>
      <c r="AP27" s="50">
        <v>3.5399523134218001</v>
      </c>
      <c r="AQ27" s="50">
        <v>35.442700422442513</v>
      </c>
      <c r="AR27" s="54">
        <v>371.81284322832039</v>
      </c>
      <c r="AT27" s="16">
        <v>191.58751869728388</v>
      </c>
      <c r="AV27" s="36">
        <v>371.81284322832067</v>
      </c>
      <c r="AW27" s="52">
        <f t="shared" si="3"/>
        <v>0</v>
      </c>
      <c r="AY27" s="13">
        <v>247.099276089851</v>
      </c>
      <c r="AZ27" s="53">
        <f t="shared" si="4"/>
        <v>0.66457972227202999</v>
      </c>
      <c r="BB27" s="13" t="s">
        <v>120</v>
      </c>
      <c r="BC27" s="13" t="s">
        <v>232</v>
      </c>
      <c r="BD27" s="13">
        <f t="shared" si="5"/>
        <v>16.860741506260187</v>
      </c>
      <c r="BE27" s="13">
        <f t="shared" si="0"/>
        <v>29.825629861452679</v>
      </c>
      <c r="BF27" s="13">
        <f t="shared" si="0"/>
        <v>12.262357459098316</v>
      </c>
      <c r="BG27" s="13">
        <f t="shared" si="0"/>
        <v>2.8101235843766972</v>
      </c>
      <c r="BH27" s="13">
        <f t="shared" si="0"/>
        <v>66.101770677951862</v>
      </c>
      <c r="BI27" s="13">
        <f t="shared" si="0"/>
        <v>7.153041851140685</v>
      </c>
      <c r="BJ27" s="13">
        <f t="shared" si="0"/>
        <v>30.783626537944734</v>
      </c>
      <c r="BK27" s="13">
        <f t="shared" si="0"/>
        <v>65.143774001459803</v>
      </c>
      <c r="BL27" s="13">
        <f t="shared" si="0"/>
        <v>16.158210610166012</v>
      </c>
      <c r="BM27" s="13">
        <f t="shared" si="6"/>
        <v>247.09927608985097</v>
      </c>
      <c r="BO27" s="13" t="s">
        <v>120</v>
      </c>
      <c r="BP27" s="13" t="s">
        <v>119</v>
      </c>
      <c r="BQ27" s="13">
        <v>4948.5419994352533</v>
      </c>
      <c r="BR27" s="13">
        <v>8753.6708853646342</v>
      </c>
      <c r="BS27" s="13">
        <v>3598.9396359529114</v>
      </c>
      <c r="BT27" s="13">
        <v>824.75699990587555</v>
      </c>
      <c r="BU27" s="13">
        <v>19400.533975058665</v>
      </c>
      <c r="BV27" s="13">
        <v>2099.3814543058652</v>
      </c>
      <c r="BW27" s="13">
        <v>9034.8380444234554</v>
      </c>
      <c r="BX27" s="13">
        <v>19119.366815999841</v>
      </c>
      <c r="BY27" s="13">
        <v>4742.3527494587843</v>
      </c>
      <c r="BZ27" s="13">
        <v>72522.382559905294</v>
      </c>
      <c r="CB27" s="13" t="s">
        <v>120</v>
      </c>
      <c r="CC27" s="13" t="s">
        <v>119</v>
      </c>
      <c r="CD27" s="13">
        <f t="shared" si="7"/>
        <v>13.309228257068261</v>
      </c>
      <c r="CE27" s="13">
        <f t="shared" si="1"/>
        <v>23.543218166859386</v>
      </c>
      <c r="CF27" s="13">
        <f t="shared" si="1"/>
        <v>9.6794387324132813</v>
      </c>
      <c r="CG27" s="13">
        <f t="shared" si="1"/>
        <v>2.2182047095113768</v>
      </c>
      <c r="CH27" s="13">
        <f t="shared" si="1"/>
        <v>52.178224416915349</v>
      </c>
      <c r="CI27" s="13">
        <f t="shared" si="1"/>
        <v>5.6463392605744147</v>
      </c>
      <c r="CJ27" s="13">
        <f t="shared" si="1"/>
        <v>24.299424317829175</v>
      </c>
      <c r="CK27" s="13">
        <f t="shared" si="1"/>
        <v>51.422018265945553</v>
      </c>
      <c r="CL27" s="13">
        <f t="shared" si="1"/>
        <v>12.754677079690417</v>
      </c>
      <c r="CM27" s="13">
        <f t="shared" si="1"/>
        <v>195.05077320680724</v>
      </c>
      <c r="CO27" s="13">
        <v>20</v>
      </c>
      <c r="CP27" s="13" t="s">
        <v>194</v>
      </c>
      <c r="CQ27" s="13">
        <v>785.16850691412992</v>
      </c>
      <c r="CR27" s="13">
        <v>144.60640407897961</v>
      </c>
      <c r="CS27" s="13">
        <v>1.6601253954200084</v>
      </c>
      <c r="CT27" s="13">
        <v>0</v>
      </c>
      <c r="CU27" s="13">
        <v>23.027550712150326</v>
      </c>
      <c r="CW27" s="13">
        <v>20</v>
      </c>
      <c r="CX27" s="13" t="s">
        <v>194</v>
      </c>
      <c r="CY27" s="53">
        <f t="shared" si="8"/>
        <v>2.1117304612094285</v>
      </c>
      <c r="CZ27" s="53">
        <f t="shared" si="2"/>
        <v>0.38892256336121411</v>
      </c>
      <c r="DA27" s="53">
        <f t="shared" si="2"/>
        <v>4.4649490345888068E-3</v>
      </c>
      <c r="DB27" s="53">
        <f t="shared" si="2"/>
        <v>0</v>
      </c>
      <c r="DC27" s="53">
        <f t="shared" si="2"/>
        <v>6.1933177219512345E-2</v>
      </c>
    </row>
    <row r="28" spans="1:107">
      <c r="A28" s="46">
        <v>52</v>
      </c>
      <c r="B28" s="47" t="s">
        <v>121</v>
      </c>
      <c r="C28" s="48" t="s">
        <v>122</v>
      </c>
      <c r="D28" s="49">
        <v>323.682628271824</v>
      </c>
      <c r="E28" s="49">
        <v>4.8382915899910799</v>
      </c>
      <c r="F28" s="49">
        <v>77.412788245684993</v>
      </c>
      <c r="G28" s="49">
        <v>10.4954910693624</v>
      </c>
      <c r="H28" s="49">
        <v>1.1078009313974599</v>
      </c>
      <c r="I28" s="49">
        <v>8.2437332261460494E-2</v>
      </c>
      <c r="J28" s="49">
        <v>1.1771411983826301</v>
      </c>
      <c r="K28" s="49">
        <v>5.3726162252670902</v>
      </c>
      <c r="L28" s="49">
        <v>2.4813775286242299</v>
      </c>
      <c r="M28" s="49">
        <v>2.16439429526769</v>
      </c>
      <c r="N28" s="49">
        <v>7.88127288141823</v>
      </c>
      <c r="O28" s="49">
        <v>28.722708436993798</v>
      </c>
      <c r="P28" s="49">
        <v>1.22037922040849</v>
      </c>
      <c r="Q28" s="49">
        <v>0.27692480453233098</v>
      </c>
      <c r="R28" s="49">
        <v>0.70393960857499904</v>
      </c>
      <c r="S28" s="49">
        <v>0.83534631454629205</v>
      </c>
      <c r="T28" s="49">
        <v>10.367664734786</v>
      </c>
      <c r="U28" s="49">
        <v>81.946425464006296</v>
      </c>
      <c r="V28" s="49">
        <v>0.49834793583348302</v>
      </c>
      <c r="W28" s="49">
        <v>8.8712092073382909</v>
      </c>
      <c r="X28" s="49">
        <v>72.984659331854104</v>
      </c>
      <c r="Y28" s="49">
        <v>23.995626586521301</v>
      </c>
      <c r="Z28" s="49">
        <v>19.4584988741743</v>
      </c>
      <c r="AA28" s="49">
        <v>0.222412840106679</v>
      </c>
      <c r="AB28" s="49">
        <v>1.1889589331472199</v>
      </c>
      <c r="AC28" s="49">
        <v>6.9918621655508604</v>
      </c>
      <c r="AD28" s="49">
        <v>13.5093385250746</v>
      </c>
      <c r="AE28" s="49">
        <v>0.54153818097932305</v>
      </c>
      <c r="AF28" s="49">
        <v>6.43847654763655</v>
      </c>
      <c r="AG28" s="49">
        <v>4.9579619763277796</v>
      </c>
      <c r="AH28" s="49">
        <v>26.145267747724098</v>
      </c>
      <c r="AI28" s="49">
        <v>12.944606717955599</v>
      </c>
      <c r="AJ28" s="49">
        <v>10.658817851997</v>
      </c>
      <c r="AK28" s="49">
        <v>4.0803819344502497</v>
      </c>
      <c r="AL28" s="50">
        <v>710.27983435448505</v>
      </c>
      <c r="AM28" s="50">
        <v>0.59280509145337001</v>
      </c>
      <c r="AN28" s="50">
        <v>0.18340835818189799</v>
      </c>
      <c r="AO28" s="50">
        <v>24.220662613414799</v>
      </c>
      <c r="AP28" s="50">
        <v>2.9250787753647201</v>
      </c>
      <c r="AQ28" s="50">
        <v>174.38680480975597</v>
      </c>
      <c r="AR28" s="54">
        <v>1686.8461875126563</v>
      </c>
      <c r="AT28" s="16">
        <v>912.58859400265567</v>
      </c>
      <c r="AV28" s="36">
        <v>1686.8461875126584</v>
      </c>
      <c r="AW28" s="52">
        <f t="shared" si="3"/>
        <v>2.0463630789890885E-12</v>
      </c>
      <c r="AY28" s="13">
        <v>1051.21964475764</v>
      </c>
      <c r="AZ28" s="53">
        <f t="shared" si="4"/>
        <v>0.62318642478465613</v>
      </c>
      <c r="BB28" s="13" t="s">
        <v>122</v>
      </c>
      <c r="BC28" s="13" t="s">
        <v>233</v>
      </c>
      <c r="BD28" s="13">
        <f t="shared" si="5"/>
        <v>71.729642340660888</v>
      </c>
      <c r="BE28" s="13">
        <f t="shared" si="0"/>
        <v>126.88539004957815</v>
      </c>
      <c r="BF28" s="13">
        <f t="shared" si="0"/>
        <v>52.16701261138973</v>
      </c>
      <c r="BG28" s="13">
        <f t="shared" si="0"/>
        <v>11.954940390110146</v>
      </c>
      <c r="BH28" s="13">
        <f t="shared" si="0"/>
        <v>281.21280235827282</v>
      </c>
      <c r="BI28" s="13">
        <f t="shared" si="0"/>
        <v>30.430757356644008</v>
      </c>
      <c r="BJ28" s="13">
        <f t="shared" si="0"/>
        <v>130.96093790984298</v>
      </c>
      <c r="BK28" s="13">
        <f t="shared" si="0"/>
        <v>277.13725449800796</v>
      </c>
      <c r="BL28" s="13">
        <f t="shared" si="0"/>
        <v>68.740907243133336</v>
      </c>
      <c r="BM28" s="13">
        <f t="shared" si="6"/>
        <v>1051.21964475764</v>
      </c>
      <c r="BO28" s="13" t="s">
        <v>122</v>
      </c>
      <c r="BP28" s="13" t="s">
        <v>121</v>
      </c>
      <c r="BQ28" s="13">
        <v>21052.285725122965</v>
      </c>
      <c r="BR28" s="13">
        <v>37240.217551637972</v>
      </c>
      <c r="BS28" s="13">
        <v>15310.753254634883</v>
      </c>
      <c r="BT28" s="13">
        <v>3508.7142875204941</v>
      </c>
      <c r="BU28" s="13">
        <v>82534.529263266173</v>
      </c>
      <c r="BV28" s="13">
        <v>8931.2727318703492</v>
      </c>
      <c r="BW28" s="13">
        <v>38436.370149656323</v>
      </c>
      <c r="BX28" s="13">
        <v>81338.376665247823</v>
      </c>
      <c r="BY28" s="13">
        <v>20175.10715324284</v>
      </c>
      <c r="BZ28" s="13">
        <v>308527.62678219983</v>
      </c>
      <c r="CB28" s="13" t="s">
        <v>122</v>
      </c>
      <c r="CC28" s="13" t="s">
        <v>121</v>
      </c>
      <c r="CD28" s="13">
        <f t="shared" si="7"/>
        <v>12.480263986703893</v>
      </c>
      <c r="CE28" s="13">
        <f t="shared" si="1"/>
        <v>22.076830612843626</v>
      </c>
      <c r="CF28" s="13">
        <f t="shared" si="1"/>
        <v>9.0765556266937395</v>
      </c>
      <c r="CG28" s="13">
        <f t="shared" si="1"/>
        <v>2.080043997783982</v>
      </c>
      <c r="CH28" s="13">
        <f t="shared" si="1"/>
        <v>48.928307675145945</v>
      </c>
      <c r="CI28" s="13">
        <f t="shared" si="1"/>
        <v>5.2946574489046814</v>
      </c>
      <c r="CJ28" s="13">
        <f t="shared" si="1"/>
        <v>22.785936521179075</v>
      </c>
      <c r="CK28" s="13">
        <f t="shared" si="1"/>
        <v>48.219201766810492</v>
      </c>
      <c r="CL28" s="13">
        <f t="shared" si="1"/>
        <v>11.960252987257896</v>
      </c>
      <c r="CM28" s="13">
        <f t="shared" si="1"/>
        <v>182.90205062332333</v>
      </c>
      <c r="CO28" s="13">
        <v>21</v>
      </c>
      <c r="CP28" s="13" t="s">
        <v>195</v>
      </c>
      <c r="CQ28" s="13">
        <v>863.19586081913189</v>
      </c>
      <c r="CR28" s="13">
        <v>621.45712286362527</v>
      </c>
      <c r="CS28" s="13">
        <v>1.6753642007115013</v>
      </c>
      <c r="CT28" s="13">
        <v>0</v>
      </c>
      <c r="CU28" s="13">
        <v>23.238927733796132</v>
      </c>
      <c r="CW28" s="13">
        <v>21</v>
      </c>
      <c r="CX28" s="13" t="s">
        <v>195</v>
      </c>
      <c r="CY28" s="53">
        <f t="shared" si="8"/>
        <v>0.51172173681819777</v>
      </c>
      <c r="CZ28" s="53">
        <f t="shared" si="2"/>
        <v>0.36841362743333261</v>
      </c>
      <c r="DA28" s="53">
        <f t="shared" si="2"/>
        <v>9.9319322242528464E-4</v>
      </c>
      <c r="DB28" s="53">
        <f t="shared" si="2"/>
        <v>0</v>
      </c>
      <c r="DC28" s="53">
        <f t="shared" si="2"/>
        <v>1.3776554084082293E-2</v>
      </c>
    </row>
    <row r="29" spans="1:107">
      <c r="A29" s="46" t="s">
        <v>169</v>
      </c>
      <c r="B29" s="47" t="s">
        <v>123</v>
      </c>
      <c r="C29" s="48" t="s">
        <v>124</v>
      </c>
      <c r="D29" s="49">
        <v>22.2221172033587</v>
      </c>
      <c r="E29" s="49">
        <v>0.48786389009743097</v>
      </c>
      <c r="F29" s="49">
        <v>15.1162653548172</v>
      </c>
      <c r="G29" s="49">
        <v>0.82774264373166295</v>
      </c>
      <c r="H29" s="49">
        <v>8.7368381872105896E-2</v>
      </c>
      <c r="I29" s="49">
        <v>2.03095936088243E-3</v>
      </c>
      <c r="J29" s="49">
        <v>0.112532471310634</v>
      </c>
      <c r="K29" s="49">
        <v>0.45547765604149298</v>
      </c>
      <c r="L29" s="49">
        <v>0.21036529934456799</v>
      </c>
      <c r="M29" s="49">
        <v>0.24209786517516799</v>
      </c>
      <c r="N29" s="49">
        <v>0.88155810779307398</v>
      </c>
      <c r="O29" s="49">
        <v>0.53741241493108505</v>
      </c>
      <c r="P29" s="49">
        <v>8.3381636327784208E-3</v>
      </c>
      <c r="Q29" s="49">
        <v>1.89207116570935E-3</v>
      </c>
      <c r="R29" s="49">
        <v>4.8096227350770899E-3</v>
      </c>
      <c r="S29" s="49">
        <v>1.4047742863111799E-2</v>
      </c>
      <c r="T29" s="49">
        <v>0.48924580996905098</v>
      </c>
      <c r="U29" s="49">
        <v>7.8576863017066296</v>
      </c>
      <c r="V29" s="49">
        <v>4.8738761744628302E-2</v>
      </c>
      <c r="W29" s="49">
        <v>1.20988300735805</v>
      </c>
      <c r="X29" s="49">
        <v>14.817012291226201</v>
      </c>
      <c r="Y29" s="49">
        <v>6.8477139145624903</v>
      </c>
      <c r="Z29" s="49">
        <v>0.74192197976855701</v>
      </c>
      <c r="AA29" s="49">
        <v>7.1593108272653702E-3</v>
      </c>
      <c r="AB29" s="49">
        <v>3.8271740782465501E-2</v>
      </c>
      <c r="AC29" s="49">
        <v>0.225063060570451</v>
      </c>
      <c r="AD29" s="49">
        <v>1.37032931144468</v>
      </c>
      <c r="AE29" s="49">
        <v>1.0082034604585699</v>
      </c>
      <c r="AF29" s="49">
        <v>1.42291484378681</v>
      </c>
      <c r="AG29" s="49">
        <v>1.09571847297278</v>
      </c>
      <c r="AH29" s="49">
        <v>8.8702898149105192</v>
      </c>
      <c r="AI29" s="49">
        <v>3.08863404734729</v>
      </c>
      <c r="AJ29" s="49">
        <v>2.3639760118911699</v>
      </c>
      <c r="AK29" s="49">
        <v>0.95145625203656303</v>
      </c>
      <c r="AL29" s="50">
        <v>206.10959543193499</v>
      </c>
      <c r="AM29" s="50">
        <v>0</v>
      </c>
      <c r="AN29" s="50">
        <v>0</v>
      </c>
      <c r="AO29" s="50">
        <v>5.3930384828103897</v>
      </c>
      <c r="AP29" s="50">
        <v>-3.1138913421974199E-2</v>
      </c>
      <c r="AQ29" s="50">
        <v>3.9678516553071561</v>
      </c>
      <c r="AR29" s="54">
        <v>309.10548489822537</v>
      </c>
      <c r="AT29" s="16">
        <v>215.43934665663056</v>
      </c>
      <c r="AV29" s="36">
        <v>309.10548489822548</v>
      </c>
      <c r="AW29" s="52">
        <f t="shared" si="3"/>
        <v>0</v>
      </c>
      <c r="AY29" s="13">
        <v>126.219380524158</v>
      </c>
      <c r="AZ29" s="53">
        <f t="shared" si="4"/>
        <v>0.40833756335872334</v>
      </c>
      <c r="BB29" s="13" t="s">
        <v>124</v>
      </c>
      <c r="BC29" s="13" t="s">
        <v>123</v>
      </c>
      <c r="BD29" s="13">
        <f t="shared" si="5"/>
        <v>11.127378404031216</v>
      </c>
      <c r="BE29" s="13">
        <f t="shared" si="0"/>
        <v>11.891022019994143</v>
      </c>
      <c r="BF29" s="13">
        <f t="shared" si="0"/>
        <v>13.200125361644872</v>
      </c>
      <c r="BG29" s="13">
        <f t="shared" si="0"/>
        <v>0.32727583541268279</v>
      </c>
      <c r="BH29" s="13">
        <f t="shared" si="0"/>
        <v>39.491284139797052</v>
      </c>
      <c r="BI29" s="13">
        <f t="shared" si="0"/>
        <v>2.6182066833014623</v>
      </c>
      <c r="BJ29" s="13">
        <f t="shared" si="0"/>
        <v>17.236527331734628</v>
      </c>
      <c r="BK29" s="13">
        <f t="shared" si="0"/>
        <v>23.127492369162916</v>
      </c>
      <c r="BL29" s="13">
        <f t="shared" si="0"/>
        <v>7.2000683790790214</v>
      </c>
      <c r="BM29" s="13">
        <f t="shared" si="6"/>
        <v>126.219380524158</v>
      </c>
      <c r="BO29" s="13" t="s">
        <v>124</v>
      </c>
      <c r="BP29" s="13" t="s">
        <v>123</v>
      </c>
      <c r="BQ29" s="13">
        <v>10200</v>
      </c>
      <c r="BR29" s="13">
        <v>10900</v>
      </c>
      <c r="BS29" s="13">
        <v>12100</v>
      </c>
      <c r="BT29" s="13">
        <v>300</v>
      </c>
      <c r="BU29" s="13">
        <v>36200</v>
      </c>
      <c r="BV29" s="13">
        <v>2400</v>
      </c>
      <c r="BW29" s="13">
        <v>15800</v>
      </c>
      <c r="BX29" s="13">
        <v>21200</v>
      </c>
      <c r="BY29" s="13">
        <v>6600</v>
      </c>
      <c r="BZ29" s="13">
        <v>115700</v>
      </c>
      <c r="CB29" s="13" t="s">
        <v>124</v>
      </c>
      <c r="CC29" s="13" t="s">
        <v>123</v>
      </c>
      <c r="CD29" s="13">
        <f t="shared" si="7"/>
        <v>32.998443891600317</v>
      </c>
      <c r="CE29" s="13">
        <f t="shared" si="1"/>
        <v>35.263042982200339</v>
      </c>
      <c r="CF29" s="13">
        <f t="shared" si="1"/>
        <v>39.14521285180038</v>
      </c>
      <c r="CG29" s="13">
        <f t="shared" si="1"/>
        <v>0.97054246740000938</v>
      </c>
      <c r="CH29" s="13">
        <f t="shared" si="1"/>
        <v>117.11212439960114</v>
      </c>
      <c r="CI29" s="13">
        <f t="shared" si="1"/>
        <v>7.764339739200075</v>
      </c>
      <c r="CJ29" s="13">
        <f t="shared" si="1"/>
        <v>51.115236616400495</v>
      </c>
      <c r="CK29" s="13">
        <f t="shared" si="1"/>
        <v>68.585001029600662</v>
      </c>
      <c r="CL29" s="13">
        <f t="shared" si="1"/>
        <v>21.351934282800208</v>
      </c>
      <c r="CM29" s="13">
        <f t="shared" si="1"/>
        <v>374.30587826060361</v>
      </c>
      <c r="CO29" s="13">
        <v>22</v>
      </c>
      <c r="CP29" s="13" t="s">
        <v>196</v>
      </c>
      <c r="CQ29" s="13">
        <v>450.5690422460662</v>
      </c>
      <c r="CR29" s="13">
        <v>146.66766168670409</v>
      </c>
      <c r="CS29" s="13">
        <v>0.92919785018800416</v>
      </c>
      <c r="CT29" s="13">
        <v>0</v>
      </c>
      <c r="CU29" s="13">
        <v>12.888876151076465</v>
      </c>
      <c r="CW29" s="13">
        <v>22</v>
      </c>
      <c r="CX29" s="13" t="s">
        <v>196</v>
      </c>
      <c r="CY29" s="53">
        <f t="shared" si="8"/>
        <v>1.4576546333185205</v>
      </c>
      <c r="CZ29" s="53">
        <f t="shared" si="2"/>
        <v>0.47449064753734538</v>
      </c>
      <c r="DA29" s="53">
        <f t="shared" si="2"/>
        <v>3.0060865807474994E-3</v>
      </c>
      <c r="DB29" s="53">
        <f t="shared" si="2"/>
        <v>0</v>
      </c>
      <c r="DC29" s="53">
        <f t="shared" si="2"/>
        <v>4.1697338872262964E-2</v>
      </c>
    </row>
    <row r="30" spans="1:107">
      <c r="A30" s="46">
        <v>60</v>
      </c>
      <c r="B30" s="47" t="s">
        <v>125</v>
      </c>
      <c r="C30" s="48" t="s">
        <v>126</v>
      </c>
      <c r="D30" s="49">
        <v>23.570965678378101</v>
      </c>
      <c r="E30" s="49">
        <v>3.0988573679612399</v>
      </c>
      <c r="F30" s="49">
        <v>8.8379125677077006</v>
      </c>
      <c r="G30" s="49">
        <v>3.5915734828613202</v>
      </c>
      <c r="H30" s="49">
        <v>0.379091213855694</v>
      </c>
      <c r="I30" s="49">
        <v>4.0534958090038299E-2</v>
      </c>
      <c r="J30" s="49">
        <v>0.57839074692433201</v>
      </c>
      <c r="K30" s="49">
        <v>1.4363297660136201</v>
      </c>
      <c r="L30" s="49">
        <v>0.66337818590478503</v>
      </c>
      <c r="M30" s="49">
        <v>1.7403438315814399</v>
      </c>
      <c r="N30" s="49">
        <v>6.3371654019675301</v>
      </c>
      <c r="O30" s="49">
        <v>16.117288553354499</v>
      </c>
      <c r="P30" s="49">
        <v>0.11057015933164201</v>
      </c>
      <c r="Q30" s="49">
        <v>2.5090250020624101E-2</v>
      </c>
      <c r="R30" s="49">
        <v>6.3779121586434603E-2</v>
      </c>
      <c r="S30" s="49">
        <v>0.54768566107208705</v>
      </c>
      <c r="T30" s="49">
        <v>6.7272576770750296</v>
      </c>
      <c r="U30" s="49">
        <v>29.511003046655102</v>
      </c>
      <c r="V30" s="49">
        <v>0.19661269710561</v>
      </c>
      <c r="W30" s="49">
        <v>4.1956679303949604</v>
      </c>
      <c r="X30" s="49">
        <v>12.3146373459739</v>
      </c>
      <c r="Y30" s="49">
        <v>2.5216566944509502</v>
      </c>
      <c r="Z30" s="49">
        <v>9.3582520204672406</v>
      </c>
      <c r="AA30" s="49">
        <v>9.0304151705155405E-2</v>
      </c>
      <c r="AB30" s="49">
        <v>0.48274158910352299</v>
      </c>
      <c r="AC30" s="49">
        <v>2.8388387172098501</v>
      </c>
      <c r="AD30" s="49">
        <v>5.38963883650477</v>
      </c>
      <c r="AE30" s="49">
        <v>0.21624591803500401</v>
      </c>
      <c r="AF30" s="49">
        <v>1.3177702655007599</v>
      </c>
      <c r="AG30" s="49">
        <v>1.01475167635525</v>
      </c>
      <c r="AH30" s="49">
        <v>3.9430937111879198</v>
      </c>
      <c r="AI30" s="49">
        <v>2.02389077142485</v>
      </c>
      <c r="AJ30" s="49">
        <v>2.8138665009885502</v>
      </c>
      <c r="AK30" s="49">
        <v>2.2968368521164901</v>
      </c>
      <c r="AL30" s="50">
        <v>112.598436844636</v>
      </c>
      <c r="AM30" s="50">
        <v>6.1767031491359703E-2</v>
      </c>
      <c r="AN30" s="50">
        <v>0.902537927921648</v>
      </c>
      <c r="AO30" s="50">
        <v>48.2031780786917</v>
      </c>
      <c r="AP30" s="50">
        <v>0.10132248787240999</v>
      </c>
      <c r="AQ30" s="50">
        <v>178.72719773114974</v>
      </c>
      <c r="AR30" s="54">
        <v>494.98646345062889</v>
      </c>
      <c r="AT30" s="16">
        <v>340.59444010176287</v>
      </c>
      <c r="AV30" s="36">
        <v>494.98646345062872</v>
      </c>
      <c r="AW30" s="52">
        <f t="shared" si="3"/>
        <v>0</v>
      </c>
      <c r="AY30" s="13">
        <v>208.293833306349</v>
      </c>
      <c r="AZ30" s="53">
        <f t="shared" si="4"/>
        <v>0.42080713047039664</v>
      </c>
      <c r="BB30" s="13" t="s">
        <v>126</v>
      </c>
      <c r="BC30" s="13" t="s">
        <v>125</v>
      </c>
      <c r="BD30" s="13">
        <f t="shared" si="5"/>
        <v>17.120041093672523</v>
      </c>
      <c r="BE30" s="13">
        <f t="shared" si="0"/>
        <v>27.765194850635563</v>
      </c>
      <c r="BF30" s="13">
        <f t="shared" si="0"/>
        <v>9.5477152253173685</v>
      </c>
      <c r="BG30" s="13">
        <f t="shared" si="0"/>
        <v>3.0728278886078884</v>
      </c>
      <c r="BH30" s="13">
        <f t="shared" si="0"/>
        <v>47.628832273422269</v>
      </c>
      <c r="BI30" s="13">
        <f t="shared" si="0"/>
        <v>5.596936511392939</v>
      </c>
      <c r="BJ30" s="13">
        <f t="shared" si="0"/>
        <v>42.361127321523028</v>
      </c>
      <c r="BK30" s="13">
        <f t="shared" si="0"/>
        <v>44.994979797472645</v>
      </c>
      <c r="BL30" s="13">
        <f t="shared" si="0"/>
        <v>10.206178344304773</v>
      </c>
      <c r="BM30" s="13">
        <f t="shared" si="6"/>
        <v>208.29383330634897</v>
      </c>
      <c r="BO30" s="13" t="s">
        <v>126</v>
      </c>
      <c r="BP30" s="13" t="s">
        <v>125</v>
      </c>
      <c r="BQ30" s="13">
        <v>11390.429343915896</v>
      </c>
      <c r="BR30" s="13">
        <v>18472.939897504624</v>
      </c>
      <c r="BS30" s="13">
        <v>6352.3548264146339</v>
      </c>
      <c r="BT30" s="13">
        <v>2044.4360360874682</v>
      </c>
      <c r="BU30" s="13">
        <v>31688.75855935576</v>
      </c>
      <c r="BV30" s="13">
        <v>3723.7942085878885</v>
      </c>
      <c r="BW30" s="13">
        <v>28184.011068920099</v>
      </c>
      <c r="BX30" s="13">
        <v>29936.384814137928</v>
      </c>
      <c r="BY30" s="13">
        <v>6790.448262719091</v>
      </c>
      <c r="BZ30" s="13">
        <v>138583.55701764338</v>
      </c>
      <c r="CB30" s="13" t="s">
        <v>126</v>
      </c>
      <c r="CC30" s="13" t="s">
        <v>125</v>
      </c>
      <c r="CD30" s="13">
        <f t="shared" si="7"/>
        <v>23.011597659684291</v>
      </c>
      <c r="CE30" s="13">
        <f t="shared" si="1"/>
        <v>37.320091076282857</v>
      </c>
      <c r="CF30" s="13">
        <f t="shared" si="1"/>
        <v>12.833391002516239</v>
      </c>
      <c r="CG30" s="13">
        <f t="shared" si="1"/>
        <v>4.130286759430513</v>
      </c>
      <c r="CH30" s="13">
        <f t="shared" si="1"/>
        <v>64.019444771172957</v>
      </c>
      <c r="CI30" s="13">
        <f t="shared" si="1"/>
        <v>7.5230223118198634</v>
      </c>
      <c r="CJ30" s="13">
        <f t="shared" si="1"/>
        <v>56.938953183577794</v>
      </c>
      <c r="CK30" s="13">
        <f t="shared" si="1"/>
        <v>60.479198977375376</v>
      </c>
      <c r="CL30" s="13">
        <f t="shared" si="1"/>
        <v>13.718452450965634</v>
      </c>
      <c r="CM30" s="13">
        <f t="shared" si="1"/>
        <v>279.97443819282552</v>
      </c>
      <c r="CO30" s="13">
        <v>23</v>
      </c>
      <c r="CP30" s="13" t="s">
        <v>197</v>
      </c>
      <c r="CQ30" s="13">
        <v>260.49153068137997</v>
      </c>
      <c r="CR30" s="13">
        <v>46.311048376278592</v>
      </c>
      <c r="CS30" s="13">
        <v>0.30924277108994508</v>
      </c>
      <c r="CT30" s="13">
        <v>0</v>
      </c>
      <c r="CU30" s="13">
        <v>4.2894974158491079</v>
      </c>
      <c r="CW30" s="13">
        <v>23</v>
      </c>
      <c r="CX30" s="13" t="s">
        <v>197</v>
      </c>
      <c r="CY30" s="53">
        <f t="shared" si="8"/>
        <v>0.52625990792849631</v>
      </c>
      <c r="CZ30" s="53">
        <f t="shared" si="2"/>
        <v>9.3560232038340907E-2</v>
      </c>
      <c r="DA30" s="53">
        <f t="shared" si="2"/>
        <v>6.2474995565366543E-4</v>
      </c>
      <c r="DB30" s="53">
        <f t="shared" si="2"/>
        <v>0</v>
      </c>
      <c r="DC30" s="53">
        <f t="shared" si="2"/>
        <v>8.6658883274228216E-3</v>
      </c>
    </row>
    <row r="31" spans="1:107">
      <c r="A31" s="46">
        <v>61</v>
      </c>
      <c r="B31" s="47" t="s">
        <v>127</v>
      </c>
      <c r="C31" s="48" t="s">
        <v>128</v>
      </c>
      <c r="D31" s="49">
        <v>0.20492814413451099</v>
      </c>
      <c r="E31" s="49">
        <v>2.6941751051650201E-2</v>
      </c>
      <c r="F31" s="49">
        <v>7.6837624950800099E-2</v>
      </c>
      <c r="G31" s="49">
        <v>3.1225470284428899E-2</v>
      </c>
      <c r="H31" s="49">
        <v>3.2958538896184701E-3</v>
      </c>
      <c r="I31" s="49">
        <v>3.5241465484723899E-4</v>
      </c>
      <c r="J31" s="49">
        <v>5.0285823656560698E-3</v>
      </c>
      <c r="K31" s="49">
        <v>1.24875831279297E-2</v>
      </c>
      <c r="L31" s="49">
        <v>5.7674709789887601E-3</v>
      </c>
      <c r="M31" s="49">
        <v>1.5130709383242701E-2</v>
      </c>
      <c r="N31" s="49">
        <v>5.50958990233444E-2</v>
      </c>
      <c r="O31" s="49">
        <v>0.14012518947194</v>
      </c>
      <c r="P31" s="49">
        <v>9.6130713767385799E-4</v>
      </c>
      <c r="Q31" s="49">
        <v>2.1813694198001901E-4</v>
      </c>
      <c r="R31" s="49">
        <v>5.54501550745826E-4</v>
      </c>
      <c r="S31" s="49">
        <v>4.76162952439157E-3</v>
      </c>
      <c r="T31" s="49">
        <v>5.8487397151582701E-2</v>
      </c>
      <c r="U31" s="49">
        <v>0.25657137549720599</v>
      </c>
      <c r="V31" s="49">
        <v>1.70936887698636E-3</v>
      </c>
      <c r="W31" s="49">
        <v>4.43488416180228E-2</v>
      </c>
      <c r="X31" s="49">
        <v>0.10706459003141</v>
      </c>
      <c r="Y31" s="49">
        <v>2.1923515293742198E-2</v>
      </c>
      <c r="Z31" s="49">
        <v>8.1361504024273806E-2</v>
      </c>
      <c r="AA31" s="49">
        <v>7.8511260289833599E-4</v>
      </c>
      <c r="AB31" s="49">
        <v>4.1969997878481703E-3</v>
      </c>
      <c r="AC31" s="49">
        <v>2.4681124980325299E-2</v>
      </c>
      <c r="AD31" s="49">
        <v>4.6858015890853699E-2</v>
      </c>
      <c r="AE31" s="49">
        <v>1.88006190600104E-3</v>
      </c>
      <c r="AF31" s="49">
        <v>1.1456815923007801E-2</v>
      </c>
      <c r="AG31" s="49">
        <v>8.8223444312941594E-3</v>
      </c>
      <c r="AH31" s="49">
        <v>3.4281619489329299E-2</v>
      </c>
      <c r="AI31" s="49">
        <v>1.75958925645338E-2</v>
      </c>
      <c r="AJ31" s="49">
        <v>2.44640142350558E-2</v>
      </c>
      <c r="AK31" s="49">
        <v>1.9968910901081601E-2</v>
      </c>
      <c r="AL31" s="50">
        <v>0.97894846624012199</v>
      </c>
      <c r="AM31" s="50">
        <v>5.3701225733803197E-4</v>
      </c>
      <c r="AN31" s="50">
        <v>7.8468062703352E-3</v>
      </c>
      <c r="AO31" s="50">
        <v>0.419085988850321</v>
      </c>
      <c r="AP31" s="50">
        <v>8.8091359771884402E-4</v>
      </c>
      <c r="AQ31" s="50">
        <v>1.8674728299435075</v>
      </c>
      <c r="AR31" s="54">
        <v>4.6249417908365444</v>
      </c>
      <c r="AT31" s="16">
        <v>3.2747720171593424</v>
      </c>
      <c r="AV31" s="36">
        <v>4.6249417908365462</v>
      </c>
      <c r="AW31" s="52">
        <f t="shared" si="3"/>
        <v>0</v>
      </c>
      <c r="AY31" s="13">
        <v>1.8757085853811799</v>
      </c>
      <c r="AZ31" s="53">
        <f t="shared" si="4"/>
        <v>0.40556371738505875</v>
      </c>
      <c r="BB31" s="13" t="s">
        <v>128</v>
      </c>
      <c r="BC31" s="13" t="s">
        <v>127</v>
      </c>
      <c r="BD31" s="13">
        <f t="shared" si="5"/>
        <v>0.15416782893543945</v>
      </c>
      <c r="BE31" s="13">
        <f t="shared" si="0"/>
        <v>0.25002859436324476</v>
      </c>
      <c r="BF31" s="13">
        <f t="shared" si="0"/>
        <v>8.5978212290918163E-2</v>
      </c>
      <c r="BG31" s="13">
        <f t="shared" si="0"/>
        <v>2.7671148783284003E-2</v>
      </c>
      <c r="BH31" s="13">
        <f t="shared" si="0"/>
        <v>0.42890280614090209</v>
      </c>
      <c r="BI31" s="13">
        <f t="shared" si="0"/>
        <v>5.0401020998124442E-2</v>
      </c>
      <c r="BJ31" s="13">
        <f t="shared" si="0"/>
        <v>0.38146655108384381</v>
      </c>
      <c r="BK31" s="13">
        <f t="shared" si="0"/>
        <v>0.40518467861237295</v>
      </c>
      <c r="BL31" s="13">
        <f t="shared" si="0"/>
        <v>9.1907744173050449E-2</v>
      </c>
      <c r="BM31" s="13">
        <f t="shared" si="6"/>
        <v>1.8757085853811801</v>
      </c>
      <c r="BO31" s="13" t="s">
        <v>128</v>
      </c>
      <c r="BP31" s="13" t="s">
        <v>127</v>
      </c>
      <c r="BQ31" s="13">
        <v>102.57205301002799</v>
      </c>
      <c r="BR31" s="13">
        <v>166.35082956113513</v>
      </c>
      <c r="BS31" s="13">
        <v>57.203644947900223</v>
      </c>
      <c r="BT31" s="13">
        <v>18.410368488979383</v>
      </c>
      <c r="BU31" s="13">
        <v>285.36071157918042</v>
      </c>
      <c r="BV31" s="13">
        <v>33.533171176355303</v>
      </c>
      <c r="BW31" s="13">
        <v>253.80007988378722</v>
      </c>
      <c r="BX31" s="13">
        <v>269.5803957314838</v>
      </c>
      <c r="BY31" s="13">
        <v>61.148723909824376</v>
      </c>
      <c r="BZ31" s="13">
        <v>1247.9599782886737</v>
      </c>
      <c r="CB31" s="13" t="s">
        <v>128</v>
      </c>
      <c r="CC31" s="13" t="s">
        <v>127</v>
      </c>
      <c r="CD31" s="13">
        <f t="shared" si="7"/>
        <v>22.178020318710885</v>
      </c>
      <c r="CE31" s="13">
        <f t="shared" si="1"/>
        <v>35.96819961944778</v>
      </c>
      <c r="CF31" s="13">
        <f t="shared" si="1"/>
        <v>12.368511331588762</v>
      </c>
      <c r="CG31" s="13">
        <f t="shared" si="1"/>
        <v>3.9806703136147745</v>
      </c>
      <c r="CH31" s="13">
        <f t="shared" si="1"/>
        <v>61.700389861028995</v>
      </c>
      <c r="CI31" s="13">
        <f t="shared" si="1"/>
        <v>7.2505066426554814</v>
      </c>
      <c r="CJ31" s="13">
        <f t="shared" si="1"/>
        <v>54.876383609117958</v>
      </c>
      <c r="CK31" s="13">
        <f t="shared" si="1"/>
        <v>58.288386735073473</v>
      </c>
      <c r="CL31" s="13">
        <f t="shared" si="1"/>
        <v>13.221512113077642</v>
      </c>
      <c r="CM31" s="13">
        <f t="shared" si="1"/>
        <v>269.8325805443157</v>
      </c>
      <c r="CO31" s="13">
        <v>24</v>
      </c>
      <c r="CP31" s="13" t="s">
        <v>198</v>
      </c>
      <c r="CQ31" s="13">
        <v>2685.5473578226683</v>
      </c>
      <c r="CR31" s="13">
        <v>0.44518107523862838</v>
      </c>
      <c r="CS31" s="13">
        <v>1.8702939015904918E-2</v>
      </c>
      <c r="CT31" s="13">
        <v>0</v>
      </c>
      <c r="CU31" s="13">
        <v>0.25942791902538392</v>
      </c>
      <c r="CW31" s="13">
        <v>24</v>
      </c>
      <c r="CX31" s="13" t="s">
        <v>198</v>
      </c>
      <c r="CY31" s="53">
        <f t="shared" si="8"/>
        <v>580.66619630620585</v>
      </c>
      <c r="CZ31" s="53">
        <f t="shared" si="2"/>
        <v>9.6256579081853796E-2</v>
      </c>
      <c r="DA31" s="53">
        <f t="shared" si="2"/>
        <v>4.0439296020895413E-3</v>
      </c>
      <c r="DB31" s="53">
        <f t="shared" si="2"/>
        <v>0</v>
      </c>
      <c r="DC31" s="53">
        <f t="shared" si="2"/>
        <v>5.6093229008717847E-2</v>
      </c>
    </row>
    <row r="32" spans="1:107">
      <c r="A32" s="46">
        <v>62</v>
      </c>
      <c r="B32" s="47" t="s">
        <v>129</v>
      </c>
      <c r="C32" s="48" t="s">
        <v>130</v>
      </c>
      <c r="D32" s="49">
        <v>1.2204838580014501</v>
      </c>
      <c r="E32" s="49">
        <v>0.160456107206288</v>
      </c>
      <c r="F32" s="49">
        <v>0.45761933450227699</v>
      </c>
      <c r="G32" s="49">
        <v>0.18596851399598399</v>
      </c>
      <c r="H32" s="49">
        <v>1.96290094149798E-2</v>
      </c>
      <c r="I32" s="49">
        <v>2.0988644550544999E-3</v>
      </c>
      <c r="J32" s="49">
        <v>2.9948563833602102E-2</v>
      </c>
      <c r="K32" s="49">
        <v>7.4371891169256896E-2</v>
      </c>
      <c r="L32" s="49">
        <v>3.4349138626499902E-2</v>
      </c>
      <c r="M32" s="49">
        <v>9.0113471921346305E-2</v>
      </c>
      <c r="N32" s="49">
        <v>0.32813284716975</v>
      </c>
      <c r="O32" s="49">
        <v>0.83453901645468298</v>
      </c>
      <c r="P32" s="49">
        <v>5.7252255373103902E-3</v>
      </c>
      <c r="Q32" s="49">
        <v>1.29915106411965E-3</v>
      </c>
      <c r="R32" s="49">
        <v>3.3024267836917701E-3</v>
      </c>
      <c r="S32" s="49">
        <v>2.8358681511742499E-2</v>
      </c>
      <c r="T32" s="49">
        <v>0.34833148185430601</v>
      </c>
      <c r="U32" s="49">
        <v>1.5280537650993899</v>
      </c>
      <c r="V32" s="49">
        <v>1.0180432417143E-2</v>
      </c>
      <c r="W32" s="49">
        <v>0.26412694822597099</v>
      </c>
      <c r="X32" s="49">
        <v>0.63764108365276195</v>
      </c>
      <c r="Y32" s="49">
        <v>0.130569164326679</v>
      </c>
      <c r="Z32" s="49">
        <v>0.48456205341501601</v>
      </c>
      <c r="AA32" s="49">
        <v>4.6758694985397902E-3</v>
      </c>
      <c r="AB32" s="49">
        <v>2.49959346225378E-2</v>
      </c>
      <c r="AC32" s="49">
        <v>0.14699257031299501</v>
      </c>
      <c r="AD32" s="49">
        <v>0.279070755528945</v>
      </c>
      <c r="AE32" s="49">
        <v>1.11970233176542E-2</v>
      </c>
      <c r="AF32" s="49">
        <v>6.8232984577008493E-2</v>
      </c>
      <c r="AG32" s="49">
        <v>5.2542948717946403E-2</v>
      </c>
      <c r="AH32" s="49">
        <v>0.20416992204551301</v>
      </c>
      <c r="AI32" s="49">
        <v>0.104795282916559</v>
      </c>
      <c r="AJ32" s="49">
        <v>0.145699530935123</v>
      </c>
      <c r="AK32" s="49">
        <v>0.118928190754717</v>
      </c>
      <c r="AL32" s="50">
        <v>5.8302914219392097</v>
      </c>
      <c r="AM32" s="50">
        <v>3.1982663698929999E-3</v>
      </c>
      <c r="AN32" s="50">
        <v>4.6732967939838999E-2</v>
      </c>
      <c r="AO32" s="50">
        <v>2.4959367424450298</v>
      </c>
      <c r="AP32" s="50">
        <v>5.2464283559009901E-3</v>
      </c>
      <c r="AQ32" s="50">
        <v>9.2689609080226862</v>
      </c>
      <c r="AR32" s="54">
        <v>25.6915287789394</v>
      </c>
      <c r="AT32" s="16">
        <v>17.650366735072559</v>
      </c>
      <c r="AV32" s="36">
        <v>25.691528778939411</v>
      </c>
      <c r="AW32" s="52">
        <f t="shared" si="3"/>
        <v>0</v>
      </c>
      <c r="AY32" s="13">
        <v>10.9316014826562</v>
      </c>
      <c r="AZ32" s="53">
        <f t="shared" si="4"/>
        <v>0.42549439454211724</v>
      </c>
      <c r="BB32" s="13" t="s">
        <v>130</v>
      </c>
      <c r="BC32" s="13" t="s">
        <v>129</v>
      </c>
      <c r="BD32" s="13">
        <f t="shared" si="5"/>
        <v>0.89848779309503013</v>
      </c>
      <c r="BE32" s="13">
        <f t="shared" si="0"/>
        <v>1.4571628952118119</v>
      </c>
      <c r="BF32" s="13">
        <f t="shared" si="0"/>
        <v>0.50107973076453616</v>
      </c>
      <c r="BG32" s="13">
        <f t="shared" si="0"/>
        <v>0.16126703978628748</v>
      </c>
      <c r="BH32" s="13">
        <f t="shared" si="0"/>
        <v>2.4996391166874559</v>
      </c>
      <c r="BI32" s="13">
        <f t="shared" si="0"/>
        <v>0.29373639389645217</v>
      </c>
      <c r="BJ32" s="13">
        <f t="shared" si="0"/>
        <v>2.2231813341966773</v>
      </c>
      <c r="BK32" s="13">
        <f t="shared" si="0"/>
        <v>2.3614102254420666</v>
      </c>
      <c r="BL32" s="13">
        <f t="shared" si="0"/>
        <v>0.53563695357588337</v>
      </c>
      <c r="BM32" s="13">
        <f t="shared" si="6"/>
        <v>10.931601482656202</v>
      </c>
      <c r="BO32" s="13" t="s">
        <v>130</v>
      </c>
      <c r="BP32" s="13" t="s">
        <v>129</v>
      </c>
      <c r="BQ32" s="13">
        <v>597.78838541470304</v>
      </c>
      <c r="BR32" s="13">
        <v>969.49013788410184</v>
      </c>
      <c r="BS32" s="13">
        <v>333.38198417358444</v>
      </c>
      <c r="BT32" s="13">
        <v>107.29535122828004</v>
      </c>
      <c r="BU32" s="13">
        <v>1663.0779440383405</v>
      </c>
      <c r="BV32" s="13">
        <v>195.43081830865293</v>
      </c>
      <c r="BW32" s="13">
        <v>1479.1430562184321</v>
      </c>
      <c r="BX32" s="13">
        <v>1571.1105001283863</v>
      </c>
      <c r="BY32" s="13">
        <v>356.373845151073</v>
      </c>
      <c r="BZ32" s="13">
        <v>7273.0920225455538</v>
      </c>
      <c r="CB32" s="13" t="s">
        <v>130</v>
      </c>
      <c r="CC32" s="13" t="s">
        <v>129</v>
      </c>
      <c r="CD32" s="13">
        <f t="shared" si="7"/>
        <v>23.267918019138641</v>
      </c>
      <c r="CE32" s="13">
        <f t="shared" si="1"/>
        <v>37.735790120782546</v>
      </c>
      <c r="CF32" s="13">
        <f t="shared" si="1"/>
        <v>12.97633889528886</v>
      </c>
      <c r="CG32" s="13">
        <f t="shared" si="1"/>
        <v>4.1762929777941151</v>
      </c>
      <c r="CH32" s="13">
        <f t="shared" si="1"/>
        <v>64.732541155808789</v>
      </c>
      <c r="CI32" s="13">
        <f t="shared" si="1"/>
        <v>7.6068193524107102</v>
      </c>
      <c r="CJ32" s="13">
        <f t="shared" si="1"/>
        <v>57.573181765304597</v>
      </c>
      <c r="CK32" s="13">
        <f t="shared" si="1"/>
        <v>61.152861460556693</v>
      </c>
      <c r="CL32" s="13">
        <f t="shared" si="1"/>
        <v>13.871258819101884</v>
      </c>
      <c r="CM32" s="13">
        <f t="shared" si="1"/>
        <v>283.09300256618678</v>
      </c>
      <c r="CO32" s="13">
        <v>25</v>
      </c>
      <c r="CP32" s="13" t="s">
        <v>199</v>
      </c>
      <c r="CQ32" s="13">
        <v>2514.5133850622638</v>
      </c>
      <c r="CR32" s="13">
        <v>2.446843328899047</v>
      </c>
      <c r="CS32" s="13">
        <v>9.3386396787507681E-2</v>
      </c>
      <c r="CT32" s="13">
        <v>0</v>
      </c>
      <c r="CU32" s="13">
        <v>1.2953599732779604</v>
      </c>
      <c r="CW32" s="13">
        <v>25</v>
      </c>
      <c r="CX32" s="13" t="s">
        <v>199</v>
      </c>
      <c r="CY32" s="53">
        <f t="shared" si="8"/>
        <v>97.873248676565055</v>
      </c>
      <c r="CZ32" s="53">
        <f t="shared" si="2"/>
        <v>9.5239304361865923E-2</v>
      </c>
      <c r="DA32" s="53">
        <f t="shared" si="2"/>
        <v>3.6349100744857608E-3</v>
      </c>
      <c r="DB32" s="53">
        <f t="shared" si="2"/>
        <v>0</v>
      </c>
      <c r="DC32" s="53">
        <f t="shared" si="2"/>
        <v>5.0419731127087704E-2</v>
      </c>
    </row>
    <row r="33" spans="1:107">
      <c r="A33" s="46">
        <v>63</v>
      </c>
      <c r="B33" s="47" t="s">
        <v>131</v>
      </c>
      <c r="C33" s="48" t="s">
        <v>132</v>
      </c>
      <c r="D33" s="49">
        <v>7.1752560454333496</v>
      </c>
      <c r="E33" s="49">
        <v>0.94332558821703105</v>
      </c>
      <c r="F33" s="49">
        <v>2.6903558575296902</v>
      </c>
      <c r="G33" s="49">
        <v>1.09331368502896</v>
      </c>
      <c r="H33" s="49">
        <v>0.11539945206758601</v>
      </c>
      <c r="I33" s="49">
        <v>1.23392782058875E-2</v>
      </c>
      <c r="J33" s="49">
        <v>0.176068378365102</v>
      </c>
      <c r="K33" s="49">
        <v>0.43723426428298201</v>
      </c>
      <c r="L33" s="49">
        <v>0.20193947094786199</v>
      </c>
      <c r="M33" s="49">
        <v>0.52977942308669002</v>
      </c>
      <c r="N33" s="49">
        <v>1.9291014624440801</v>
      </c>
      <c r="O33" s="49">
        <v>4.90627637859287</v>
      </c>
      <c r="P33" s="49">
        <v>3.3658748437135601E-2</v>
      </c>
      <c r="Q33" s="49">
        <v>7.6377425769645303E-3</v>
      </c>
      <c r="R33" s="49">
        <v>1.9415052144226699E-2</v>
      </c>
      <c r="S33" s="49">
        <v>0.16672141923355599</v>
      </c>
      <c r="T33" s="49">
        <v>2.04784975614719</v>
      </c>
      <c r="U33" s="49">
        <v>8.9834674534167505</v>
      </c>
      <c r="V33" s="49">
        <v>5.9851024466514101E-2</v>
      </c>
      <c r="W33" s="49">
        <v>1.55280913352151</v>
      </c>
      <c r="X33" s="49">
        <v>3.74870835882097</v>
      </c>
      <c r="Y33" s="49">
        <v>0.767619481028048</v>
      </c>
      <c r="Z33" s="49">
        <v>2.8487527961631902</v>
      </c>
      <c r="AA33" s="49">
        <v>2.7489557249854898E-2</v>
      </c>
      <c r="AB33" s="49">
        <v>0.14695174363494701</v>
      </c>
      <c r="AC33" s="49">
        <v>0.86417310795013902</v>
      </c>
      <c r="AD33" s="49">
        <v>1.6406641616642501</v>
      </c>
      <c r="AE33" s="49">
        <v>6.5827588561814795E-2</v>
      </c>
      <c r="AF33" s="49">
        <v>0.40114347426588798</v>
      </c>
      <c r="AG33" s="49">
        <v>0.30890134921627799</v>
      </c>
      <c r="AH33" s="49">
        <v>1.2003202318886901</v>
      </c>
      <c r="AI33" s="49">
        <v>0.61609416818607499</v>
      </c>
      <c r="AJ33" s="49">
        <v>0.856571296134089</v>
      </c>
      <c r="AK33" s="49">
        <v>0.69918189748333004</v>
      </c>
      <c r="AL33" s="50">
        <v>34.276433479759497</v>
      </c>
      <c r="AM33" s="50">
        <v>1.8802690387940801E-2</v>
      </c>
      <c r="AN33" s="50">
        <v>0.27474432253488201</v>
      </c>
      <c r="AO33" s="50">
        <v>14.673676413528201</v>
      </c>
      <c r="AP33" s="50">
        <v>3.0843887472010299E-2</v>
      </c>
      <c r="AQ33" s="50">
        <v>54.422225077112145</v>
      </c>
      <c r="AR33" s="54">
        <v>150.9709246971882</v>
      </c>
      <c r="AT33" s="16">
        <v>103.69672587079467</v>
      </c>
      <c r="AV33" s="36">
        <v>150.97092469718811</v>
      </c>
      <c r="AW33" s="52">
        <f t="shared" si="3"/>
        <v>0</v>
      </c>
      <c r="AY33" s="13">
        <v>64.1720189857907</v>
      </c>
      <c r="AZ33" s="53">
        <f t="shared" si="4"/>
        <v>0.42506210460394622</v>
      </c>
      <c r="BB33" s="13" t="s">
        <v>132</v>
      </c>
      <c r="BC33" s="13" t="s">
        <v>234</v>
      </c>
      <c r="BD33" s="13">
        <f t="shared" si="5"/>
        <v>5.2744125193800571</v>
      </c>
      <c r="BE33" s="13">
        <f t="shared" si="0"/>
        <v>8.554015175661247</v>
      </c>
      <c r="BF33" s="13">
        <f t="shared" si="0"/>
        <v>2.9414992896542627</v>
      </c>
      <c r="BG33" s="13">
        <f t="shared" si="0"/>
        <v>0.94668942655539512</v>
      </c>
      <c r="BH33" s="13">
        <f t="shared" si="0"/>
        <v>14.673686111608623</v>
      </c>
      <c r="BI33" s="13">
        <f t="shared" si="0"/>
        <v>1.7243271697973268</v>
      </c>
      <c r="BJ33" s="13">
        <f t="shared" si="0"/>
        <v>13.050789951799372</v>
      </c>
      <c r="BK33" s="13">
        <f t="shared" si="0"/>
        <v>13.862238031703995</v>
      </c>
      <c r="BL33" s="13">
        <f t="shared" si="0"/>
        <v>3.1443613096304186</v>
      </c>
      <c r="BM33" s="13">
        <f t="shared" si="6"/>
        <v>64.1720189857907</v>
      </c>
      <c r="BO33" s="13" t="s">
        <v>132</v>
      </c>
      <c r="BP33" s="13" t="s">
        <v>131</v>
      </c>
      <c r="BQ33" s="13">
        <v>3509.2102176593739</v>
      </c>
      <c r="BR33" s="13">
        <v>5691.219135050138</v>
      </c>
      <c r="BS33" s="13">
        <v>1957.0595444638816</v>
      </c>
      <c r="BT33" s="13">
        <v>629.85824419527228</v>
      </c>
      <c r="BU33" s="13">
        <v>9762.802785026719</v>
      </c>
      <c r="BV33" s="13">
        <v>1147.2418019271031</v>
      </c>
      <c r="BW33" s="13">
        <v>8683.045794977681</v>
      </c>
      <c r="BX33" s="13">
        <v>9222.9242900022</v>
      </c>
      <c r="BY33" s="13">
        <v>2092.0291682200113</v>
      </c>
      <c r="BZ33" s="13">
        <v>42695.390981522381</v>
      </c>
      <c r="CB33" s="13" t="s">
        <v>132</v>
      </c>
      <c r="CC33" s="13" t="s">
        <v>131</v>
      </c>
      <c r="CD33" s="13">
        <f t="shared" si="7"/>
        <v>23.244278490696242</v>
      </c>
      <c r="CE33" s="13">
        <f t="shared" si="1"/>
        <v>37.697451654783009</v>
      </c>
      <c r="CF33" s="13">
        <f t="shared" si="1"/>
        <v>12.963155312119058</v>
      </c>
      <c r="CG33" s="13">
        <f t="shared" si="1"/>
        <v>4.1720499855095827</v>
      </c>
      <c r="CH33" s="13">
        <f t="shared" si="1"/>
        <v>64.666774775398522</v>
      </c>
      <c r="CI33" s="13">
        <f t="shared" si="1"/>
        <v>7.5990910450353111</v>
      </c>
      <c r="CJ33" s="13">
        <f t="shared" si="1"/>
        <v>57.51468908595352</v>
      </c>
      <c r="CK33" s="13">
        <f t="shared" si="1"/>
        <v>61.090731930676021</v>
      </c>
      <c r="CL33" s="13">
        <f t="shared" si="1"/>
        <v>13.857166023299683</v>
      </c>
      <c r="CM33" s="13">
        <f t="shared" si="1"/>
        <v>282.80538830347098</v>
      </c>
      <c r="CO33" s="13">
        <v>26</v>
      </c>
      <c r="CP33" s="13" t="s">
        <v>200</v>
      </c>
      <c r="CQ33" s="13">
        <v>217.01189572946652</v>
      </c>
      <c r="CR33" s="13">
        <v>70.642919211411467</v>
      </c>
      <c r="CS33" s="13">
        <v>0.41658452714299549</v>
      </c>
      <c r="CT33" s="13">
        <v>0</v>
      </c>
      <c r="CU33" s="13">
        <v>5.7784317685565574</v>
      </c>
      <c r="CW33" s="13">
        <v>26</v>
      </c>
      <c r="CX33" s="13" t="s">
        <v>200</v>
      </c>
      <c r="CY33" s="53">
        <f t="shared" si="8"/>
        <v>1.4374416541777222</v>
      </c>
      <c r="CZ33" s="53">
        <f t="shared" si="2"/>
        <v>0.46792400161225994</v>
      </c>
      <c r="DA33" s="53">
        <f t="shared" si="2"/>
        <v>2.7593692492681294E-3</v>
      </c>
      <c r="DB33" s="53">
        <f t="shared" si="2"/>
        <v>0</v>
      </c>
      <c r="DC33" s="53">
        <f t="shared" si="2"/>
        <v>3.827512999702902E-2</v>
      </c>
    </row>
    <row r="34" spans="1:107">
      <c r="A34" s="46">
        <v>64</v>
      </c>
      <c r="B34" s="47" t="s">
        <v>133</v>
      </c>
      <c r="C34" s="48" t="s">
        <v>134</v>
      </c>
      <c r="D34" s="49">
        <v>11.2549896537189</v>
      </c>
      <c r="E34" s="49">
        <v>1.74145654235679</v>
      </c>
      <c r="F34" s="49">
        <v>10.0341534849575</v>
      </c>
      <c r="G34" s="49">
        <v>3.3061682191099502</v>
      </c>
      <c r="H34" s="49">
        <v>0.34896663798592298</v>
      </c>
      <c r="I34" s="49">
        <v>1.9591146517138301E-2</v>
      </c>
      <c r="J34" s="49">
        <v>0.382047755011651</v>
      </c>
      <c r="K34" s="49">
        <v>1.7684163536697</v>
      </c>
      <c r="L34" s="49">
        <v>0.81675452279852401</v>
      </c>
      <c r="M34" s="49">
        <v>3.8620489104473399</v>
      </c>
      <c r="N34" s="49">
        <v>11.396607375508101</v>
      </c>
      <c r="O34" s="49">
        <v>7.3883243737607698</v>
      </c>
      <c r="P34" s="49">
        <v>0.130667239125143</v>
      </c>
      <c r="Q34" s="49">
        <v>2.96506192897955E-2</v>
      </c>
      <c r="R34" s="49">
        <v>7.5371526837813799E-2</v>
      </c>
      <c r="S34" s="49">
        <v>0.30176400404745801</v>
      </c>
      <c r="T34" s="49">
        <v>3.5421185046777399</v>
      </c>
      <c r="U34" s="49">
        <v>33.436162586685903</v>
      </c>
      <c r="V34" s="49">
        <v>0.104052080773215</v>
      </c>
      <c r="W34" s="49">
        <v>5.0383072591746698</v>
      </c>
      <c r="X34" s="49">
        <v>11.6617585755801</v>
      </c>
      <c r="Y34" s="49">
        <v>2.8383473995372799</v>
      </c>
      <c r="Z34" s="49">
        <v>6.4817335664022799</v>
      </c>
      <c r="AA34" s="49">
        <v>6.2546664698987994E-2</v>
      </c>
      <c r="AB34" s="49">
        <v>0.33435756540295303</v>
      </c>
      <c r="AC34" s="49">
        <v>1.96624285846309</v>
      </c>
      <c r="AD34" s="49">
        <v>19.306123224707999</v>
      </c>
      <c r="AE34" s="49">
        <v>0.52366396790025105</v>
      </c>
      <c r="AF34" s="49">
        <v>8.0515591259062909</v>
      </c>
      <c r="AG34" s="49">
        <v>6.2001195004821597</v>
      </c>
      <c r="AH34" s="49">
        <v>17.250851596633201</v>
      </c>
      <c r="AI34" s="49">
        <v>1.5430589916200499</v>
      </c>
      <c r="AJ34" s="49">
        <v>2.05033884164625</v>
      </c>
      <c r="AK34" s="49">
        <v>8.2329559543083199</v>
      </c>
      <c r="AL34" s="50">
        <v>189.77805320617301</v>
      </c>
      <c r="AM34" s="50">
        <v>2.67343320993478E-2</v>
      </c>
      <c r="AN34" s="50">
        <v>0.49054297281341802</v>
      </c>
      <c r="AO34" s="50">
        <v>65.884809229555302</v>
      </c>
      <c r="AP34" s="50">
        <v>-0.299387458237731</v>
      </c>
      <c r="AQ34" s="50">
        <v>80.992040147652219</v>
      </c>
      <c r="AR34" s="54">
        <v>518.3540690597988</v>
      </c>
      <c r="AT34" s="16">
        <v>336.8727924300556</v>
      </c>
      <c r="AV34" s="36">
        <v>518.35406905979892</v>
      </c>
      <c r="AW34" s="52">
        <f t="shared" si="3"/>
        <v>0</v>
      </c>
      <c r="AY34" s="13">
        <v>265.07172731974902</v>
      </c>
      <c r="AZ34" s="53">
        <f t="shared" si="4"/>
        <v>0.51137194273509134</v>
      </c>
      <c r="BB34" s="13" t="s">
        <v>134</v>
      </c>
      <c r="BC34" s="13" t="s">
        <v>133</v>
      </c>
      <c r="BD34" s="13">
        <f t="shared" si="5"/>
        <v>11.483251725043278</v>
      </c>
      <c r="BE34" s="13">
        <f t="shared" si="0"/>
        <v>29.665066956361805</v>
      </c>
      <c r="BF34" s="13">
        <f t="shared" si="0"/>
        <v>18.181815231318524</v>
      </c>
      <c r="BG34" s="13">
        <f t="shared" si="0"/>
        <v>4.7846882187680331</v>
      </c>
      <c r="BH34" s="13">
        <f t="shared" si="0"/>
        <v>37.32056810639066</v>
      </c>
      <c r="BI34" s="13">
        <f t="shared" si="0"/>
        <v>2.8708129312608195</v>
      </c>
      <c r="BJ34" s="13">
        <f t="shared" si="0"/>
        <v>25.837316381347375</v>
      </c>
      <c r="BK34" s="13">
        <f t="shared" si="0"/>
        <v>121.53108075670804</v>
      </c>
      <c r="BL34" s="13">
        <f t="shared" si="0"/>
        <v>13.397127012550492</v>
      </c>
      <c r="BM34" s="13">
        <f t="shared" si="6"/>
        <v>265.07172731974902</v>
      </c>
      <c r="BO34" s="13" t="s">
        <v>134</v>
      </c>
      <c r="BP34" s="13" t="s">
        <v>133</v>
      </c>
      <c r="BQ34" s="13">
        <v>1200</v>
      </c>
      <c r="BR34" s="13">
        <v>3100</v>
      </c>
      <c r="BS34" s="13">
        <v>1900</v>
      </c>
      <c r="BT34" s="13">
        <v>500</v>
      </c>
      <c r="BU34" s="13">
        <v>3900</v>
      </c>
      <c r="BV34" s="13">
        <v>300</v>
      </c>
      <c r="BW34" s="13">
        <v>2700</v>
      </c>
      <c r="BX34" s="13">
        <v>12700</v>
      </c>
      <c r="BY34" s="13">
        <v>1400</v>
      </c>
      <c r="BZ34" s="13">
        <v>27700</v>
      </c>
      <c r="CB34" s="13" t="s">
        <v>134</v>
      </c>
      <c r="CC34" s="13" t="s">
        <v>133</v>
      </c>
      <c r="CD34" s="13">
        <f t="shared" si="7"/>
        <v>2.3150199287073883</v>
      </c>
      <c r="CE34" s="13">
        <f t="shared" si="1"/>
        <v>5.9804681491607532</v>
      </c>
      <c r="CF34" s="13">
        <f t="shared" si="1"/>
        <v>3.6654482204533645</v>
      </c>
      <c r="CG34" s="13">
        <f t="shared" si="1"/>
        <v>0.9645916369614117</v>
      </c>
      <c r="CH34" s="13">
        <f t="shared" si="1"/>
        <v>7.5238147682990117</v>
      </c>
      <c r="CI34" s="13">
        <f t="shared" si="1"/>
        <v>0.57875498217684707</v>
      </c>
      <c r="CJ34" s="13">
        <f t="shared" si="1"/>
        <v>5.208794839591623</v>
      </c>
      <c r="CK34" s="13">
        <f t="shared" si="1"/>
        <v>24.500627578819859</v>
      </c>
      <c r="CL34" s="13">
        <f t="shared" si="1"/>
        <v>2.7008565834919529</v>
      </c>
      <c r="CM34" s="13">
        <f t="shared" si="1"/>
        <v>53.438376687662213</v>
      </c>
      <c r="CO34" s="13">
        <v>27</v>
      </c>
      <c r="CP34" s="13" t="s">
        <v>201</v>
      </c>
      <c r="CQ34" s="13">
        <v>480.98371719342703</v>
      </c>
      <c r="CR34" s="13">
        <v>227.95505198118579</v>
      </c>
      <c r="CS34" s="13">
        <v>0.90596728551579142</v>
      </c>
      <c r="CT34" s="13">
        <v>0</v>
      </c>
      <c r="CU34" s="13">
        <v>12.566645669248356</v>
      </c>
      <c r="CW34" s="13">
        <v>27</v>
      </c>
      <c r="CX34" s="13" t="s">
        <v>201</v>
      </c>
      <c r="CY34" s="53">
        <f t="shared" si="8"/>
        <v>0.92790574223878497</v>
      </c>
      <c r="CZ34" s="53">
        <f t="shared" si="2"/>
        <v>0.4397670734883114</v>
      </c>
      <c r="DA34" s="53">
        <f t="shared" si="2"/>
        <v>1.7477769339383279E-3</v>
      </c>
      <c r="DB34" s="53">
        <f t="shared" si="2"/>
        <v>0</v>
      </c>
      <c r="DC34" s="53">
        <f t="shared" si="2"/>
        <v>2.4243362634428615E-2</v>
      </c>
    </row>
    <row r="35" spans="1:107">
      <c r="A35" s="46" t="s">
        <v>170</v>
      </c>
      <c r="B35" s="47" t="s">
        <v>135</v>
      </c>
      <c r="C35" s="48" t="s">
        <v>136</v>
      </c>
      <c r="D35" s="49">
        <v>0.26617085020868297</v>
      </c>
      <c r="E35" s="49">
        <v>0.39238565006585302</v>
      </c>
      <c r="F35" s="49">
        <v>11.5593377456638</v>
      </c>
      <c r="G35" s="49">
        <v>0.19154012398339801</v>
      </c>
      <c r="H35" s="49">
        <v>2.02170938307208E-2</v>
      </c>
      <c r="I35" s="49">
        <v>9.2184252321204294E-3</v>
      </c>
      <c r="J35" s="49">
        <v>0.478234819362307</v>
      </c>
      <c r="K35" s="49">
        <v>0.27253471288841202</v>
      </c>
      <c r="L35" s="49">
        <v>0.12587191862894401</v>
      </c>
      <c r="M35" s="49">
        <v>0.25775077443864802</v>
      </c>
      <c r="N35" s="49">
        <v>0.93855550866559101</v>
      </c>
      <c r="O35" s="49">
        <v>0.17441133102852999</v>
      </c>
      <c r="P35" s="49">
        <v>0.20255273293328099</v>
      </c>
      <c r="Q35" s="49">
        <v>4.5962660652533197E-2</v>
      </c>
      <c r="R35" s="49">
        <v>0.11683654486441</v>
      </c>
      <c r="S35" s="49">
        <v>0.27004607227372401</v>
      </c>
      <c r="T35" s="49">
        <v>3.2853739359629901</v>
      </c>
      <c r="U35" s="49">
        <v>9.3118952628506294E-2</v>
      </c>
      <c r="V35" s="49">
        <v>0.38194299690406402</v>
      </c>
      <c r="W35" s="49">
        <v>4.0020622818864897</v>
      </c>
      <c r="X35" s="49">
        <v>4.166560911226</v>
      </c>
      <c r="Y35" s="49">
        <v>4.7496613512651198</v>
      </c>
      <c r="Z35" s="49">
        <v>8.2542483071133503</v>
      </c>
      <c r="AA35" s="49">
        <v>7.96508674597938E-2</v>
      </c>
      <c r="AB35" s="49">
        <v>0.425792010721252</v>
      </c>
      <c r="AC35" s="49">
        <v>2.5039376610555601</v>
      </c>
      <c r="AD35" s="49">
        <v>5.8112927857843397</v>
      </c>
      <c r="AE35" s="49">
        <v>1306.6953538492</v>
      </c>
      <c r="AF35" s="49">
        <v>2.6467685762440398</v>
      </c>
      <c r="AG35" s="49">
        <v>2.0381495318134299</v>
      </c>
      <c r="AH35" s="49">
        <v>3.9328514431740902</v>
      </c>
      <c r="AI35" s="49">
        <v>2.9876474359763998</v>
      </c>
      <c r="AJ35" s="49">
        <v>0</v>
      </c>
      <c r="AK35" s="49">
        <v>7.0454204249344103</v>
      </c>
      <c r="AL35" s="50">
        <v>75.627318431965605</v>
      </c>
      <c r="AM35" s="50">
        <v>0</v>
      </c>
      <c r="AN35" s="50">
        <v>26.7441668228883</v>
      </c>
      <c r="AO35" s="50">
        <v>32.598219724099799</v>
      </c>
      <c r="AP35" s="50">
        <v>2.2364179885425601</v>
      </c>
      <c r="AQ35" s="50">
        <v>81.038591300031214</v>
      </c>
      <c r="AR35" s="54">
        <v>1592.6661745555984</v>
      </c>
      <c r="AT35" s="16">
        <v>218.24471426752748</v>
      </c>
      <c r="AV35" s="36">
        <v>1592.6661745556048</v>
      </c>
      <c r="AW35" s="52">
        <f t="shared" si="3"/>
        <v>6.3664629124104977E-12</v>
      </c>
      <c r="AY35" s="13">
        <v>213.814544752513</v>
      </c>
      <c r="AZ35" s="53">
        <f t="shared" si="4"/>
        <v>0.1342494417024796</v>
      </c>
      <c r="BB35" s="13" t="s">
        <v>136</v>
      </c>
      <c r="BC35" s="13" t="s">
        <v>135</v>
      </c>
      <c r="BD35" s="13">
        <f t="shared" si="5"/>
        <v>6.7449383202685489</v>
      </c>
      <c r="BE35" s="13">
        <f t="shared" si="0"/>
        <v>43.167605249718711</v>
      </c>
      <c r="BF35" s="13">
        <f t="shared" si="0"/>
        <v>39.120642257557584</v>
      </c>
      <c r="BG35" s="13">
        <f t="shared" si="0"/>
        <v>2.6979753281074195</v>
      </c>
      <c r="BH35" s="13">
        <f t="shared" si="0"/>
        <v>18.885827296751938</v>
      </c>
      <c r="BI35" s="13">
        <f t="shared" si="0"/>
        <v>4.7214568241879844</v>
      </c>
      <c r="BJ35" s="13">
        <f t="shared" si="0"/>
        <v>10.117407480402825</v>
      </c>
      <c r="BK35" s="13">
        <f t="shared" si="0"/>
        <v>66.774889370658627</v>
      </c>
      <c r="BL35" s="13">
        <f t="shared" si="0"/>
        <v>21.583802624859356</v>
      </c>
      <c r="BM35" s="13">
        <f t="shared" si="6"/>
        <v>213.814544752513</v>
      </c>
      <c r="BO35" s="13" t="s">
        <v>136</v>
      </c>
      <c r="BP35" s="13" t="s">
        <v>135</v>
      </c>
      <c r="BQ35" s="13">
        <v>1000</v>
      </c>
      <c r="BR35" s="13">
        <v>6400</v>
      </c>
      <c r="BS35" s="13">
        <v>5800</v>
      </c>
      <c r="BT35" s="13">
        <v>400</v>
      </c>
      <c r="BU35" s="13">
        <v>2800</v>
      </c>
      <c r="BV35" s="13">
        <v>700</v>
      </c>
      <c r="BW35" s="13">
        <v>1500</v>
      </c>
      <c r="BX35" s="13">
        <v>9900</v>
      </c>
      <c r="BY35" s="13">
        <v>3200</v>
      </c>
      <c r="BZ35" s="13">
        <v>31700</v>
      </c>
      <c r="CB35" s="13" t="s">
        <v>136</v>
      </c>
      <c r="CC35" s="13" t="s">
        <v>135</v>
      </c>
      <c r="CD35" s="13">
        <f t="shared" si="7"/>
        <v>0.62787796713208277</v>
      </c>
      <c r="CE35" s="13">
        <f t="shared" si="1"/>
        <v>4.0184189896453297</v>
      </c>
      <c r="CF35" s="13">
        <f t="shared" si="1"/>
        <v>3.64169220936608</v>
      </c>
      <c r="CG35" s="13">
        <f t="shared" si="1"/>
        <v>0.25115118685283311</v>
      </c>
      <c r="CH35" s="13">
        <f t="shared" si="1"/>
        <v>1.7580583079698318</v>
      </c>
      <c r="CI35" s="13">
        <f t="shared" si="1"/>
        <v>0.43951457699245794</v>
      </c>
      <c r="CJ35" s="13">
        <f t="shared" si="1"/>
        <v>0.9418169506981241</v>
      </c>
      <c r="CK35" s="13">
        <f t="shared" si="1"/>
        <v>6.215991874607619</v>
      </c>
      <c r="CL35" s="13">
        <f t="shared" si="1"/>
        <v>2.0092094948226649</v>
      </c>
      <c r="CM35" s="13">
        <f t="shared" si="1"/>
        <v>19.903731558087024</v>
      </c>
      <c r="CO35" s="13">
        <v>28</v>
      </c>
      <c r="CP35" s="13" t="s">
        <v>202</v>
      </c>
      <c r="CQ35" s="13">
        <v>556813.44728963659</v>
      </c>
      <c r="CR35" s="13">
        <v>729.25985779137363</v>
      </c>
      <c r="CS35" s="13">
        <v>2.3936109701300161</v>
      </c>
      <c r="CT35" s="13">
        <v>0</v>
      </c>
      <c r="CU35" s="13">
        <v>33.201707625154</v>
      </c>
      <c r="CW35" s="13">
        <v>28</v>
      </c>
      <c r="CX35" s="13" t="s">
        <v>202</v>
      </c>
      <c r="CY35" s="53">
        <f t="shared" si="8"/>
        <v>349.61089535602412</v>
      </c>
      <c r="CZ35" s="53">
        <f t="shared" si="2"/>
        <v>0.45788619702107941</v>
      </c>
      <c r="DA35" s="53">
        <f t="shared" si="2"/>
        <v>1.502895590030287E-3</v>
      </c>
      <c r="DB35" s="53">
        <f t="shared" si="2"/>
        <v>0</v>
      </c>
      <c r="DC35" s="53">
        <f t="shared" si="2"/>
        <v>2.0846620688995465E-2</v>
      </c>
    </row>
    <row r="36" spans="1:107">
      <c r="A36" s="46">
        <v>70</v>
      </c>
      <c r="B36" s="47" t="s">
        <v>137</v>
      </c>
      <c r="C36" s="48" t="s">
        <v>138</v>
      </c>
      <c r="D36" s="49">
        <v>1.0790665892053499</v>
      </c>
      <c r="E36" s="49">
        <v>9.7342418421433905</v>
      </c>
      <c r="F36" s="49">
        <v>6.80119322634767</v>
      </c>
      <c r="G36" s="49">
        <v>2.3899936439768701</v>
      </c>
      <c r="H36" s="49">
        <v>0.252264250175045</v>
      </c>
      <c r="I36" s="49">
        <v>1.15380407947159E-2</v>
      </c>
      <c r="J36" s="49">
        <v>1.8439787211404199</v>
      </c>
      <c r="K36" s="49">
        <v>0.593254189813334</v>
      </c>
      <c r="L36" s="49">
        <v>0.27399828196211801</v>
      </c>
      <c r="M36" s="49">
        <v>1.92216726133335</v>
      </c>
      <c r="N36" s="49">
        <v>6.9992444276068797</v>
      </c>
      <c r="O36" s="49">
        <v>3.0801627215425502</v>
      </c>
      <c r="P36" s="49">
        <v>0.21430321931757501</v>
      </c>
      <c r="Q36" s="49">
        <v>4.8629045896327897E-2</v>
      </c>
      <c r="R36" s="49">
        <v>0.12361446491385</v>
      </c>
      <c r="S36" s="49">
        <v>0.143112548367858</v>
      </c>
      <c r="T36" s="49">
        <v>0.66005864737822695</v>
      </c>
      <c r="U36" s="49">
        <v>4.98533613122102</v>
      </c>
      <c r="V36" s="49">
        <v>6.9401440666590805E-2</v>
      </c>
      <c r="W36" s="49">
        <v>6.3421666895245101</v>
      </c>
      <c r="X36" s="49">
        <v>8.7665029347691092</v>
      </c>
      <c r="Y36" s="49">
        <v>7.0535952035516702</v>
      </c>
      <c r="Z36" s="49">
        <v>10.0126791674373</v>
      </c>
      <c r="AA36" s="49">
        <v>9.6619165260111703E-2</v>
      </c>
      <c r="AB36" s="49">
        <v>0.51649994485092598</v>
      </c>
      <c r="AC36" s="49">
        <v>3.0373600990179401</v>
      </c>
      <c r="AD36" s="49">
        <v>4.3279769641215902</v>
      </c>
      <c r="AE36" s="49">
        <v>0</v>
      </c>
      <c r="AF36" s="49">
        <v>8.82624114449359</v>
      </c>
      <c r="AG36" s="49">
        <v>6.79666496639841</v>
      </c>
      <c r="AH36" s="49">
        <v>0.60437906262362995</v>
      </c>
      <c r="AI36" s="49">
        <v>4.2368449522511904</v>
      </c>
      <c r="AJ36" s="49">
        <v>5.5819008285673899</v>
      </c>
      <c r="AK36" s="49">
        <v>7.8092192615988498</v>
      </c>
      <c r="AL36" s="50">
        <v>95.341810178820197</v>
      </c>
      <c r="AM36" s="50">
        <v>0</v>
      </c>
      <c r="AN36" s="50">
        <v>50.4644684998757</v>
      </c>
      <c r="AO36" s="50">
        <v>11.990996793149099</v>
      </c>
      <c r="AP36" s="50">
        <v>2.79940744996918E-4</v>
      </c>
      <c r="AQ36" s="50">
        <v>0.69984723491484879</v>
      </c>
      <c r="AR36" s="54">
        <v>273.7316117257742</v>
      </c>
      <c r="AT36" s="16">
        <v>158.49740264750483</v>
      </c>
      <c r="AV36" s="36">
        <v>273.73161172577431</v>
      </c>
      <c r="AW36" s="52">
        <f t="shared" si="3"/>
        <v>0</v>
      </c>
      <c r="AY36" s="13">
        <v>168.01208897600799</v>
      </c>
      <c r="AZ36" s="53">
        <f t="shared" si="4"/>
        <v>0.61378401974384822</v>
      </c>
      <c r="BB36" s="13" t="s">
        <v>138</v>
      </c>
      <c r="BC36" s="13" t="s">
        <v>137</v>
      </c>
      <c r="BD36" s="13">
        <f t="shared" si="5"/>
        <v>3.7336019772446218</v>
      </c>
      <c r="BE36" s="13">
        <f t="shared" si="0"/>
        <v>9.3340049431115535</v>
      </c>
      <c r="BF36" s="13">
        <f t="shared" si="0"/>
        <v>0</v>
      </c>
      <c r="BG36" s="13">
        <f t="shared" si="0"/>
        <v>0</v>
      </c>
      <c r="BH36" s="13">
        <f t="shared" si="0"/>
        <v>0</v>
      </c>
      <c r="BI36" s="13">
        <f t="shared" si="0"/>
        <v>0</v>
      </c>
      <c r="BJ36" s="13">
        <f t="shared" si="0"/>
        <v>7.4672039544892437</v>
      </c>
      <c r="BK36" s="13">
        <f t="shared" si="0"/>
        <v>147.47727810116257</v>
      </c>
      <c r="BL36" s="13">
        <f t="shared" si="0"/>
        <v>0</v>
      </c>
      <c r="BM36" s="13">
        <f t="shared" si="6"/>
        <v>168.01208897600799</v>
      </c>
      <c r="BO36" s="13" t="s">
        <v>138</v>
      </c>
      <c r="BP36" s="13" t="s">
        <v>137</v>
      </c>
      <c r="BQ36" s="13">
        <v>200</v>
      </c>
      <c r="BR36" s="13">
        <v>500</v>
      </c>
      <c r="BS36" s="13">
        <v>0</v>
      </c>
      <c r="BT36" s="13">
        <v>0</v>
      </c>
      <c r="BU36" s="13">
        <v>0</v>
      </c>
      <c r="BV36" s="13">
        <v>0</v>
      </c>
      <c r="BW36" s="13">
        <v>400</v>
      </c>
      <c r="BX36" s="13">
        <v>7900</v>
      </c>
      <c r="BY36" s="13">
        <v>0</v>
      </c>
      <c r="BZ36" s="13">
        <v>9000</v>
      </c>
      <c r="CB36" s="13" t="s">
        <v>138</v>
      </c>
      <c r="CC36" s="13" t="s">
        <v>137</v>
      </c>
      <c r="CD36" s="13">
        <f t="shared" si="7"/>
        <v>0.73064268587422443</v>
      </c>
      <c r="CE36" s="13">
        <f t="shared" si="1"/>
        <v>1.8266067146855609</v>
      </c>
      <c r="CF36" s="13">
        <f t="shared" si="1"/>
        <v>0</v>
      </c>
      <c r="CG36" s="13">
        <f t="shared" si="1"/>
        <v>0</v>
      </c>
      <c r="CH36" s="13">
        <f t="shared" ref="CH36:CM41" si="9">BU36/$AR36</f>
        <v>0</v>
      </c>
      <c r="CI36" s="13">
        <f t="shared" si="9"/>
        <v>0</v>
      </c>
      <c r="CJ36" s="13">
        <f t="shared" si="9"/>
        <v>1.4612853717484489</v>
      </c>
      <c r="CK36" s="13">
        <f t="shared" si="9"/>
        <v>28.860386092031863</v>
      </c>
      <c r="CL36" s="13">
        <f t="shared" si="9"/>
        <v>0</v>
      </c>
      <c r="CM36" s="13">
        <f t="shared" si="9"/>
        <v>32.878920864340095</v>
      </c>
      <c r="CO36" s="13">
        <v>29</v>
      </c>
      <c r="CP36" s="13" t="s">
        <v>203</v>
      </c>
      <c r="CQ36" s="13">
        <v>92.081631171071507</v>
      </c>
      <c r="CR36" s="13">
        <v>124.21290116688724</v>
      </c>
      <c r="CS36" s="13">
        <v>0.14530378571327784</v>
      </c>
      <c r="CT36" s="13">
        <v>0</v>
      </c>
      <c r="CU36" s="13">
        <v>2.0155045536987286</v>
      </c>
      <c r="CW36" s="13">
        <v>29</v>
      </c>
      <c r="CX36" s="13" t="s">
        <v>203</v>
      </c>
      <c r="CY36" s="53">
        <f t="shared" si="8"/>
        <v>0.33639385159255697</v>
      </c>
      <c r="CZ36" s="53">
        <f t="shared" si="2"/>
        <v>0.45377623864402034</v>
      </c>
      <c r="DA36" s="53">
        <f t="shared" si="2"/>
        <v>5.3082574130621039E-4</v>
      </c>
      <c r="DB36" s="53">
        <f t="shared" si="2"/>
        <v>0</v>
      </c>
      <c r="DC36" s="53">
        <f t="shared" si="2"/>
        <v>7.3630683025308454E-3</v>
      </c>
    </row>
    <row r="37" spans="1:107">
      <c r="A37" s="46" t="s">
        <v>171</v>
      </c>
      <c r="B37" s="47" t="s">
        <v>139</v>
      </c>
      <c r="C37" s="48" t="s">
        <v>140</v>
      </c>
      <c r="D37" s="49">
        <v>0.81013657794946403</v>
      </c>
      <c r="E37" s="49">
        <v>8.1080952083905906</v>
      </c>
      <c r="F37" s="49">
        <v>5.1061681099995901</v>
      </c>
      <c r="G37" s="49">
        <v>1.7943482741674699</v>
      </c>
      <c r="H37" s="49">
        <v>0.18939377645479699</v>
      </c>
      <c r="I37" s="49">
        <v>8.6624764209928297E-3</v>
      </c>
      <c r="J37" s="49">
        <v>1.3844137385964901</v>
      </c>
      <c r="K37" s="49">
        <v>0.44540061197103298</v>
      </c>
      <c r="L37" s="49">
        <v>0.20571115140937801</v>
      </c>
      <c r="M37" s="49">
        <v>1.4431157659045599</v>
      </c>
      <c r="N37" s="49">
        <v>5.2548600665961596</v>
      </c>
      <c r="O37" s="49">
        <v>2.3125101932732801</v>
      </c>
      <c r="P37" s="49">
        <v>0.16089357086790099</v>
      </c>
      <c r="Q37" s="49">
        <v>3.6509488131229097E-2</v>
      </c>
      <c r="R37" s="49">
        <v>9.2806691071873504E-2</v>
      </c>
      <c r="S37" s="49">
        <v>0.10744537117189901</v>
      </c>
      <c r="T37" s="49">
        <v>0.49555575085199</v>
      </c>
      <c r="U37" s="49">
        <v>3.7428673945409701</v>
      </c>
      <c r="V37" s="49">
        <v>5.2104889734191299E-2</v>
      </c>
      <c r="W37" s="49">
        <v>4.7615423089137003</v>
      </c>
      <c r="X37" s="49">
        <v>6.5816741609875598</v>
      </c>
      <c r="Y37" s="49">
        <v>5.2956652885104596</v>
      </c>
      <c r="Z37" s="49">
        <v>7.5172725371722802</v>
      </c>
      <c r="AA37" s="49">
        <v>7.2539285982160404E-2</v>
      </c>
      <c r="AB37" s="49">
        <v>0.387775418142419</v>
      </c>
      <c r="AC37" s="49">
        <v>2.28037504008975</v>
      </c>
      <c r="AD37" s="49">
        <v>3.2493383468945001</v>
      </c>
      <c r="AE37" s="49">
        <v>0</v>
      </c>
      <c r="AF37" s="49">
        <v>7.6057642892922201</v>
      </c>
      <c r="AG37" s="49">
        <v>5.8568342787650298</v>
      </c>
      <c r="AH37" s="49">
        <v>0.45375289206089803</v>
      </c>
      <c r="AI37" s="49">
        <v>3.1809186803262701</v>
      </c>
      <c r="AJ37" s="49">
        <v>4.1907534539078801</v>
      </c>
      <c r="AK37" s="49">
        <v>5.8629691923904304</v>
      </c>
      <c r="AL37" s="50">
        <v>71.584323601683593</v>
      </c>
      <c r="AM37" s="50">
        <v>0</v>
      </c>
      <c r="AN37" s="50">
        <v>37.889618801097299</v>
      </c>
      <c r="AO37" s="50">
        <v>6.8522820755971798</v>
      </c>
      <c r="AP37" s="50">
        <v>2.7010417651201601E-4</v>
      </c>
      <c r="AQ37" s="50">
        <v>0.50165062271801508</v>
      </c>
      <c r="AR37" s="54">
        <v>205.87631948621203</v>
      </c>
      <c r="AT37" s="16">
        <v>116.82814520527259</v>
      </c>
      <c r="AV37" s="36">
        <v>205.87631948621194</v>
      </c>
      <c r="AW37" s="52">
        <f t="shared" si="3"/>
        <v>0</v>
      </c>
      <c r="AY37" s="13">
        <v>126.363595695919</v>
      </c>
      <c r="AZ37" s="53">
        <f t="shared" si="4"/>
        <v>0.61378402339459848</v>
      </c>
      <c r="BB37" s="13" t="s">
        <v>140</v>
      </c>
      <c r="BC37" s="13" t="s">
        <v>235</v>
      </c>
      <c r="BD37" s="13">
        <f t="shared" si="5"/>
        <v>10.657170721342567</v>
      </c>
      <c r="BE37" s="13">
        <f t="shared" si="0"/>
        <v>20.705360258608415</v>
      </c>
      <c r="BF37" s="13">
        <f t="shared" si="0"/>
        <v>11.570642497457644</v>
      </c>
      <c r="BG37" s="13">
        <f t="shared" si="0"/>
        <v>2.7404153283452315</v>
      </c>
      <c r="BH37" s="13">
        <f t="shared" si="0"/>
        <v>21.009850850646774</v>
      </c>
      <c r="BI37" s="13">
        <f t="shared" si="0"/>
        <v>1.5224529601917953</v>
      </c>
      <c r="BJ37" s="13">
        <f t="shared" si="0"/>
        <v>16.746982562109746</v>
      </c>
      <c r="BK37" s="13">
        <f t="shared" si="0"/>
        <v>35.320908676449648</v>
      </c>
      <c r="BL37" s="13">
        <f t="shared" si="0"/>
        <v>6.0898118407671813</v>
      </c>
      <c r="BM37" s="13">
        <f t="shared" si="6"/>
        <v>126.36359569591902</v>
      </c>
      <c r="BO37" s="13" t="s">
        <v>140</v>
      </c>
      <c r="BP37" s="13" t="s">
        <v>139</v>
      </c>
      <c r="BQ37" s="13">
        <v>3500</v>
      </c>
      <c r="BR37" s="13">
        <v>6800</v>
      </c>
      <c r="BS37" s="13">
        <v>3800</v>
      </c>
      <c r="BT37" s="13">
        <v>900</v>
      </c>
      <c r="BU37" s="13">
        <v>6900</v>
      </c>
      <c r="BV37" s="13">
        <v>500</v>
      </c>
      <c r="BW37" s="13">
        <v>5500</v>
      </c>
      <c r="BX37" s="13">
        <v>11600</v>
      </c>
      <c r="BY37" s="13">
        <v>2000</v>
      </c>
      <c r="BZ37" s="13">
        <v>41500</v>
      </c>
      <c r="CB37" s="13" t="s">
        <v>140</v>
      </c>
      <c r="CC37" s="13" t="s">
        <v>139</v>
      </c>
      <c r="CD37" s="13">
        <f t="shared" si="7"/>
        <v>17.000498205595726</v>
      </c>
      <c r="CE37" s="13">
        <f t="shared" si="7"/>
        <v>33.029539370871696</v>
      </c>
      <c r="CF37" s="13">
        <f t="shared" si="7"/>
        <v>18.457683766075359</v>
      </c>
      <c r="CG37" s="13">
        <f t="shared" si="7"/>
        <v>4.3715566814389009</v>
      </c>
      <c r="CH37" s="13">
        <f t="shared" si="9"/>
        <v>33.515267891031577</v>
      </c>
      <c r="CI37" s="13">
        <f t="shared" si="9"/>
        <v>2.4286426007993893</v>
      </c>
      <c r="CJ37" s="13">
        <f t="shared" si="9"/>
        <v>26.715068608793285</v>
      </c>
      <c r="CK37" s="13">
        <f t="shared" si="9"/>
        <v>56.344508338545836</v>
      </c>
      <c r="CL37" s="13">
        <f t="shared" si="9"/>
        <v>9.7145704031975573</v>
      </c>
      <c r="CM37" s="13">
        <f t="shared" si="9"/>
        <v>201.57733586634933</v>
      </c>
      <c r="CO37" s="13">
        <v>30</v>
      </c>
      <c r="CP37" s="13" t="s">
        <v>204</v>
      </c>
      <c r="CQ37" s="13">
        <v>179.46376126782215</v>
      </c>
      <c r="CR37" s="13">
        <v>92.549438249408738</v>
      </c>
      <c r="CS37" s="13">
        <v>0.28825826280504269</v>
      </c>
      <c r="CT37" s="13">
        <v>0</v>
      </c>
      <c r="CU37" s="13">
        <v>3.9984219163517505</v>
      </c>
      <c r="CW37" s="13">
        <v>30</v>
      </c>
      <c r="CX37" s="13" t="s">
        <v>204</v>
      </c>
      <c r="CY37" s="53">
        <f t="shared" si="8"/>
        <v>0.87170667182944861</v>
      </c>
      <c r="CZ37" s="53">
        <f t="shared" si="2"/>
        <v>0.44953901682513309</v>
      </c>
      <c r="DA37" s="53">
        <f t="shared" si="2"/>
        <v>1.4001525941615056E-3</v>
      </c>
      <c r="DB37" s="53">
        <f t="shared" si="2"/>
        <v>0</v>
      </c>
      <c r="DC37" s="53">
        <f t="shared" si="2"/>
        <v>1.942147560404359E-2</v>
      </c>
    </row>
    <row r="38" spans="1:107">
      <c r="A38" s="46" t="s">
        <v>172</v>
      </c>
      <c r="B38" s="47" t="s">
        <v>141</v>
      </c>
      <c r="C38" s="48" t="s">
        <v>142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0.43176134422927398</v>
      </c>
      <c r="N38" s="49">
        <v>1.5721853365437799</v>
      </c>
      <c r="O38" s="49">
        <v>0</v>
      </c>
      <c r="P38" s="49">
        <v>0</v>
      </c>
      <c r="Q38" s="49">
        <v>0</v>
      </c>
      <c r="R38" s="49">
        <v>0</v>
      </c>
      <c r="S38" s="49">
        <v>0</v>
      </c>
      <c r="T38" s="49">
        <v>0</v>
      </c>
      <c r="U38" s="49">
        <v>0</v>
      </c>
      <c r="V38" s="49">
        <v>0</v>
      </c>
      <c r="W38" s="49">
        <v>0</v>
      </c>
      <c r="X38" s="49">
        <v>0</v>
      </c>
      <c r="Y38" s="49">
        <v>0.13236160505612299</v>
      </c>
      <c r="Z38" s="49">
        <v>1.6900157051209601E-3</v>
      </c>
      <c r="AA38" s="49">
        <v>1.6308113340563599E-5</v>
      </c>
      <c r="AB38" s="49">
        <v>8.7178766431561796E-5</v>
      </c>
      <c r="AC38" s="49">
        <v>5.1266860583548798E-4</v>
      </c>
      <c r="AD38" s="49">
        <v>3.3124186680724498E-2</v>
      </c>
      <c r="AE38" s="49">
        <v>0</v>
      </c>
      <c r="AF38" s="49">
        <v>0.87725857182604805</v>
      </c>
      <c r="AG38" s="49">
        <v>0.67553474961677695</v>
      </c>
      <c r="AH38" s="49">
        <v>1.0906420812153299</v>
      </c>
      <c r="AI38" s="49">
        <v>0</v>
      </c>
      <c r="AJ38" s="49">
        <v>0</v>
      </c>
      <c r="AK38" s="49">
        <v>0.11110532087764199</v>
      </c>
      <c r="AL38" s="50">
        <v>5.2932809481590704E-3</v>
      </c>
      <c r="AM38" s="50">
        <v>0</v>
      </c>
      <c r="AN38" s="50">
        <v>241.962002968565</v>
      </c>
      <c r="AO38" s="50">
        <v>27.250585540373098</v>
      </c>
      <c r="AP38" s="50">
        <v>9.98052881278279</v>
      </c>
      <c r="AQ38" s="50">
        <v>325.30421029027133</v>
      </c>
      <c r="AR38" s="54">
        <v>609.42890026017676</v>
      </c>
      <c r="AT38" s="16">
        <v>604.5026208929404</v>
      </c>
      <c r="AV38" s="36">
        <v>609.42890026017687</v>
      </c>
      <c r="AW38" s="52">
        <f t="shared" si="3"/>
        <v>0</v>
      </c>
      <c r="AY38" s="13">
        <v>402.33629335173299</v>
      </c>
      <c r="AZ38" s="53">
        <f t="shared" si="4"/>
        <v>0.66018577914497978</v>
      </c>
      <c r="BB38" s="13" t="s">
        <v>142</v>
      </c>
      <c r="BC38" s="13" t="s">
        <v>236</v>
      </c>
      <c r="BD38" s="13">
        <f t="shared" si="5"/>
        <v>18.812749104650639</v>
      </c>
      <c r="BE38" s="13">
        <f t="shared" si="0"/>
        <v>59.431184671509975</v>
      </c>
      <c r="BF38" s="13">
        <f t="shared" si="0"/>
        <v>29.929373575580563</v>
      </c>
      <c r="BG38" s="13">
        <f t="shared" si="0"/>
        <v>16.674936706394885</v>
      </c>
      <c r="BH38" s="13">
        <f t="shared" si="0"/>
        <v>57.720934752905379</v>
      </c>
      <c r="BI38" s="13">
        <f t="shared" si="0"/>
        <v>14.537124308139129</v>
      </c>
      <c r="BJ38" s="13">
        <f t="shared" si="0"/>
        <v>48.314560200580047</v>
      </c>
      <c r="BK38" s="13">
        <f t="shared" si="0"/>
        <v>141.09561828487981</v>
      </c>
      <c r="BL38" s="13">
        <f t="shared" si="0"/>
        <v>15.819811747092583</v>
      </c>
      <c r="BM38" s="13">
        <f t="shared" si="6"/>
        <v>402.33629335173305</v>
      </c>
      <c r="BO38" s="13" t="s">
        <v>142</v>
      </c>
      <c r="BP38" s="13" t="s">
        <v>141</v>
      </c>
      <c r="BQ38" s="13">
        <v>4400</v>
      </c>
      <c r="BR38" s="13">
        <v>13900</v>
      </c>
      <c r="BS38" s="13">
        <v>7000</v>
      </c>
      <c r="BT38" s="13">
        <v>3900</v>
      </c>
      <c r="BU38" s="13">
        <v>13500</v>
      </c>
      <c r="BV38" s="13">
        <v>3400</v>
      </c>
      <c r="BW38" s="13">
        <v>11300</v>
      </c>
      <c r="BX38" s="13">
        <v>33000</v>
      </c>
      <c r="BY38" s="13">
        <v>3700</v>
      </c>
      <c r="BZ38" s="13">
        <v>94100</v>
      </c>
      <c r="CB38" s="13" t="s">
        <v>142</v>
      </c>
      <c r="CC38" s="13" t="s">
        <v>141</v>
      </c>
      <c r="CD38" s="13">
        <f t="shared" si="7"/>
        <v>7.2198742103000964</v>
      </c>
      <c r="CE38" s="13">
        <f t="shared" si="7"/>
        <v>22.808238982538942</v>
      </c>
      <c r="CF38" s="13">
        <f t="shared" si="7"/>
        <v>11.486163516386517</v>
      </c>
      <c r="CG38" s="13">
        <f t="shared" si="7"/>
        <v>6.399433959129631</v>
      </c>
      <c r="CH38" s="13">
        <f t="shared" si="9"/>
        <v>22.15188678160257</v>
      </c>
      <c r="CI38" s="13">
        <f t="shared" si="9"/>
        <v>5.5789937079591656</v>
      </c>
      <c r="CJ38" s="13">
        <f t="shared" si="9"/>
        <v>18.541949676452521</v>
      </c>
      <c r="CK38" s="13">
        <f t="shared" si="9"/>
        <v>54.149056577250725</v>
      </c>
      <c r="CL38" s="13">
        <f t="shared" si="9"/>
        <v>6.0712578586614452</v>
      </c>
      <c r="CM38" s="13">
        <f t="shared" si="9"/>
        <v>154.4068552702816</v>
      </c>
      <c r="CO38" s="13">
        <v>31</v>
      </c>
      <c r="CP38" s="13" t="s">
        <v>205</v>
      </c>
      <c r="CQ38" s="13">
        <v>160.52704118681561</v>
      </c>
      <c r="CR38" s="13">
        <v>265.4613555933916</v>
      </c>
      <c r="CS38" s="13">
        <v>0.20337751973500351</v>
      </c>
      <c r="CT38" s="13">
        <v>0</v>
      </c>
      <c r="CU38" s="13">
        <v>2.8210436165421622</v>
      </c>
      <c r="CW38" s="13">
        <v>31</v>
      </c>
      <c r="CX38" s="13" t="s">
        <v>205</v>
      </c>
      <c r="CY38" s="53">
        <f t="shared" si="8"/>
        <v>0.26340569198192532</v>
      </c>
      <c r="CZ38" s="53">
        <f t="shared" si="2"/>
        <v>0.43559036251818894</v>
      </c>
      <c r="DA38" s="53">
        <f t="shared" si="2"/>
        <v>3.337182067476252E-4</v>
      </c>
      <c r="DB38" s="53">
        <f t="shared" si="2"/>
        <v>0</v>
      </c>
      <c r="DC38" s="53">
        <f t="shared" si="2"/>
        <v>4.6289954666373801E-3</v>
      </c>
    </row>
    <row r="39" spans="1:107">
      <c r="A39" s="46" t="s">
        <v>173</v>
      </c>
      <c r="B39" s="47" t="s">
        <v>143</v>
      </c>
      <c r="C39" s="48" t="s">
        <v>144</v>
      </c>
      <c r="D39" s="49">
        <v>0</v>
      </c>
      <c r="E39" s="49">
        <v>0</v>
      </c>
      <c r="F39" s="49">
        <v>1.26421251662117</v>
      </c>
      <c r="G39" s="49">
        <v>0</v>
      </c>
      <c r="H39" s="49">
        <v>0</v>
      </c>
      <c r="I39" s="49">
        <v>0</v>
      </c>
      <c r="J39" s="49">
        <v>0</v>
      </c>
      <c r="K39" s="49">
        <v>8.3910428781222901E-2</v>
      </c>
      <c r="L39" s="49">
        <v>3.8754573873289899E-2</v>
      </c>
      <c r="M39" s="49">
        <v>0</v>
      </c>
      <c r="N39" s="49">
        <v>0</v>
      </c>
      <c r="O39" s="49">
        <v>0</v>
      </c>
      <c r="P39" s="49">
        <v>0.273162149568136</v>
      </c>
      <c r="Q39" s="49">
        <v>6.19851383977734E-2</v>
      </c>
      <c r="R39" s="49">
        <v>0.15756549556795499</v>
      </c>
      <c r="S39" s="49">
        <v>9.8257744423553995E-3</v>
      </c>
      <c r="T39" s="49">
        <v>0.87017064771723696</v>
      </c>
      <c r="U39" s="49">
        <v>0.24595707243300899</v>
      </c>
      <c r="V39" s="49">
        <v>0</v>
      </c>
      <c r="W39" s="49">
        <v>9.3010633579001301E-2</v>
      </c>
      <c r="X39" s="49">
        <v>0.89151891583741305</v>
      </c>
      <c r="Y39" s="49">
        <v>0.204718792107877</v>
      </c>
      <c r="Z39" s="49">
        <v>0.188461086582425</v>
      </c>
      <c r="AA39" s="49">
        <v>1.81858946692568E-3</v>
      </c>
      <c r="AB39" s="49">
        <v>9.7216877919081707E-3</v>
      </c>
      <c r="AC39" s="49">
        <v>5.71699317466033E-2</v>
      </c>
      <c r="AD39" s="49">
        <v>0.52880621135543004</v>
      </c>
      <c r="AE39" s="49">
        <v>0.18094382164880099</v>
      </c>
      <c r="AF39" s="49">
        <v>0.85728636615153198</v>
      </c>
      <c r="AG39" s="49">
        <v>0.66015511196724697</v>
      </c>
      <c r="AH39" s="49">
        <v>2.4679762843917601</v>
      </c>
      <c r="AI39" s="49">
        <v>7.5522990258758602</v>
      </c>
      <c r="AJ39" s="49">
        <v>0.71751283291238799</v>
      </c>
      <c r="AK39" s="49">
        <v>0.89469171908437695</v>
      </c>
      <c r="AL39" s="50">
        <v>40.202329275422798</v>
      </c>
      <c r="AM39" s="50">
        <v>0</v>
      </c>
      <c r="AN39" s="50">
        <v>431.64658671417698</v>
      </c>
      <c r="AO39" s="50">
        <v>93.692612820421303</v>
      </c>
      <c r="AP39" s="50">
        <v>3.3048903095166302E-3</v>
      </c>
      <c r="AQ39" s="50">
        <v>9.1925071388318855</v>
      </c>
      <c r="AR39" s="54">
        <v>593.04897564706414</v>
      </c>
      <c r="AT39" s="16">
        <v>574.73734083916247</v>
      </c>
      <c r="AV39" s="36">
        <v>593.04897564706391</v>
      </c>
      <c r="AW39" s="52">
        <f t="shared" si="3"/>
        <v>0</v>
      </c>
      <c r="AY39" s="13">
        <v>450.39387852979701</v>
      </c>
      <c r="AZ39" s="53">
        <f t="shared" si="4"/>
        <v>0.75945477865193356</v>
      </c>
      <c r="BB39" s="13" t="s">
        <v>144</v>
      </c>
      <c r="BC39" s="13" t="s">
        <v>143</v>
      </c>
      <c r="BD39" s="13">
        <f t="shared" si="5"/>
        <v>35.821821570750103</v>
      </c>
      <c r="BE39" s="13">
        <f t="shared" si="0"/>
        <v>80.162247051617612</v>
      </c>
      <c r="BF39" s="13">
        <f t="shared" si="0"/>
        <v>29.269049332198254</v>
      </c>
      <c r="BG39" s="13">
        <f t="shared" si="0"/>
        <v>37.350801759745529</v>
      </c>
      <c r="BH39" s="13">
        <f t="shared" si="0"/>
        <v>71.862068882785266</v>
      </c>
      <c r="BI39" s="13">
        <f t="shared" si="0"/>
        <v>23.371554317501591</v>
      </c>
      <c r="BJ39" s="13">
        <f t="shared" si="0"/>
        <v>58.974950146966627</v>
      </c>
      <c r="BK39" s="13">
        <f t="shared" si="0"/>
        <v>93.923068752576484</v>
      </c>
      <c r="BL39" s="13">
        <f t="shared" ref="BL39:BL41" si="10">$AY39*BY39/$BZ39</f>
        <v>19.658316715655545</v>
      </c>
      <c r="BM39" s="13">
        <f t="shared" si="6"/>
        <v>450.39387852979706</v>
      </c>
      <c r="BO39" s="13" t="s">
        <v>144</v>
      </c>
      <c r="BP39" s="13" t="s">
        <v>143</v>
      </c>
      <c r="BQ39" s="13">
        <v>16400</v>
      </c>
      <c r="BR39" s="13">
        <v>36700</v>
      </c>
      <c r="BS39" s="13">
        <v>13400</v>
      </c>
      <c r="BT39" s="13">
        <v>17100</v>
      </c>
      <c r="BU39" s="13">
        <v>32900</v>
      </c>
      <c r="BV39" s="13">
        <v>10700</v>
      </c>
      <c r="BW39" s="13">
        <v>27000</v>
      </c>
      <c r="BX39" s="13">
        <v>43000</v>
      </c>
      <c r="BY39" s="13">
        <v>9000</v>
      </c>
      <c r="BZ39" s="13">
        <v>206200</v>
      </c>
      <c r="CB39" s="13" t="s">
        <v>144</v>
      </c>
      <c r="CC39" s="13" t="s">
        <v>143</v>
      </c>
      <c r="CD39" s="13">
        <f t="shared" si="7"/>
        <v>27.653702600373403</v>
      </c>
      <c r="CE39" s="13">
        <f t="shared" si="7"/>
        <v>61.883590575225845</v>
      </c>
      <c r="CF39" s="13">
        <f t="shared" si="7"/>
        <v>22.595098466158756</v>
      </c>
      <c r="CG39" s="13">
        <f t="shared" si="7"/>
        <v>28.834043565023485</v>
      </c>
      <c r="CH39" s="13">
        <f t="shared" si="9"/>
        <v>55.47602533855396</v>
      </c>
      <c r="CI39" s="13">
        <f t="shared" si="9"/>
        <v>18.042354745365575</v>
      </c>
      <c r="CJ39" s="13">
        <f t="shared" si="9"/>
        <v>45.527437207931818</v>
      </c>
      <c r="CK39" s="13">
        <f t="shared" si="9"/>
        <v>72.506659257076606</v>
      </c>
      <c r="CL39" s="13">
        <f t="shared" si="9"/>
        <v>15.17581240264394</v>
      </c>
      <c r="CM39" s="13">
        <f t="shared" si="9"/>
        <v>347.69472415835338</v>
      </c>
      <c r="CO39" s="13">
        <v>32</v>
      </c>
      <c r="CP39" s="13" t="s">
        <v>143</v>
      </c>
      <c r="CQ39" s="13">
        <v>243.87956824438842</v>
      </c>
      <c r="CR39" s="13">
        <v>262.32521851966771</v>
      </c>
      <c r="CS39" s="13">
        <v>0.32032845503983359</v>
      </c>
      <c r="CT39" s="13">
        <v>0</v>
      </c>
      <c r="CU39" s="13">
        <v>4.4432666130670961</v>
      </c>
      <c r="CW39" s="13">
        <v>32</v>
      </c>
      <c r="CX39" s="13" t="s">
        <v>143</v>
      </c>
      <c r="CY39" s="53">
        <f t="shared" si="8"/>
        <v>0.4112300640571821</v>
      </c>
      <c r="CZ39" s="53">
        <f t="shared" si="2"/>
        <v>0.44233314497078391</v>
      </c>
      <c r="DA39" s="53">
        <f t="shared" si="2"/>
        <v>5.4013828232369763E-4</v>
      </c>
      <c r="DB39" s="53">
        <f t="shared" si="2"/>
        <v>0</v>
      </c>
      <c r="DC39" s="53">
        <f t="shared" si="2"/>
        <v>7.4922422860930413E-3</v>
      </c>
    </row>
    <row r="40" spans="1:107">
      <c r="A40" s="46" t="s">
        <v>2</v>
      </c>
      <c r="B40" s="47" t="s">
        <v>145</v>
      </c>
      <c r="C40" s="48" t="s">
        <v>146</v>
      </c>
      <c r="D40" s="49">
        <v>2.31487602874923E-3</v>
      </c>
      <c r="E40" s="49">
        <v>5.9560583795124702E-2</v>
      </c>
      <c r="F40" s="49">
        <v>0.201062091019164</v>
      </c>
      <c r="G40" s="49">
        <v>6.3967331592771404E-2</v>
      </c>
      <c r="H40" s="49">
        <v>6.75176311895875E-3</v>
      </c>
      <c r="I40" s="49">
        <v>0</v>
      </c>
      <c r="J40" s="49">
        <v>1.6504876396869299E-2</v>
      </c>
      <c r="K40" s="49">
        <v>8.4071497958561697E-2</v>
      </c>
      <c r="L40" s="49">
        <v>3.8828964713887103E-2</v>
      </c>
      <c r="M40" s="49">
        <v>2.8288953750916401E-2</v>
      </c>
      <c r="N40" s="49">
        <v>0.103009402920838</v>
      </c>
      <c r="O40" s="49">
        <v>0</v>
      </c>
      <c r="P40" s="49">
        <v>2.1681133494394801E-2</v>
      </c>
      <c r="Q40" s="49">
        <v>4.9198179996583404E-3</v>
      </c>
      <c r="R40" s="49">
        <v>1.2506119712852801E-2</v>
      </c>
      <c r="S40" s="49">
        <v>0</v>
      </c>
      <c r="T40" s="49">
        <v>0.16301170197453499</v>
      </c>
      <c r="U40" s="49">
        <v>0.49814858427738801</v>
      </c>
      <c r="V40" s="49">
        <v>1.7553421556000901E-2</v>
      </c>
      <c r="W40" s="49">
        <v>8.7111616310348E-2</v>
      </c>
      <c r="X40" s="49">
        <v>6.2679169145330699E-2</v>
      </c>
      <c r="Y40" s="49">
        <v>7.2182551970145503E-2</v>
      </c>
      <c r="Z40" s="49">
        <v>8.9110992100832495E-2</v>
      </c>
      <c r="AA40" s="49">
        <v>8.5989269488263701E-4</v>
      </c>
      <c r="AB40" s="49">
        <v>4.5967539492700604E-3</v>
      </c>
      <c r="AC40" s="49">
        <v>2.7031942926045899E-2</v>
      </c>
      <c r="AD40" s="49">
        <v>2.2604740814672501E-2</v>
      </c>
      <c r="AE40" s="49">
        <v>8.4733907074242606E-3</v>
      </c>
      <c r="AF40" s="49">
        <v>7.52732491329135E-2</v>
      </c>
      <c r="AG40" s="49">
        <v>5.7964318775476101E-2</v>
      </c>
      <c r="AH40" s="49">
        <v>1.7421271305344801</v>
      </c>
      <c r="AI40" s="49">
        <v>5.0266139318669003</v>
      </c>
      <c r="AJ40" s="49">
        <v>2.1825327180957701</v>
      </c>
      <c r="AK40" s="49">
        <v>0.77191003611845699</v>
      </c>
      <c r="AL40" s="50">
        <v>32.696148230912598</v>
      </c>
      <c r="AM40" s="50">
        <v>0</v>
      </c>
      <c r="AN40" s="50">
        <v>278.46882002053701</v>
      </c>
      <c r="AO40" s="50">
        <v>9.9643013508479896</v>
      </c>
      <c r="AP40" s="50">
        <v>2.37686982930411E-3</v>
      </c>
      <c r="AQ40" s="50">
        <v>0.23610605714628283</v>
      </c>
      <c r="AR40" s="54">
        <v>332.9210060847268</v>
      </c>
      <c r="AT40" s="16">
        <v>321.36775252927322</v>
      </c>
      <c r="AV40" s="36">
        <v>332.9210060847268</v>
      </c>
      <c r="AW40" s="52">
        <f t="shared" si="3"/>
        <v>0</v>
      </c>
      <c r="AY40" s="13">
        <v>239.51029506219601</v>
      </c>
      <c r="AZ40" s="53">
        <f t="shared" si="4"/>
        <v>0.71942079557828142</v>
      </c>
      <c r="BB40" s="13" t="s">
        <v>146</v>
      </c>
      <c r="BC40" s="13" t="s">
        <v>145</v>
      </c>
      <c r="BD40" s="13">
        <f t="shared" si="5"/>
        <v>13.262785068590659</v>
      </c>
      <c r="BE40" s="13">
        <f t="shared" si="5"/>
        <v>40.308464424148085</v>
      </c>
      <c r="BF40" s="13">
        <f t="shared" si="5"/>
        <v>21.064423344232221</v>
      </c>
      <c r="BG40" s="13">
        <f t="shared" si="5"/>
        <v>8.3217474940176679</v>
      </c>
      <c r="BH40" s="13">
        <f t="shared" si="5"/>
        <v>38.488082159831713</v>
      </c>
      <c r="BI40" s="13">
        <f t="shared" si="5"/>
        <v>8.8418567123937724</v>
      </c>
      <c r="BJ40" s="13">
        <f t="shared" si="5"/>
        <v>45.249501998721072</v>
      </c>
      <c r="BK40" s="13">
        <f t="shared" si="5"/>
        <v>54.351413320302889</v>
      </c>
      <c r="BL40" s="13">
        <f t="shared" si="10"/>
        <v>9.6220205399579282</v>
      </c>
      <c r="BM40" s="13">
        <f t="shared" si="6"/>
        <v>239.51029506219604</v>
      </c>
      <c r="BO40" s="13" t="s">
        <v>146</v>
      </c>
      <c r="BP40" s="13" t="s">
        <v>145</v>
      </c>
      <c r="BQ40" s="13">
        <v>5100</v>
      </c>
      <c r="BR40" s="13">
        <v>15500</v>
      </c>
      <c r="BS40" s="13">
        <v>8100</v>
      </c>
      <c r="BT40" s="13">
        <v>3200</v>
      </c>
      <c r="BU40" s="13">
        <v>14800</v>
      </c>
      <c r="BV40" s="13">
        <v>3400</v>
      </c>
      <c r="BW40" s="13">
        <v>17400</v>
      </c>
      <c r="BX40" s="13">
        <v>20900</v>
      </c>
      <c r="BY40" s="13">
        <v>3700</v>
      </c>
      <c r="BZ40" s="13">
        <v>92100</v>
      </c>
      <c r="CB40" s="13" t="s">
        <v>146</v>
      </c>
      <c r="CC40" s="13" t="s">
        <v>145</v>
      </c>
      <c r="CD40" s="13">
        <f t="shared" si="7"/>
        <v>15.318949260600499</v>
      </c>
      <c r="CE40" s="13">
        <f t="shared" si="7"/>
        <v>46.557590890060339</v>
      </c>
      <c r="CF40" s="13">
        <f t="shared" si="7"/>
        <v>24.330095884483146</v>
      </c>
      <c r="CG40" s="13">
        <f t="shared" si="7"/>
        <v>9.6118897321414902</v>
      </c>
      <c r="CH40" s="13">
        <f t="shared" si="9"/>
        <v>44.454990011154393</v>
      </c>
      <c r="CI40" s="13">
        <f t="shared" si="9"/>
        <v>10.212632840400333</v>
      </c>
      <c r="CJ40" s="13">
        <f t="shared" si="9"/>
        <v>52.264650418519352</v>
      </c>
      <c r="CK40" s="13">
        <f t="shared" si="9"/>
        <v>62.777654813049104</v>
      </c>
      <c r="CL40" s="13">
        <f t="shared" si="9"/>
        <v>11.113747502788598</v>
      </c>
      <c r="CM40" s="13">
        <f t="shared" si="9"/>
        <v>276.64220135319727</v>
      </c>
      <c r="CO40" s="13">
        <v>33</v>
      </c>
      <c r="CP40" s="13" t="s">
        <v>206</v>
      </c>
      <c r="CQ40" s="13">
        <v>270.22344613905341</v>
      </c>
      <c r="CR40" s="13">
        <v>144.99473849482735</v>
      </c>
      <c r="CS40" s="13">
        <v>0.49903368130320325</v>
      </c>
      <c r="CT40" s="13">
        <v>0</v>
      </c>
      <c r="CU40" s="13">
        <v>6.9220815698522857</v>
      </c>
      <c r="CW40" s="13">
        <v>33</v>
      </c>
      <c r="CX40" s="13" t="s">
        <v>206</v>
      </c>
      <c r="CY40" s="53">
        <f t="shared" si="8"/>
        <v>0.81167436478995514</v>
      </c>
      <c r="CZ40" s="53">
        <f t="shared" si="2"/>
        <v>0.43552294942280356</v>
      </c>
      <c r="DA40" s="53">
        <f t="shared" si="2"/>
        <v>1.4989552241596962E-3</v>
      </c>
      <c r="DB40" s="53">
        <f t="shared" si="2"/>
        <v>0</v>
      </c>
      <c r="DC40" s="53">
        <f t="shared" si="2"/>
        <v>2.0791963989471571E-2</v>
      </c>
    </row>
    <row r="41" spans="1:107">
      <c r="A41" s="46" t="s">
        <v>174</v>
      </c>
      <c r="B41" s="47" t="s">
        <v>147</v>
      </c>
      <c r="C41" s="48" t="s">
        <v>148</v>
      </c>
      <c r="D41" s="49">
        <v>1.92697398654347E-3</v>
      </c>
      <c r="E41" s="49">
        <v>0.53161153480842305</v>
      </c>
      <c r="F41" s="49">
        <v>0.93270357601655796</v>
      </c>
      <c r="G41" s="49">
        <v>7.1673751431909793E-2</v>
      </c>
      <c r="H41" s="49">
        <v>7.5651770906459397E-3</v>
      </c>
      <c r="I41" s="49">
        <v>1.4949274481331799E-2</v>
      </c>
      <c r="J41" s="49">
        <v>0.146286827906038</v>
      </c>
      <c r="K41" s="49">
        <v>0.67046333780168699</v>
      </c>
      <c r="L41" s="49">
        <v>0.30965782598864</v>
      </c>
      <c r="M41" s="49">
        <v>0.17776081077602601</v>
      </c>
      <c r="N41" s="49">
        <v>0.64728569115672296</v>
      </c>
      <c r="O41" s="49">
        <v>0</v>
      </c>
      <c r="P41" s="49">
        <v>0.103085087530483</v>
      </c>
      <c r="Q41" s="49">
        <v>2.3391759903140401E-2</v>
      </c>
      <c r="R41" s="49">
        <v>5.9461579607884597E-2</v>
      </c>
      <c r="S41" s="49">
        <v>2.55350738958833E-2</v>
      </c>
      <c r="T41" s="49">
        <v>0.490839088502321</v>
      </c>
      <c r="U41" s="49">
        <v>8.7843967696488505</v>
      </c>
      <c r="V41" s="49">
        <v>0.25976902851650702</v>
      </c>
      <c r="W41" s="49">
        <v>1.9629810337882301</v>
      </c>
      <c r="X41" s="49">
        <v>3.0045705616642699</v>
      </c>
      <c r="Y41" s="49">
        <v>4.62957773623961</v>
      </c>
      <c r="Z41" s="49">
        <v>1.3256999637131399</v>
      </c>
      <c r="AA41" s="49">
        <v>1.2792582458437901E-2</v>
      </c>
      <c r="AB41" s="49">
        <v>6.8385688455247798E-2</v>
      </c>
      <c r="AC41" s="49">
        <v>0.40215292088325899</v>
      </c>
      <c r="AD41" s="49">
        <v>2.3309710697125801</v>
      </c>
      <c r="AE41" s="49">
        <v>0.19438434811739699</v>
      </c>
      <c r="AF41" s="49">
        <v>6.9006644971854003</v>
      </c>
      <c r="AG41" s="49">
        <v>5.3138707480420004</v>
      </c>
      <c r="AH41" s="49">
        <v>0.92874049128541603</v>
      </c>
      <c r="AI41" s="49">
        <v>2.8604256213641901</v>
      </c>
      <c r="AJ41" s="49">
        <v>2.2935909619737802</v>
      </c>
      <c r="AK41" s="49">
        <v>12.706118255307301</v>
      </c>
      <c r="AL41" s="50">
        <v>42.743987124885102</v>
      </c>
      <c r="AM41" s="50">
        <v>62.285561886935</v>
      </c>
      <c r="AN41" s="50">
        <v>47.812877427451603</v>
      </c>
      <c r="AO41" s="50">
        <v>19.442025369082899</v>
      </c>
      <c r="AP41" s="50">
        <v>-0.71682954948172795</v>
      </c>
      <c r="AQ41" s="50">
        <v>5.4861118428443517E-2</v>
      </c>
      <c r="AR41" s="54">
        <v>229.81577302654119</v>
      </c>
      <c r="AT41" s="16">
        <v>171.62248337730134</v>
      </c>
      <c r="AV41" s="36">
        <v>229.81577302654122</v>
      </c>
      <c r="AW41" s="52">
        <f t="shared" si="3"/>
        <v>0</v>
      </c>
      <c r="AY41" s="13">
        <v>115.64360126167099</v>
      </c>
      <c r="AZ41" s="53">
        <f t="shared" si="4"/>
        <v>0.50320132399404727</v>
      </c>
      <c r="BB41" s="13" t="s">
        <v>148</v>
      </c>
      <c r="BC41" s="13" t="s">
        <v>237</v>
      </c>
      <c r="BD41" s="13">
        <f t="shared" si="5"/>
        <v>8.7707225675986429</v>
      </c>
      <c r="BE41" s="13">
        <f t="shared" si="5"/>
        <v>13.318504639686829</v>
      </c>
      <c r="BF41" s="13">
        <f t="shared" si="5"/>
        <v>6.1719899549768229</v>
      </c>
      <c r="BG41" s="13">
        <f t="shared" si="5"/>
        <v>4.7102028603770494</v>
      </c>
      <c r="BH41" s="13">
        <f t="shared" si="5"/>
        <v>8.2834602027320514</v>
      </c>
      <c r="BI41" s="13">
        <f t="shared" si="5"/>
        <v>2.9235741891995475</v>
      </c>
      <c r="BJ41" s="13">
        <f t="shared" si="5"/>
        <v>13.480925427975691</v>
      </c>
      <c r="BK41" s="13">
        <f t="shared" si="5"/>
        <v>50.188023581258896</v>
      </c>
      <c r="BL41" s="13">
        <f t="shared" si="10"/>
        <v>7.7961978378654599</v>
      </c>
      <c r="BM41" s="13">
        <f t="shared" si="6"/>
        <v>115.64360126167099</v>
      </c>
      <c r="BO41" s="13" t="s">
        <v>148</v>
      </c>
      <c r="BP41" s="13" t="s">
        <v>147</v>
      </c>
      <c r="BQ41" s="13">
        <v>5400</v>
      </c>
      <c r="BR41" s="13">
        <v>8200</v>
      </c>
      <c r="BS41" s="13">
        <v>3800</v>
      </c>
      <c r="BT41" s="13">
        <v>2900</v>
      </c>
      <c r="BU41" s="13">
        <v>5100</v>
      </c>
      <c r="BV41" s="13">
        <v>1800</v>
      </c>
      <c r="BW41" s="13">
        <v>8300</v>
      </c>
      <c r="BX41" s="13">
        <v>30900</v>
      </c>
      <c r="BY41" s="13">
        <v>4800</v>
      </c>
      <c r="BZ41" s="13">
        <v>71200</v>
      </c>
      <c r="CB41" s="13" t="s">
        <v>148</v>
      </c>
      <c r="CC41" s="13" t="s">
        <v>147</v>
      </c>
      <c r="CD41" s="13">
        <f t="shared" si="7"/>
        <v>23.49708172283005</v>
      </c>
      <c r="CE41" s="13">
        <f t="shared" si="7"/>
        <v>35.680753727260445</v>
      </c>
      <c r="CF41" s="13">
        <f t="shared" si="7"/>
        <v>16.53498343458411</v>
      </c>
      <c r="CG41" s="13">
        <f t="shared" si="7"/>
        <v>12.618803147445767</v>
      </c>
      <c r="CH41" s="13">
        <f t="shared" si="9"/>
        <v>22.191688293783933</v>
      </c>
      <c r="CI41" s="13">
        <f t="shared" si="9"/>
        <v>7.8323605742766826</v>
      </c>
      <c r="CJ41" s="13">
        <f t="shared" si="9"/>
        <v>36.115884870275814</v>
      </c>
      <c r="CK41" s="13">
        <f t="shared" si="9"/>
        <v>134.45552319174973</v>
      </c>
      <c r="CL41" s="13">
        <f t="shared" si="9"/>
        <v>20.88629486473782</v>
      </c>
      <c r="CM41" s="13">
        <f t="shared" si="9"/>
        <v>309.81337382694437</v>
      </c>
      <c r="CO41" s="13">
        <v>34</v>
      </c>
      <c r="CP41" s="13" t="s">
        <v>207</v>
      </c>
      <c r="CQ41" s="13">
        <v>481.27813205409626</v>
      </c>
      <c r="CR41" s="13">
        <v>100.88186870018268</v>
      </c>
      <c r="CS41" s="13">
        <v>1.023467647276997</v>
      </c>
      <c r="CT41" s="13">
        <v>0</v>
      </c>
      <c r="CU41" s="13">
        <v>14.196489744049479</v>
      </c>
      <c r="CW41" s="13">
        <v>34</v>
      </c>
      <c r="CX41" s="13" t="s">
        <v>207</v>
      </c>
      <c r="CY41" s="53">
        <f t="shared" si="8"/>
        <v>2.0941910370900172</v>
      </c>
      <c r="CZ41" s="53">
        <f t="shared" si="2"/>
        <v>0.43896842837037098</v>
      </c>
      <c r="DA41" s="53">
        <f t="shared" si="2"/>
        <v>4.4534264719889253E-3</v>
      </c>
      <c r="DB41" s="53">
        <f t="shared" si="2"/>
        <v>0</v>
      </c>
      <c r="DC41" s="53">
        <f t="shared" si="2"/>
        <v>6.1773348091342453E-2</v>
      </c>
    </row>
    <row r="42" spans="1:107">
      <c r="A42" s="46"/>
      <c r="B42" s="42" t="s">
        <v>238</v>
      </c>
      <c r="C42" s="43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5"/>
      <c r="AT42" s="55"/>
    </row>
    <row r="43" spans="1:107">
      <c r="A43" s="46" t="s">
        <v>158</v>
      </c>
      <c r="B43" s="56" t="s">
        <v>81</v>
      </c>
      <c r="C43" s="57" t="s">
        <v>239</v>
      </c>
      <c r="D43" s="58">
        <v>60.938879584486898</v>
      </c>
      <c r="E43" s="58">
        <v>1.80236262993199E-2</v>
      </c>
      <c r="F43" s="58">
        <v>5.3344810755060399</v>
      </c>
      <c r="G43" s="58">
        <v>0.72748518689527697</v>
      </c>
      <c r="H43" s="58">
        <v>7.1025079717976503E-2</v>
      </c>
      <c r="I43" s="58">
        <v>1.2588238922284301E-3</v>
      </c>
      <c r="J43" s="58">
        <v>3.9153742989023197E-3</v>
      </c>
      <c r="K43" s="58">
        <v>1.3529272231142401E-2</v>
      </c>
      <c r="L43" s="58">
        <v>6.8313580270551498E-3</v>
      </c>
      <c r="M43" s="58">
        <v>2.5070697771120902E-3</v>
      </c>
      <c r="N43" s="58">
        <v>9.86355465902998E-3</v>
      </c>
      <c r="O43" s="58">
        <v>1.61868626010263E-3</v>
      </c>
      <c r="P43" s="58">
        <v>8.5538975896389501E-4</v>
      </c>
      <c r="Q43" s="58">
        <v>4.3080095228909598E-5</v>
      </c>
      <c r="R43" s="58">
        <v>4.5238011958759498E-4</v>
      </c>
      <c r="S43" s="58">
        <v>5.5481356677646704E-4</v>
      </c>
      <c r="T43" s="58">
        <v>1.6188368211271201E-3</v>
      </c>
      <c r="U43" s="58">
        <v>1.0544501031066401E-2</v>
      </c>
      <c r="V43" s="58">
        <v>1.8929419267956698E-5</v>
      </c>
      <c r="W43" s="58">
        <v>4.3007086578907699E-2</v>
      </c>
      <c r="X43" s="58">
        <v>7.5273550535079397E-3</v>
      </c>
      <c r="Y43" s="58">
        <v>0.576133656072638</v>
      </c>
      <c r="Z43" s="58">
        <v>1.01888271309738E-3</v>
      </c>
      <c r="AA43" s="58">
        <v>3.55763014522941E-6</v>
      </c>
      <c r="AB43" s="58">
        <v>2.98132011967543E-4</v>
      </c>
      <c r="AC43" s="58">
        <v>2.3713858791140201E-4</v>
      </c>
      <c r="AD43" s="58">
        <v>4.2181148095744798E-4</v>
      </c>
      <c r="AE43" s="58">
        <v>4.0112697753595401E-4</v>
      </c>
      <c r="AF43" s="58">
        <v>1.11167453631672E-2</v>
      </c>
      <c r="AG43" s="58">
        <v>1.25552617849258E-2</v>
      </c>
      <c r="AH43" s="58">
        <v>0.86164253273165103</v>
      </c>
      <c r="AI43" s="58">
        <v>0.52729682328854899</v>
      </c>
      <c r="AJ43" s="58">
        <v>0.59316432690699405</v>
      </c>
      <c r="AK43" s="58">
        <v>3.4314360522734E-3</v>
      </c>
      <c r="AL43" s="59">
        <v>48.913088734742502</v>
      </c>
      <c r="AM43" s="59">
        <v>4.37890904316127E-3</v>
      </c>
      <c r="AN43" s="59">
        <v>0.57688473777015903</v>
      </c>
      <c r="AO43" s="59">
        <v>0.35881036428253199</v>
      </c>
      <c r="AP43" s="59">
        <v>-0.20389795565211299</v>
      </c>
      <c r="AQ43" s="60">
        <v>0</v>
      </c>
      <c r="AR43" s="45">
        <v>119.43102728628357</v>
      </c>
    </row>
    <row r="44" spans="1:107">
      <c r="A44" s="46" t="s">
        <v>159</v>
      </c>
      <c r="B44" s="56" t="s">
        <v>83</v>
      </c>
      <c r="C44" s="57" t="s">
        <v>240</v>
      </c>
      <c r="D44" s="58">
        <v>7.0545245406118298E-2</v>
      </c>
      <c r="E44" s="58">
        <v>3.0045419650021001</v>
      </c>
      <c r="F44" s="58">
        <v>1.44569910085714</v>
      </c>
      <c r="G44" s="58">
        <v>0.18514316283709201</v>
      </c>
      <c r="H44" s="58">
        <v>2.25906863879521E-2</v>
      </c>
      <c r="I44" s="58">
        <v>4.7802419887881696E-3</v>
      </c>
      <c r="J44" s="58">
        <v>1.7934582426809901E-2</v>
      </c>
      <c r="K44" s="58">
        <v>6.6451642898403396</v>
      </c>
      <c r="L44" s="58">
        <v>2.9711615744470601</v>
      </c>
      <c r="M44" s="58">
        <v>1.16751529324741</v>
      </c>
      <c r="N44" s="58">
        <v>4.3228844568040001</v>
      </c>
      <c r="O44" s="58">
        <v>2.3393030247945199</v>
      </c>
      <c r="P44" s="58">
        <v>0.46213002433111999</v>
      </c>
      <c r="Q44" s="58">
        <v>0.106595771853082</v>
      </c>
      <c r="R44" s="58">
        <v>0.28500977551162099</v>
      </c>
      <c r="S44" s="58">
        <v>0.58282070524214402</v>
      </c>
      <c r="T44" s="58">
        <v>12.167512996824801</v>
      </c>
      <c r="U44" s="58">
        <v>8.5279803172975601</v>
      </c>
      <c r="V44" s="58">
        <v>0.130997335357977</v>
      </c>
      <c r="W44" s="58">
        <v>6.4575868994637201E-2</v>
      </c>
      <c r="X44" s="58">
        <v>0.33750201854782902</v>
      </c>
      <c r="Y44" s="58">
        <v>0.119391233655081</v>
      </c>
      <c r="Z44" s="58">
        <v>0.47034030729484999</v>
      </c>
      <c r="AA44" s="58">
        <v>3.6976877119200401E-3</v>
      </c>
      <c r="AB44" s="58">
        <v>2.2794090441375599E-2</v>
      </c>
      <c r="AC44" s="58">
        <v>0.14330993557303101</v>
      </c>
      <c r="AD44" s="58">
        <v>0.24173084584847901</v>
      </c>
      <c r="AE44" s="58">
        <v>3.8667494131464498E-3</v>
      </c>
      <c r="AF44" s="58">
        <v>7.42719610062644E-3</v>
      </c>
      <c r="AG44" s="58">
        <v>2.5829040232651899E-2</v>
      </c>
      <c r="AH44" s="58">
        <v>0.99469064443488397</v>
      </c>
      <c r="AI44" s="58">
        <v>5.1899031858250204</v>
      </c>
      <c r="AJ44" s="58">
        <v>3.45078198651598E-2</v>
      </c>
      <c r="AK44" s="58">
        <v>9.1667429411632501E-2</v>
      </c>
      <c r="AL44" s="59">
        <v>14.7149751341172</v>
      </c>
      <c r="AM44" s="59">
        <v>0</v>
      </c>
      <c r="AN44" s="59">
        <v>0</v>
      </c>
      <c r="AO44" s="59">
        <v>1.7279154985954801</v>
      </c>
      <c r="AP44" s="59">
        <v>-0.36761707647893899</v>
      </c>
      <c r="AQ44" s="60">
        <v>0</v>
      </c>
      <c r="AR44" s="45">
        <v>68.286818160041705</v>
      </c>
    </row>
    <row r="45" spans="1:107">
      <c r="A45" s="46" t="s">
        <v>160</v>
      </c>
      <c r="B45" s="56" t="s">
        <v>85</v>
      </c>
      <c r="C45" s="57" t="s">
        <v>241</v>
      </c>
      <c r="D45" s="58">
        <v>6.9162991338058797</v>
      </c>
      <c r="E45" s="58">
        <v>0.19800903920648</v>
      </c>
      <c r="F45" s="58">
        <v>56.188709609593403</v>
      </c>
      <c r="G45" s="58">
        <v>0.83717189327155195</v>
      </c>
      <c r="H45" s="58">
        <v>8.7920242015719199E-2</v>
      </c>
      <c r="I45" s="58">
        <v>1.0834215218048101E-3</v>
      </c>
      <c r="J45" s="58">
        <v>2.5293226837206001E-2</v>
      </c>
      <c r="K45" s="58">
        <v>2.3951315765130601</v>
      </c>
      <c r="L45" s="58">
        <v>1.0907266508109199</v>
      </c>
      <c r="M45" s="58">
        <v>0.48068186618196401</v>
      </c>
      <c r="N45" s="58">
        <v>1.7785157476220199</v>
      </c>
      <c r="O45" s="58">
        <v>0.43101277900623203</v>
      </c>
      <c r="P45" s="58">
        <v>3.6839823195079402E-3</v>
      </c>
      <c r="Q45" s="58">
        <v>6.1602376815219197E-4</v>
      </c>
      <c r="R45" s="58">
        <v>2.0182907009440201E-3</v>
      </c>
      <c r="S45" s="58">
        <v>5.6098383799394998E-3</v>
      </c>
      <c r="T45" s="58">
        <v>1.3860223912513601</v>
      </c>
      <c r="U45" s="58">
        <v>41.378002150510397</v>
      </c>
      <c r="V45" s="58">
        <v>4.8592444234193503E-3</v>
      </c>
      <c r="W45" s="58">
        <v>4.9695403918245002</v>
      </c>
      <c r="X45" s="58">
        <v>61.198632348242597</v>
      </c>
      <c r="Y45" s="58">
        <v>23.093043029325301</v>
      </c>
      <c r="Z45" s="58">
        <v>3.8522758058441302</v>
      </c>
      <c r="AA45" s="58">
        <v>2.9277262175689399E-2</v>
      </c>
      <c r="AB45" s="58">
        <v>0.14687731668582801</v>
      </c>
      <c r="AC45" s="58">
        <v>1.1619018794545</v>
      </c>
      <c r="AD45" s="58">
        <v>3.7005282567034699</v>
      </c>
      <c r="AE45" s="58">
        <v>0.72774145206484697</v>
      </c>
      <c r="AF45" s="58">
        <v>5.3334783160307504</v>
      </c>
      <c r="AG45" s="58">
        <v>4.0964553260958896</v>
      </c>
      <c r="AH45" s="58">
        <v>19.721813943868899</v>
      </c>
      <c r="AI45" s="58">
        <v>9.4934315795392408</v>
      </c>
      <c r="AJ45" s="58">
        <v>5.1745402619151797</v>
      </c>
      <c r="AK45" s="58">
        <v>2.1674679003832402</v>
      </c>
      <c r="AL45" s="59">
        <v>308.37234775789199</v>
      </c>
      <c r="AM45" s="59">
        <v>0.59913565103938005</v>
      </c>
      <c r="AN45" s="59">
        <v>1.0641028151975899E-3</v>
      </c>
      <c r="AO45" s="59">
        <v>20.790934043202199</v>
      </c>
      <c r="AP45" s="59">
        <v>22.042097612319999</v>
      </c>
      <c r="AQ45" s="60">
        <v>0</v>
      </c>
      <c r="AR45" s="45">
        <v>609.88395134516304</v>
      </c>
    </row>
    <row r="46" spans="1:107">
      <c r="A46" s="46" t="s">
        <v>161</v>
      </c>
      <c r="B46" s="56" t="s">
        <v>87</v>
      </c>
      <c r="C46" s="57" t="s">
        <v>242</v>
      </c>
      <c r="D46" s="58">
        <v>5.3895607807006203E-3</v>
      </c>
      <c r="E46" s="58">
        <v>0.10462490163534501</v>
      </c>
      <c r="F46" s="58">
        <v>0.81626802633915596</v>
      </c>
      <c r="G46" s="58">
        <v>7.7906692311340198</v>
      </c>
      <c r="H46" s="58">
        <v>0.88433189350072094</v>
      </c>
      <c r="I46" s="58">
        <v>1.6572442393116699E-2</v>
      </c>
      <c r="J46" s="58">
        <v>0.222386798995138</v>
      </c>
      <c r="K46" s="58">
        <v>2.3143822956107498</v>
      </c>
      <c r="L46" s="58">
        <v>1.0530330248609401</v>
      </c>
      <c r="M46" s="58">
        <v>0.187707442446785</v>
      </c>
      <c r="N46" s="58">
        <v>0.69428367212822995</v>
      </c>
      <c r="O46" s="58">
        <v>0.21125637867205099</v>
      </c>
      <c r="P46" s="58">
        <v>0.21863518070381099</v>
      </c>
      <c r="Q46" s="58">
        <v>4.8819723248672203E-2</v>
      </c>
      <c r="R46" s="58">
        <v>0.12753747962530201</v>
      </c>
      <c r="S46" s="58">
        <v>0.761375147070247</v>
      </c>
      <c r="T46" s="58">
        <v>0.366482773936951</v>
      </c>
      <c r="U46" s="58">
        <v>7.6604680272355202E-2</v>
      </c>
      <c r="V46" s="58">
        <v>1.2848860789383E-2</v>
      </c>
      <c r="W46" s="58">
        <v>8.5472125185594799E-2</v>
      </c>
      <c r="X46" s="58">
        <v>0.817703325031362</v>
      </c>
      <c r="Y46" s="58">
        <v>3.0067484471962098</v>
      </c>
      <c r="Z46" s="58">
        <v>0.26255323051806301</v>
      </c>
      <c r="AA46" s="58">
        <v>2.0599905150562601E-3</v>
      </c>
      <c r="AB46" s="58">
        <v>1.0426805876106801E-2</v>
      </c>
      <c r="AC46" s="58">
        <v>7.9252655749425804E-2</v>
      </c>
      <c r="AD46" s="58">
        <v>0.19673825843429801</v>
      </c>
      <c r="AE46" s="58">
        <v>1.00887149817662E-2</v>
      </c>
      <c r="AF46" s="58">
        <v>0.12954635439895501</v>
      </c>
      <c r="AG46" s="58">
        <v>0.110167629052664</v>
      </c>
      <c r="AH46" s="58">
        <v>2.33972601614219</v>
      </c>
      <c r="AI46" s="58">
        <v>1.1673992064133301</v>
      </c>
      <c r="AJ46" s="58">
        <v>1.40910523617892</v>
      </c>
      <c r="AK46" s="58">
        <v>1.17241320745033</v>
      </c>
      <c r="AL46" s="59">
        <v>254.30547127351099</v>
      </c>
      <c r="AM46" s="59">
        <v>1.32288939714303</v>
      </c>
      <c r="AN46" s="59">
        <v>1.6842424913515E-5</v>
      </c>
      <c r="AO46" s="59">
        <v>0.27766700395921301</v>
      </c>
      <c r="AP46" s="59">
        <v>4.5957305903480803</v>
      </c>
      <c r="AQ46" s="60">
        <v>0</v>
      </c>
      <c r="AR46" s="45">
        <v>287.21438582465419</v>
      </c>
    </row>
    <row r="47" spans="1:107">
      <c r="A47" s="46">
        <v>19</v>
      </c>
      <c r="B47" s="56" t="s">
        <v>89</v>
      </c>
      <c r="C47" s="57" t="s">
        <v>243</v>
      </c>
      <c r="D47" s="58">
        <v>5.2283402401078101E-4</v>
      </c>
      <c r="E47" s="58">
        <v>1.1153684774099899E-2</v>
      </c>
      <c r="F47" s="58">
        <v>8.1925912716328098E-2</v>
      </c>
      <c r="G47" s="58">
        <v>0.87280280024249102</v>
      </c>
      <c r="H47" s="58">
        <v>9.2411012578108506E-2</v>
      </c>
      <c r="I47" s="58">
        <v>1.7026540672084799E-3</v>
      </c>
      <c r="J47" s="58">
        <v>2.2912021595436999E-2</v>
      </c>
      <c r="K47" s="58">
        <v>0.236233583875847</v>
      </c>
      <c r="L47" s="58">
        <v>0.10740541761153199</v>
      </c>
      <c r="M47" s="58">
        <v>1.9027308343128199E-2</v>
      </c>
      <c r="N47" s="58">
        <v>7.03876769480897E-2</v>
      </c>
      <c r="O47" s="58">
        <v>2.11781107383547E-2</v>
      </c>
      <c r="P47" s="58">
        <v>2.19825106513452E-2</v>
      </c>
      <c r="Q47" s="58">
        <v>4.9072824825461001E-3</v>
      </c>
      <c r="R47" s="58">
        <v>1.28114904833295E-2</v>
      </c>
      <c r="S47" s="58">
        <v>7.7263137028920695E-2</v>
      </c>
      <c r="T47" s="58">
        <v>3.7268365051070299E-2</v>
      </c>
      <c r="U47" s="58">
        <v>7.77711015212701E-3</v>
      </c>
      <c r="V47" s="58">
        <v>1.3242177267493E-3</v>
      </c>
      <c r="W47" s="58">
        <v>8.5515048230397697E-3</v>
      </c>
      <c r="X47" s="58">
        <v>8.4180146595626407E-2</v>
      </c>
      <c r="Y47" s="58">
        <v>0.30923031610174601</v>
      </c>
      <c r="Z47" s="58">
        <v>2.7051656759436601E-2</v>
      </c>
      <c r="AA47" s="58">
        <v>2.10865482435915E-4</v>
      </c>
      <c r="AB47" s="58">
        <v>1.0637633490663499E-3</v>
      </c>
      <c r="AC47" s="58">
        <v>8.1621772610585008E-3</v>
      </c>
      <c r="AD47" s="58">
        <v>1.94918487152154E-2</v>
      </c>
      <c r="AE47" s="58">
        <v>1.07883021410038E-3</v>
      </c>
      <c r="AF47" s="58">
        <v>1.2798698141148699E-2</v>
      </c>
      <c r="AG47" s="58">
        <v>1.1206366756168699E-2</v>
      </c>
      <c r="AH47" s="58">
        <v>0.24789766676272301</v>
      </c>
      <c r="AI47" s="58">
        <v>0.120439051734661</v>
      </c>
      <c r="AJ47" s="58">
        <v>0.146172620598366</v>
      </c>
      <c r="AK47" s="58">
        <v>0.12265496329033</v>
      </c>
      <c r="AL47" s="59">
        <v>26.0871365090381</v>
      </c>
      <c r="AM47" s="59">
        <v>0.13452847758659101</v>
      </c>
      <c r="AN47" s="59">
        <v>0</v>
      </c>
      <c r="AO47" s="59">
        <v>2.9728048628567701E-2</v>
      </c>
      <c r="AP47" s="59">
        <v>0.48046309071740101</v>
      </c>
      <c r="AQ47" s="60">
        <v>0</v>
      </c>
      <c r="AR47" s="45">
        <v>29.553043733646504</v>
      </c>
    </row>
    <row r="48" spans="1:107">
      <c r="A48" s="46">
        <v>20</v>
      </c>
      <c r="B48" s="56" t="s">
        <v>91</v>
      </c>
      <c r="C48" s="57" t="s">
        <v>244</v>
      </c>
      <c r="D48" s="58">
        <v>7.00398768854289E-3</v>
      </c>
      <c r="E48" s="58">
        <v>4.2120428277879998E-2</v>
      </c>
      <c r="F48" s="58">
        <v>0.33598000785662302</v>
      </c>
      <c r="G48" s="58">
        <v>4.4766067667222796E-3</v>
      </c>
      <c r="H48" s="58">
        <v>7.2913282279356598E-4</v>
      </c>
      <c r="I48" s="58">
        <v>0.20602999980918801</v>
      </c>
      <c r="J48" s="58">
        <v>1.70306812646531</v>
      </c>
      <c r="K48" s="58">
        <v>0.14524904606245001</v>
      </c>
      <c r="L48" s="58">
        <v>6.6829643510281103E-2</v>
      </c>
      <c r="M48" s="58">
        <v>0.14915860179333701</v>
      </c>
      <c r="N48" s="58">
        <v>0.55198341535732598</v>
      </c>
      <c r="O48" s="58">
        <v>0.315614039937687</v>
      </c>
      <c r="P48" s="58">
        <v>5.8035032517416901E-2</v>
      </c>
      <c r="Q48" s="58">
        <v>1.31110191717246E-2</v>
      </c>
      <c r="R48" s="58">
        <v>3.3450846140533903E-2</v>
      </c>
      <c r="S48" s="58">
        <v>1.0271339400549899</v>
      </c>
      <c r="T48" s="58">
        <v>0.204274541254446</v>
      </c>
      <c r="U48" s="58">
        <v>4.2487004239646096</v>
      </c>
      <c r="V48" s="58">
        <v>1.82084254431207E-2</v>
      </c>
      <c r="W48" s="58">
        <v>0.61879751783542503</v>
      </c>
      <c r="X48" s="58">
        <v>0.97278907618611998</v>
      </c>
      <c r="Y48" s="58">
        <v>0.72958362464816795</v>
      </c>
      <c r="Z48" s="58">
        <v>0.110715076036313</v>
      </c>
      <c r="AA48" s="58">
        <v>1.00744277846732E-3</v>
      </c>
      <c r="AB48" s="58">
        <v>5.30846117240431E-3</v>
      </c>
      <c r="AC48" s="58">
        <v>3.3499452419236901E-2</v>
      </c>
      <c r="AD48" s="58">
        <v>0.13402488619104799</v>
      </c>
      <c r="AE48" s="58">
        <v>1.34238013654333E-3</v>
      </c>
      <c r="AF48" s="58">
        <v>9.0610770675223704E-2</v>
      </c>
      <c r="AG48" s="58">
        <v>6.8398852640976796E-2</v>
      </c>
      <c r="AH48" s="58">
        <v>0.308110066520693</v>
      </c>
      <c r="AI48" s="58">
        <v>0.290185893015177</v>
      </c>
      <c r="AJ48" s="58">
        <v>2.7560673634492001E-2</v>
      </c>
      <c r="AK48" s="58">
        <v>0.55138218846797904</v>
      </c>
      <c r="AL48" s="59">
        <v>25.697847992820101</v>
      </c>
      <c r="AM48" s="59">
        <v>5.1730990825925704E-3</v>
      </c>
      <c r="AN48" s="59">
        <v>1.87938659056941E-5</v>
      </c>
      <c r="AO48" s="59">
        <v>9.3162255830466695E-2</v>
      </c>
      <c r="AP48" s="59">
        <v>0.177221950433463</v>
      </c>
      <c r="AQ48" s="60">
        <v>0</v>
      </c>
      <c r="AR48" s="45">
        <v>39.047897719285771</v>
      </c>
    </row>
    <row r="49" spans="1:44">
      <c r="A49" s="46" t="s">
        <v>162</v>
      </c>
      <c r="B49" s="56" t="s">
        <v>93</v>
      </c>
      <c r="C49" s="57" t="s">
        <v>245</v>
      </c>
      <c r="D49" s="58">
        <v>5.1278094567215299E-2</v>
      </c>
      <c r="E49" s="58">
        <v>0.48415683098975698</v>
      </c>
      <c r="F49" s="58">
        <v>1.9733795574021999</v>
      </c>
      <c r="G49" s="58">
        <v>0.11597422608524199</v>
      </c>
      <c r="H49" s="58">
        <v>1.2254068703475099E-2</v>
      </c>
      <c r="I49" s="58">
        <v>1.0033502411630599</v>
      </c>
      <c r="J49" s="58">
        <v>6.20923390583435</v>
      </c>
      <c r="K49" s="58">
        <v>0.801062260258947</v>
      </c>
      <c r="L49" s="58">
        <v>0.36743824777265</v>
      </c>
      <c r="M49" s="58">
        <v>0.58873760593082103</v>
      </c>
      <c r="N49" s="58">
        <v>2.1772880483007802</v>
      </c>
      <c r="O49" s="58">
        <v>1.6805065609118901</v>
      </c>
      <c r="P49" s="58">
        <v>0.35888826564398302</v>
      </c>
      <c r="Q49" s="58">
        <v>8.0513408683365206E-2</v>
      </c>
      <c r="R49" s="58">
        <v>0.20710313277794001</v>
      </c>
      <c r="S49" s="58">
        <v>3.5881159086657699</v>
      </c>
      <c r="T49" s="58">
        <v>1.4380089469745101</v>
      </c>
      <c r="U49" s="58">
        <v>14.8330965364515</v>
      </c>
      <c r="V49" s="58">
        <v>0.107562323026239</v>
      </c>
      <c r="W49" s="58">
        <v>2.6594433822817298</v>
      </c>
      <c r="X49" s="58">
        <v>8.22862918867731</v>
      </c>
      <c r="Y49" s="58">
        <v>3.5541324900334499</v>
      </c>
      <c r="Z49" s="58">
        <v>0.44966070920685902</v>
      </c>
      <c r="AA49" s="58">
        <v>4.03846477410791E-3</v>
      </c>
      <c r="AB49" s="58">
        <v>2.12552886403863E-2</v>
      </c>
      <c r="AC49" s="58">
        <v>0.136109915991938</v>
      </c>
      <c r="AD49" s="58">
        <v>0.64460319955855605</v>
      </c>
      <c r="AE49" s="58">
        <v>0.67767378388423904</v>
      </c>
      <c r="AF49" s="58">
        <v>0.37142766924583598</v>
      </c>
      <c r="AG49" s="58">
        <v>0.27957567116415</v>
      </c>
      <c r="AH49" s="58">
        <v>2.27529390084135</v>
      </c>
      <c r="AI49" s="58">
        <v>3.4889588970735299</v>
      </c>
      <c r="AJ49" s="58">
        <v>0.52175428294898396</v>
      </c>
      <c r="AK49" s="58">
        <v>2.7903200647234501</v>
      </c>
      <c r="AL49" s="59">
        <v>91.583483330573898</v>
      </c>
      <c r="AM49" s="59">
        <v>2.5114568313345801E-2</v>
      </c>
      <c r="AN49" s="59">
        <v>1.2397479498569699</v>
      </c>
      <c r="AO49" s="59">
        <v>0.31874170939575502</v>
      </c>
      <c r="AP49" s="59">
        <v>1.64064300918163</v>
      </c>
      <c r="AQ49" s="60">
        <v>0</v>
      </c>
      <c r="AR49" s="45">
        <v>156.98855564651114</v>
      </c>
    </row>
    <row r="50" spans="1:44">
      <c r="A50" s="46">
        <v>23</v>
      </c>
      <c r="B50" s="56" t="s">
        <v>95</v>
      </c>
      <c r="C50" s="57" t="s">
        <v>246</v>
      </c>
      <c r="D50" s="58">
        <v>21.875088431175701</v>
      </c>
      <c r="E50" s="58">
        <v>9.7736940364180995</v>
      </c>
      <c r="F50" s="58">
        <v>2.17869667072716</v>
      </c>
      <c r="G50" s="58">
        <v>1.13051895962678</v>
      </c>
      <c r="H50" s="58">
        <v>0.12135729171915199</v>
      </c>
      <c r="I50" s="58">
        <v>0.106323137450986</v>
      </c>
      <c r="J50" s="58">
        <v>1.71419096302058</v>
      </c>
      <c r="K50" s="58">
        <v>3.7239465503247602</v>
      </c>
      <c r="L50" s="58">
        <v>1.8883986225837299</v>
      </c>
      <c r="M50" s="58">
        <v>0.42194129472779301</v>
      </c>
      <c r="N50" s="58">
        <v>1.56076309926402</v>
      </c>
      <c r="O50" s="58">
        <v>5.1659035303359397</v>
      </c>
      <c r="P50" s="58">
        <v>0.849519633956761</v>
      </c>
      <c r="Q50" s="58">
        <v>0.19233708773062999</v>
      </c>
      <c r="R50" s="58">
        <v>0.48681071288001498</v>
      </c>
      <c r="S50" s="58">
        <v>0.189321553725039</v>
      </c>
      <c r="T50" s="58">
        <v>15.288785168055201</v>
      </c>
      <c r="U50" s="58">
        <v>87.369735690875601</v>
      </c>
      <c r="V50" s="58">
        <v>1.3578785157647799</v>
      </c>
      <c r="W50" s="58">
        <v>9.5813029441775406</v>
      </c>
      <c r="X50" s="58">
        <v>75.332519087657701</v>
      </c>
      <c r="Y50" s="58">
        <v>0.16580828637931999</v>
      </c>
      <c r="Z50" s="58">
        <v>57.051364931318197</v>
      </c>
      <c r="AA50" s="58">
        <v>0.42395442881487999</v>
      </c>
      <c r="AB50" s="58">
        <v>2.2483496913400902</v>
      </c>
      <c r="AC50" s="58">
        <v>16.9495963130375</v>
      </c>
      <c r="AD50" s="58">
        <v>23.1043544238807</v>
      </c>
      <c r="AE50" s="58">
        <v>0.77848956410693704</v>
      </c>
      <c r="AF50" s="58">
        <v>4.4076636154330302</v>
      </c>
      <c r="AG50" s="58">
        <v>2.9506241479530599</v>
      </c>
      <c r="AH50" s="58">
        <v>6.6561461178095396</v>
      </c>
      <c r="AI50" s="58">
        <v>0.48031853888977799</v>
      </c>
      <c r="AJ50" s="58">
        <v>4.2314042124278597</v>
      </c>
      <c r="AK50" s="58">
        <v>1.8445858013496701</v>
      </c>
      <c r="AL50" s="59">
        <v>341.13731401454902</v>
      </c>
      <c r="AM50" s="59">
        <v>7.8805750466143802</v>
      </c>
      <c r="AN50" s="59">
        <v>3.3132671805104E-3</v>
      </c>
      <c r="AO50" s="59">
        <v>80.983696791274795</v>
      </c>
      <c r="AP50" s="59">
        <v>43.0470404794671</v>
      </c>
      <c r="AQ50" s="60">
        <v>0</v>
      </c>
      <c r="AR50" s="45">
        <v>834.65363265402436</v>
      </c>
    </row>
    <row r="51" spans="1:44">
      <c r="A51" s="46">
        <v>24</v>
      </c>
      <c r="B51" s="56" t="s">
        <v>97</v>
      </c>
      <c r="C51" s="57" t="s">
        <v>247</v>
      </c>
      <c r="D51" s="58">
        <v>9.8386638225838094</v>
      </c>
      <c r="E51" s="58">
        <v>4.0388283605702098</v>
      </c>
      <c r="F51" s="58">
        <v>0.89509344111899802</v>
      </c>
      <c r="G51" s="58">
        <v>0.48469985169575702</v>
      </c>
      <c r="H51" s="58">
        <v>5.1435518105789002E-2</v>
      </c>
      <c r="I51" s="58">
        <v>4.1605128446655301E-2</v>
      </c>
      <c r="J51" s="58">
        <v>0.71133879262806898</v>
      </c>
      <c r="K51" s="58">
        <v>1.7535785052470101</v>
      </c>
      <c r="L51" s="58">
        <v>0.80242455848860905</v>
      </c>
      <c r="M51" s="58">
        <v>0.178929856485532</v>
      </c>
      <c r="N51" s="58">
        <v>0.66168955262011098</v>
      </c>
      <c r="O51" s="58">
        <v>2.0270473278127299</v>
      </c>
      <c r="P51" s="58">
        <v>0.334907190080587</v>
      </c>
      <c r="Q51" s="58">
        <v>7.5279510637622907E-2</v>
      </c>
      <c r="R51" s="58">
        <v>0.18719675185037701</v>
      </c>
      <c r="S51" s="58">
        <v>8.4394016897578306E-2</v>
      </c>
      <c r="T51" s="58">
        <v>6.3507405869374196</v>
      </c>
      <c r="U51" s="58">
        <v>33.707781579851599</v>
      </c>
      <c r="V51" s="58">
        <v>0.62124643321529005</v>
      </c>
      <c r="W51" s="58">
        <v>4.1524452596728496</v>
      </c>
      <c r="X51" s="58">
        <v>32.1616268401932</v>
      </c>
      <c r="Y51" s="58">
        <v>6.4204733786326906E-2</v>
      </c>
      <c r="Z51" s="58">
        <v>20.1245137287397</v>
      </c>
      <c r="AA51" s="58">
        <v>0.198517697956378</v>
      </c>
      <c r="AB51" s="58">
        <v>1.03193073746631</v>
      </c>
      <c r="AC51" s="58">
        <v>5.8320278712393998</v>
      </c>
      <c r="AD51" s="58">
        <v>9.5628859431131996</v>
      </c>
      <c r="AE51" s="58">
        <v>0.33745618488822898</v>
      </c>
      <c r="AF51" s="58">
        <v>1.9206432271917799</v>
      </c>
      <c r="AG51" s="58">
        <v>1.1872561298523701</v>
      </c>
      <c r="AH51" s="58">
        <v>2.3867819843029099</v>
      </c>
      <c r="AI51" s="58">
        <v>0.136728821390494</v>
      </c>
      <c r="AJ51" s="58">
        <v>1.47500754295165</v>
      </c>
      <c r="AK51" s="58">
        <v>0.68377142347523001</v>
      </c>
      <c r="AL51" s="59">
        <v>133.68858418513199</v>
      </c>
      <c r="AM51" s="59">
        <v>3.0396285181861602</v>
      </c>
      <c r="AN51" s="59">
        <v>1.22766060402803E-6</v>
      </c>
      <c r="AO51" s="59">
        <v>39.229019780450201</v>
      </c>
      <c r="AP51" s="59">
        <v>20.656521908143301</v>
      </c>
      <c r="AQ51" s="60">
        <v>0</v>
      </c>
      <c r="AR51" s="45">
        <v>340.71643453106606</v>
      </c>
    </row>
    <row r="52" spans="1:44">
      <c r="A52" s="46">
        <v>25</v>
      </c>
      <c r="B52" s="56" t="s">
        <v>99</v>
      </c>
      <c r="C52" s="57" t="s">
        <v>248</v>
      </c>
      <c r="D52" s="58">
        <v>7.9545698904469803E-2</v>
      </c>
      <c r="E52" s="58">
        <v>1.0703202701384499E-2</v>
      </c>
      <c r="F52" s="58">
        <v>0.71305142272559097</v>
      </c>
      <c r="G52" s="58">
        <v>2.38835685644973E-2</v>
      </c>
      <c r="H52" s="58">
        <v>2.5461807854394399E-3</v>
      </c>
      <c r="I52" s="58">
        <v>1.2594729251349799E-4</v>
      </c>
      <c r="J52" s="58">
        <v>2.9023950003410001E-3</v>
      </c>
      <c r="K52" s="58">
        <v>1.18970325753541E-2</v>
      </c>
      <c r="L52" s="58">
        <v>5.4773872407189996E-3</v>
      </c>
      <c r="M52" s="58">
        <v>1.5875141941408499</v>
      </c>
      <c r="N52" s="58">
        <v>5.87041122420049</v>
      </c>
      <c r="O52" s="58">
        <v>1.15231655895719E-2</v>
      </c>
      <c r="P52" s="58">
        <v>3.7624941570135899E-2</v>
      </c>
      <c r="Q52" s="58">
        <v>8.63605624095686E-3</v>
      </c>
      <c r="R52" s="58">
        <v>2.1433397210866501E-2</v>
      </c>
      <c r="S52" s="58">
        <v>8.5944687486742208E-3</v>
      </c>
      <c r="T52" s="58">
        <v>0.57011827979660601</v>
      </c>
      <c r="U52" s="58">
        <v>22.3080863545207</v>
      </c>
      <c r="V52" s="58">
        <v>1.5316579705549401E-4</v>
      </c>
      <c r="W52" s="58">
        <v>0.92061669090218001</v>
      </c>
      <c r="X52" s="58">
        <v>3.9659857899238702</v>
      </c>
      <c r="Y52" s="58">
        <v>0.35498155974643603</v>
      </c>
      <c r="Z52" s="58">
        <v>0.98193418481694295</v>
      </c>
      <c r="AA52" s="58">
        <v>8.7392170596385498E-3</v>
      </c>
      <c r="AB52" s="58">
        <v>4.5740219453794598E-2</v>
      </c>
      <c r="AC52" s="58">
        <v>0.29696787623626097</v>
      </c>
      <c r="AD52" s="58">
        <v>0.58863696736335902</v>
      </c>
      <c r="AE52" s="58">
        <v>1.74633528111617E-3</v>
      </c>
      <c r="AF52" s="58">
        <v>0.64227442094960796</v>
      </c>
      <c r="AG52" s="58">
        <v>0.40982128158101899</v>
      </c>
      <c r="AH52" s="58">
        <v>2.9997494598576101E-2</v>
      </c>
      <c r="AI52" s="58">
        <v>5.5147747876389298E-2</v>
      </c>
      <c r="AJ52" s="58">
        <v>6.39893867768704E-3</v>
      </c>
      <c r="AK52" s="58">
        <v>7.3559232155212095E-2</v>
      </c>
      <c r="AL52" s="59">
        <v>10.729341865235501</v>
      </c>
      <c r="AM52" s="59">
        <v>1.16700615182843E-2</v>
      </c>
      <c r="AN52" s="59">
        <v>1.2629474003222801E-7</v>
      </c>
      <c r="AO52" s="59">
        <v>3.3659439144174401</v>
      </c>
      <c r="AP52" s="59">
        <v>1.7706849785040599</v>
      </c>
      <c r="AQ52" s="60">
        <v>0</v>
      </c>
      <c r="AR52" s="45">
        <v>55.53441698619833</v>
      </c>
    </row>
    <row r="53" spans="1:44">
      <c r="A53" s="46">
        <v>26</v>
      </c>
      <c r="B53" s="56" t="s">
        <v>101</v>
      </c>
      <c r="C53" s="57" t="s">
        <v>249</v>
      </c>
      <c r="D53" s="58">
        <v>0.27978904897897</v>
      </c>
      <c r="E53" s="58">
        <v>3.3030972652025599E-2</v>
      </c>
      <c r="F53" s="58">
        <v>2.3407297057742502</v>
      </c>
      <c r="G53" s="58">
        <v>7.8459810978352806E-2</v>
      </c>
      <c r="H53" s="58">
        <v>8.2918090959691708E-3</v>
      </c>
      <c r="I53" s="58">
        <v>8.4085792942304404E-4</v>
      </c>
      <c r="J53" s="58">
        <v>9.2871192666154605E-3</v>
      </c>
      <c r="K53" s="58">
        <v>3.9475288547592698E-2</v>
      </c>
      <c r="L53" s="58">
        <v>1.81161607017679E-2</v>
      </c>
      <c r="M53" s="58">
        <v>4.3590670972050498</v>
      </c>
      <c r="N53" s="58">
        <v>17.7415876146503</v>
      </c>
      <c r="O53" s="58">
        <v>3.6497431351550397E-2</v>
      </c>
      <c r="P53" s="58">
        <v>0.11740981136849001</v>
      </c>
      <c r="Q53" s="58">
        <v>2.63692829343159E-2</v>
      </c>
      <c r="R53" s="58">
        <v>6.6028517266270306E-2</v>
      </c>
      <c r="S53" s="58">
        <v>2.8098848944698801E-2</v>
      </c>
      <c r="T53" s="58">
        <v>1.73408786319292</v>
      </c>
      <c r="U53" s="58">
        <v>63.002520874548303</v>
      </c>
      <c r="V53" s="58">
        <v>4.3261961293284399E-4</v>
      </c>
      <c r="W53" s="58">
        <v>2.8561634672751501</v>
      </c>
      <c r="X53" s="58">
        <v>12.3473068868631</v>
      </c>
      <c r="Y53" s="58">
        <v>1.0888447336626701</v>
      </c>
      <c r="Z53" s="58">
        <v>3.03509176932462</v>
      </c>
      <c r="AA53" s="58">
        <v>2.67420964469311E-2</v>
      </c>
      <c r="AB53" s="58">
        <v>0.13919813835913</v>
      </c>
      <c r="AC53" s="58">
        <v>0.91812478645179596</v>
      </c>
      <c r="AD53" s="58">
        <v>1.9015862833981201</v>
      </c>
      <c r="AE53" s="58">
        <v>5.6090459818513901E-3</v>
      </c>
      <c r="AF53" s="58">
        <v>2.0910492003244499</v>
      </c>
      <c r="AG53" s="58">
        <v>1.3110465291481901</v>
      </c>
      <c r="AH53" s="58">
        <v>8.9756171201050297E-2</v>
      </c>
      <c r="AI53" s="58">
        <v>0.15511541627688699</v>
      </c>
      <c r="AJ53" s="58">
        <v>1.8382875619437099E-2</v>
      </c>
      <c r="AK53" s="58">
        <v>0.22216738785137999</v>
      </c>
      <c r="AL53" s="59">
        <v>36.252770699179599</v>
      </c>
      <c r="AM53" s="59">
        <v>3.9377968752673798E-2</v>
      </c>
      <c r="AN53" s="59">
        <v>3.2251912381799203E-8</v>
      </c>
      <c r="AO53" s="59">
        <v>11.8005410950003</v>
      </c>
      <c r="AP53" s="59">
        <v>6.2491384724934296</v>
      </c>
      <c r="AQ53" s="60">
        <v>0</v>
      </c>
      <c r="AR53" s="45">
        <v>170.46813379086248</v>
      </c>
    </row>
    <row r="54" spans="1:44">
      <c r="A54" s="46" t="s">
        <v>163</v>
      </c>
      <c r="B54" s="56" t="s">
        <v>103</v>
      </c>
      <c r="C54" s="57" t="s">
        <v>250</v>
      </c>
      <c r="D54" s="58">
        <v>4.36489030665589</v>
      </c>
      <c r="E54" s="58">
        <v>0.776121543863318</v>
      </c>
      <c r="F54" s="58">
        <v>1.0285497649256199</v>
      </c>
      <c r="G54" s="58">
        <v>0.56602628485532203</v>
      </c>
      <c r="H54" s="58">
        <v>5.9205334910469302E-2</v>
      </c>
      <c r="I54" s="58">
        <v>9.2994478319609001E-3</v>
      </c>
      <c r="J54" s="58">
        <v>0.18092582862154299</v>
      </c>
      <c r="K54" s="58">
        <v>0.22208706690355901</v>
      </c>
      <c r="L54" s="58">
        <v>0.11889628496804</v>
      </c>
      <c r="M54" s="58">
        <v>0.98869455543058604</v>
      </c>
      <c r="N54" s="58">
        <v>3.65766664548575</v>
      </c>
      <c r="O54" s="58">
        <v>211.305760233044</v>
      </c>
      <c r="P54" s="58">
        <v>0.86872009183489396</v>
      </c>
      <c r="Q54" s="58">
        <v>0.19873038892080599</v>
      </c>
      <c r="R54" s="58">
        <v>0.50133063120672094</v>
      </c>
      <c r="S54" s="58">
        <v>0.42821170918368501</v>
      </c>
      <c r="T54" s="58">
        <v>3.436111865889</v>
      </c>
      <c r="U54" s="58">
        <v>39.734576244482099</v>
      </c>
      <c r="V54" s="58">
        <v>5.3505113769705001E-2</v>
      </c>
      <c r="W54" s="58">
        <v>0.484475829747396</v>
      </c>
      <c r="X54" s="58">
        <v>1.30859594635906</v>
      </c>
      <c r="Y54" s="58">
        <v>0.156545091689716</v>
      </c>
      <c r="Z54" s="58">
        <v>0.352391297401141</v>
      </c>
      <c r="AA54" s="58">
        <v>2.88963520997201E-3</v>
      </c>
      <c r="AB54" s="58">
        <v>1.5522190940409099E-2</v>
      </c>
      <c r="AC54" s="58">
        <v>0.106029471956987</v>
      </c>
      <c r="AD54" s="58">
        <v>0.70404673786931105</v>
      </c>
      <c r="AE54" s="58">
        <v>1.11746909177177E-2</v>
      </c>
      <c r="AF54" s="58">
        <v>0.18437070117931301</v>
      </c>
      <c r="AG54" s="58">
        <v>0.142420104796912</v>
      </c>
      <c r="AH54" s="58">
        <v>2.4082280971360299E-2</v>
      </c>
      <c r="AI54" s="58">
        <v>0.116758055433235</v>
      </c>
      <c r="AJ54" s="58">
        <v>4.0256786924322899E-2</v>
      </c>
      <c r="AK54" s="58">
        <v>0.57311635310833697</v>
      </c>
      <c r="AL54" s="59">
        <v>13.9204497165438</v>
      </c>
      <c r="AM54" s="59">
        <v>1.15848029917367E-2</v>
      </c>
      <c r="AN54" s="59">
        <v>8.61532398812647E-4</v>
      </c>
      <c r="AO54" s="59">
        <v>0.33641460297278603</v>
      </c>
      <c r="AP54" s="59">
        <v>12.547579412086</v>
      </c>
      <c r="AQ54" s="60">
        <v>0</v>
      </c>
      <c r="AR54" s="45">
        <v>299.53887458428125</v>
      </c>
    </row>
    <row r="55" spans="1:44">
      <c r="A55" s="46">
        <v>29</v>
      </c>
      <c r="B55" s="56" t="s">
        <v>105</v>
      </c>
      <c r="C55" s="57" t="s">
        <v>251</v>
      </c>
      <c r="D55" s="58">
        <v>57.269319429692899</v>
      </c>
      <c r="E55" s="58">
        <v>2.8500553259931198</v>
      </c>
      <c r="F55" s="58">
        <v>3.7471866401585201</v>
      </c>
      <c r="G55" s="58">
        <v>0.35237491759436601</v>
      </c>
      <c r="H55" s="58">
        <v>3.7378303889013698E-2</v>
      </c>
      <c r="I55" s="58">
        <v>2.5950376088659102E-2</v>
      </c>
      <c r="J55" s="58">
        <v>0.59500654929428098</v>
      </c>
      <c r="K55" s="58">
        <v>0.71187969070516999</v>
      </c>
      <c r="L55" s="58">
        <v>0.32822902897302902</v>
      </c>
      <c r="M55" s="58">
        <v>1.60593139228255</v>
      </c>
      <c r="N55" s="58">
        <v>5.9399753173195498</v>
      </c>
      <c r="O55" s="58">
        <v>5.0235026892176204</v>
      </c>
      <c r="P55" s="58">
        <v>2.8022500599775801</v>
      </c>
      <c r="Q55" s="58">
        <v>0.62683279243861001</v>
      </c>
      <c r="R55" s="58">
        <v>1.60100256793055</v>
      </c>
      <c r="S55" s="58">
        <v>0.49133307877522098</v>
      </c>
      <c r="T55" s="58">
        <v>27.327054606772698</v>
      </c>
      <c r="U55" s="58">
        <v>88.948423088943301</v>
      </c>
      <c r="V55" s="58">
        <v>0.25995320728271498</v>
      </c>
      <c r="W55" s="58">
        <v>8.3206984770712307</v>
      </c>
      <c r="X55" s="58">
        <v>43.646790620956899</v>
      </c>
      <c r="Y55" s="58">
        <v>8.0653738250248406</v>
      </c>
      <c r="Z55" s="58">
        <v>35.6860760055771</v>
      </c>
      <c r="AA55" s="58">
        <v>0.35756322970065302</v>
      </c>
      <c r="AB55" s="58">
        <v>1.86985086576684</v>
      </c>
      <c r="AC55" s="58">
        <v>10.3606160926683</v>
      </c>
      <c r="AD55" s="58">
        <v>54.721748532007503</v>
      </c>
      <c r="AE55" s="58">
        <v>0.940814104580455</v>
      </c>
      <c r="AF55" s="58">
        <v>4.8611747836330004</v>
      </c>
      <c r="AG55" s="58">
        <v>3.6852705711837901</v>
      </c>
      <c r="AH55" s="58">
        <v>7.6355105493076296</v>
      </c>
      <c r="AI55" s="58">
        <v>4.2328989125304703</v>
      </c>
      <c r="AJ55" s="58">
        <v>2.3148365934594701</v>
      </c>
      <c r="AK55" s="58">
        <v>10.118102050490201</v>
      </c>
      <c r="AL55" s="59">
        <v>253.40004710591299</v>
      </c>
      <c r="AM55" s="59">
        <v>0.91447023132341798</v>
      </c>
      <c r="AN55" s="59">
        <v>1.44330520527141E-2</v>
      </c>
      <c r="AO55" s="59">
        <v>2.9551299427013502</v>
      </c>
      <c r="AP55" s="59">
        <v>1.1589225036000299</v>
      </c>
      <c r="AQ55" s="60">
        <v>0</v>
      </c>
      <c r="AR55" s="45">
        <v>655.80396711287824</v>
      </c>
    </row>
    <row r="56" spans="1:44">
      <c r="A56" s="46" t="s">
        <v>164</v>
      </c>
      <c r="B56" s="56" t="s">
        <v>107</v>
      </c>
      <c r="C56" s="57" t="s">
        <v>252</v>
      </c>
      <c r="D56" s="58">
        <v>13.679419056616</v>
      </c>
      <c r="E56" s="58">
        <v>0.67965016309882598</v>
      </c>
      <c r="F56" s="58">
        <v>0.89177766294035499</v>
      </c>
      <c r="G56" s="58">
        <v>8.3995072698408793E-2</v>
      </c>
      <c r="H56" s="58">
        <v>8.9035998963146699E-3</v>
      </c>
      <c r="I56" s="58">
        <v>6.0635477966887799E-3</v>
      </c>
      <c r="J56" s="58">
        <v>0.14220079478009201</v>
      </c>
      <c r="K56" s="58">
        <v>0.17024599385015499</v>
      </c>
      <c r="L56" s="58">
        <v>7.7948205252001898E-2</v>
      </c>
      <c r="M56" s="58">
        <v>0.38308193965069398</v>
      </c>
      <c r="N56" s="58">
        <v>1.41695689230218</v>
      </c>
      <c r="O56" s="58">
        <v>1.20082324277235</v>
      </c>
      <c r="P56" s="58">
        <v>0.66793471746275102</v>
      </c>
      <c r="Q56" s="58">
        <v>0.150016545382957</v>
      </c>
      <c r="R56" s="58">
        <v>0.38172961377824799</v>
      </c>
      <c r="S56" s="58">
        <v>0.117694304034703</v>
      </c>
      <c r="T56" s="58">
        <v>7.1354366137459397</v>
      </c>
      <c r="U56" s="58">
        <v>21.1768342268787</v>
      </c>
      <c r="V56" s="58">
        <v>6.1846971687870199E-2</v>
      </c>
      <c r="W56" s="58">
        <v>1.97808164364554</v>
      </c>
      <c r="X56" s="58">
        <v>10.372133471425199</v>
      </c>
      <c r="Y56" s="58">
        <v>1.9206506946344</v>
      </c>
      <c r="Z56" s="58">
        <v>9.5273512360220494</v>
      </c>
      <c r="AA56" s="58">
        <v>8.5247055783710807E-2</v>
      </c>
      <c r="AB56" s="58">
        <v>0.44623413260939598</v>
      </c>
      <c r="AC56" s="58">
        <v>2.8837073789445302</v>
      </c>
      <c r="AD56" s="58">
        <v>13.9621281660532</v>
      </c>
      <c r="AE56" s="58">
        <v>0.227604765525208</v>
      </c>
      <c r="AF56" s="58">
        <v>1.17460022826707</v>
      </c>
      <c r="AG56" s="58">
        <v>0.87884676690750696</v>
      </c>
      <c r="AH56" s="58">
        <v>1.84401914113438</v>
      </c>
      <c r="AI56" s="58">
        <v>1.02100025634388</v>
      </c>
      <c r="AJ56" s="58">
        <v>0.55483876819132605</v>
      </c>
      <c r="AK56" s="58">
        <v>2.41997293614213</v>
      </c>
      <c r="AL56" s="59">
        <v>61.849938256050301</v>
      </c>
      <c r="AM56" s="59">
        <v>0.219495770565134</v>
      </c>
      <c r="AN56" s="59">
        <v>2.1110029138110401E-5</v>
      </c>
      <c r="AO56" s="59">
        <v>0.84190852347991196</v>
      </c>
      <c r="AP56" s="59">
        <v>0.29152594324979397</v>
      </c>
      <c r="AQ56" s="60">
        <v>0</v>
      </c>
      <c r="AR56" s="45">
        <v>160.93186540962904</v>
      </c>
    </row>
    <row r="57" spans="1:44">
      <c r="A57" s="46" t="s">
        <v>165</v>
      </c>
      <c r="B57" s="56" t="s">
        <v>109</v>
      </c>
      <c r="C57" s="57" t="s">
        <v>253</v>
      </c>
      <c r="D57" s="58">
        <v>34.429820876142202</v>
      </c>
      <c r="E57" s="58">
        <v>1.7548005258793</v>
      </c>
      <c r="F57" s="58">
        <v>2.1300864322272202</v>
      </c>
      <c r="G57" s="58">
        <v>0.237110663790989</v>
      </c>
      <c r="H57" s="58">
        <v>2.5151058498771101E-2</v>
      </c>
      <c r="I57" s="58">
        <v>1.44850586745236E-2</v>
      </c>
      <c r="J57" s="58">
        <v>0.400391794740034</v>
      </c>
      <c r="K57" s="58">
        <v>0.479162659876057</v>
      </c>
      <c r="L57" s="58">
        <v>0.21896871096847001</v>
      </c>
      <c r="M57" s="58">
        <v>1.0101860982786799</v>
      </c>
      <c r="N57" s="58">
        <v>3.7370549655948402</v>
      </c>
      <c r="O57" s="58">
        <v>2.88255386535999</v>
      </c>
      <c r="P57" s="58">
        <v>1.64385968591483</v>
      </c>
      <c r="Q57" s="58">
        <v>0.36876384293695202</v>
      </c>
      <c r="R57" s="58">
        <v>0.94789083585325695</v>
      </c>
      <c r="S57" s="58">
        <v>0.31241408648649299</v>
      </c>
      <c r="T57" s="58">
        <v>17.8978115625487</v>
      </c>
      <c r="U57" s="58">
        <v>53.200280401635901</v>
      </c>
      <c r="V57" s="58">
        <v>0.15622092152293199</v>
      </c>
      <c r="W57" s="58">
        <v>5.0370832296996104</v>
      </c>
      <c r="X57" s="58">
        <v>26.3583615589815</v>
      </c>
      <c r="Y57" s="58">
        <v>5.0282466044465197</v>
      </c>
      <c r="Z57" s="58">
        <v>24.300635265617</v>
      </c>
      <c r="AA57" s="58">
        <v>0.211415571116155</v>
      </c>
      <c r="AB57" s="58">
        <v>1.10694626160124</v>
      </c>
      <c r="AC57" s="58">
        <v>7.3510419029904996</v>
      </c>
      <c r="AD57" s="58">
        <v>31.767906565484001</v>
      </c>
      <c r="AE57" s="58">
        <v>0.581269232874282</v>
      </c>
      <c r="AF57" s="58">
        <v>2.8421090744559199</v>
      </c>
      <c r="AG57" s="58">
        <v>2.2162357871284799</v>
      </c>
      <c r="AH57" s="58">
        <v>4.8835246988664203</v>
      </c>
      <c r="AI57" s="58">
        <v>2.3517080256243501</v>
      </c>
      <c r="AJ57" s="58">
        <v>1.26100090359727</v>
      </c>
      <c r="AK57" s="58">
        <v>5.9337132197720903</v>
      </c>
      <c r="AL57" s="59">
        <v>192.65581873560899</v>
      </c>
      <c r="AM57" s="59">
        <v>0.90293961897124597</v>
      </c>
      <c r="AN57" s="59">
        <v>1.7432365808837301E-2</v>
      </c>
      <c r="AO57" s="59">
        <v>2.84276439514014</v>
      </c>
      <c r="AP57" s="59">
        <v>0.55701823826637198</v>
      </c>
      <c r="AQ57" s="60">
        <v>0</v>
      </c>
      <c r="AR57" s="45">
        <v>440.05418530298101</v>
      </c>
    </row>
    <row r="58" spans="1:44">
      <c r="A58" s="46" t="s">
        <v>166</v>
      </c>
      <c r="B58" s="56" t="s">
        <v>111</v>
      </c>
      <c r="C58" s="57" t="s">
        <v>254</v>
      </c>
      <c r="D58" s="58">
        <v>4.7461182620180103E-3</v>
      </c>
      <c r="E58" s="58">
        <v>2.5965078819658899E-2</v>
      </c>
      <c r="F58" s="58">
        <v>0.83433039190613401</v>
      </c>
      <c r="G58" s="58">
        <v>8.3808705455069692</v>
      </c>
      <c r="H58" s="58">
        <v>0.95623370522780105</v>
      </c>
      <c r="I58" s="58">
        <v>3.8382891695368601E-4</v>
      </c>
      <c r="J58" s="58">
        <v>0.128456866381118</v>
      </c>
      <c r="K58" s="58">
        <v>6.9166340284247899E-3</v>
      </c>
      <c r="L58" s="58">
        <v>1.6498526258614299E-5</v>
      </c>
      <c r="M58" s="58">
        <v>0.17027553468814499</v>
      </c>
      <c r="N58" s="58">
        <v>0.63009117003219794</v>
      </c>
      <c r="O58" s="58">
        <v>8.8990237084724796E-2</v>
      </c>
      <c r="P58" s="58">
        <v>4.7754432643358602E-2</v>
      </c>
      <c r="Q58" s="58">
        <v>1.06641417934737E-2</v>
      </c>
      <c r="R58" s="58">
        <v>2.7760535619586899E-2</v>
      </c>
      <c r="S58" s="58">
        <v>1.8494998046582201</v>
      </c>
      <c r="T58" s="58">
        <v>0.103903276952604</v>
      </c>
      <c r="U58" s="58">
        <v>9.4506012846055292</v>
      </c>
      <c r="V58" s="58">
        <v>3.3528303747211399E-2</v>
      </c>
      <c r="W58" s="58">
        <v>0.82895867019821701</v>
      </c>
      <c r="X58" s="58">
        <v>1.5571675939790799</v>
      </c>
      <c r="Y58" s="58">
        <v>1.2507612729911599</v>
      </c>
      <c r="Z58" s="58">
        <v>1.2505415441765899</v>
      </c>
      <c r="AA58" s="58">
        <v>8.8067370787503207E-3</v>
      </c>
      <c r="AB58" s="58">
        <v>4.2893282974309901E-2</v>
      </c>
      <c r="AC58" s="58">
        <v>0.37667132808459902</v>
      </c>
      <c r="AD58" s="58">
        <v>0.82388976908213396</v>
      </c>
      <c r="AE58" s="58">
        <v>8.8349450598567497E-2</v>
      </c>
      <c r="AF58" s="58">
        <v>0.27293956448284501</v>
      </c>
      <c r="AG58" s="58">
        <v>0.22793421368550401</v>
      </c>
      <c r="AH58" s="58">
        <v>0.15857632606570099</v>
      </c>
      <c r="AI58" s="58">
        <v>0.62103316135915299</v>
      </c>
      <c r="AJ58" s="58">
        <v>5.4559733391344498E-2</v>
      </c>
      <c r="AK58" s="58">
        <v>4.3592874993274497</v>
      </c>
      <c r="AL58" s="59">
        <v>27.633494759283899</v>
      </c>
      <c r="AM58" s="59">
        <v>0.14255419501633201</v>
      </c>
      <c r="AN58" s="59">
        <v>3.8630855278168601E-4</v>
      </c>
      <c r="AO58" s="59">
        <v>2.3065715645272702</v>
      </c>
      <c r="AP58" s="59">
        <v>15.275206813178899</v>
      </c>
      <c r="AQ58" s="60">
        <v>0</v>
      </c>
      <c r="AR58" s="45">
        <v>80.031572177434967</v>
      </c>
    </row>
    <row r="59" spans="1:44">
      <c r="A59" s="46" t="s">
        <v>167</v>
      </c>
      <c r="B59" s="56" t="s">
        <v>113</v>
      </c>
      <c r="C59" s="57" t="s">
        <v>255</v>
      </c>
      <c r="D59" s="58">
        <v>0.150683009482008</v>
      </c>
      <c r="E59" s="58">
        <v>0.480380932319871</v>
      </c>
      <c r="F59" s="58">
        <v>1.61275465937471</v>
      </c>
      <c r="G59" s="58">
        <v>0.37816417729900498</v>
      </c>
      <c r="H59" s="58">
        <v>4.2805570154061598E-2</v>
      </c>
      <c r="I59" s="58">
        <v>1.9232377870895299E-2</v>
      </c>
      <c r="J59" s="58">
        <v>0.56874325264028003</v>
      </c>
      <c r="K59" s="58">
        <v>0.62582367386029203</v>
      </c>
      <c r="L59" s="58">
        <v>0.28421969823319898</v>
      </c>
      <c r="M59" s="58">
        <v>0.34472150734652701</v>
      </c>
      <c r="N59" s="58">
        <v>1.2796891949162099</v>
      </c>
      <c r="O59" s="58">
        <v>0.64380175377012905</v>
      </c>
      <c r="P59" s="58">
        <v>0.44413377408012999</v>
      </c>
      <c r="Q59" s="58">
        <v>9.8573325898576994E-2</v>
      </c>
      <c r="R59" s="58">
        <v>0.26123416212261802</v>
      </c>
      <c r="S59" s="58">
        <v>8.9144964881120906E-2</v>
      </c>
      <c r="T59" s="58">
        <v>2.3076326147529</v>
      </c>
      <c r="U59" s="58">
        <v>4.1147631993279603</v>
      </c>
      <c r="V59" s="58">
        <v>2.9181427419112602E-2</v>
      </c>
      <c r="W59" s="58">
        <v>0.69825490542889701</v>
      </c>
      <c r="X59" s="58">
        <v>1.60584101920759</v>
      </c>
      <c r="Y59" s="58">
        <v>1.9128703329579799</v>
      </c>
      <c r="Z59" s="58">
        <v>0.47073923614631102</v>
      </c>
      <c r="AA59" s="58">
        <v>2.8735499273343499E-3</v>
      </c>
      <c r="AB59" s="58">
        <v>1.6790386772974401E-2</v>
      </c>
      <c r="AC59" s="58">
        <v>0.142340276552293</v>
      </c>
      <c r="AD59" s="58">
        <v>0.41727090292653501</v>
      </c>
      <c r="AE59" s="58">
        <v>0.88110888886751304</v>
      </c>
      <c r="AF59" s="58">
        <v>0.47971104348672899</v>
      </c>
      <c r="AG59" s="58">
        <v>0.46037361975000202</v>
      </c>
      <c r="AH59" s="58">
        <v>1.68527456576626</v>
      </c>
      <c r="AI59" s="58">
        <v>2.4541181943495198</v>
      </c>
      <c r="AJ59" s="58">
        <v>2.1868463269865002</v>
      </c>
      <c r="AK59" s="58">
        <v>0.75166338846397895</v>
      </c>
      <c r="AL59" s="59">
        <v>13.5185127954941</v>
      </c>
      <c r="AM59" s="59">
        <v>2.5126438615822099E-2</v>
      </c>
      <c r="AN59" s="59">
        <v>0.23105394573413399</v>
      </c>
      <c r="AO59" s="59">
        <v>13.2245557207853</v>
      </c>
      <c r="AP59" s="59">
        <v>-0.69662135544572401</v>
      </c>
      <c r="AQ59" s="60">
        <v>0</v>
      </c>
      <c r="AR59" s="45">
        <v>54.244387458523654</v>
      </c>
    </row>
    <row r="60" spans="1:44">
      <c r="A60" s="46" t="s">
        <v>168</v>
      </c>
      <c r="B60" s="56" t="s">
        <v>115</v>
      </c>
      <c r="C60" s="57" t="s">
        <v>256</v>
      </c>
      <c r="D60" s="58">
        <v>3.6182068882683403E-2</v>
      </c>
      <c r="E60" s="58">
        <v>1.2867581677385999E-2</v>
      </c>
      <c r="F60" s="58">
        <v>2.5754764250890801E-2</v>
      </c>
      <c r="G60" s="58">
        <v>2.0164768446571099E-2</v>
      </c>
      <c r="H60" s="58">
        <v>3.3101050586410402E-3</v>
      </c>
      <c r="I60" s="58">
        <v>1.51980764000941E-3</v>
      </c>
      <c r="J60" s="58">
        <v>4.16220012883293E-3</v>
      </c>
      <c r="K60" s="58">
        <v>5.2058234109800296E-3</v>
      </c>
      <c r="L60" s="58">
        <v>9.6358733491148701E-4</v>
      </c>
      <c r="M60" s="58">
        <v>2.71952415089849E-3</v>
      </c>
      <c r="N60" s="58">
        <v>1.7742870421386201E-2</v>
      </c>
      <c r="O60" s="58">
        <v>7.9519953012832708E-3</v>
      </c>
      <c r="P60" s="58">
        <v>3.9550483675573397E-3</v>
      </c>
      <c r="Q60" s="58">
        <v>8.0716977432530802E-4</v>
      </c>
      <c r="R60" s="58">
        <v>2.3897483687562201E-3</v>
      </c>
      <c r="S60" s="58">
        <v>2.6259235323156899E-3</v>
      </c>
      <c r="T60" s="58">
        <v>1.02762654527722E-2</v>
      </c>
      <c r="U60" s="58">
        <v>0.94257687620619102</v>
      </c>
      <c r="V60" s="58">
        <v>1.1293159705533199E-4</v>
      </c>
      <c r="W60" s="58">
        <v>1.9357949975465201E-2</v>
      </c>
      <c r="X60" s="58">
        <v>9.5624005223658201E-2</v>
      </c>
      <c r="Y60" s="58">
        <v>1.0350856964551699E-2</v>
      </c>
      <c r="Z60" s="58">
        <v>1.1480835340304E-2</v>
      </c>
      <c r="AA60" s="58">
        <v>3.3286952525349597E-5</v>
      </c>
      <c r="AB60" s="58">
        <v>1.0134113328906401E-3</v>
      </c>
      <c r="AC60" s="58">
        <v>3.2281856127017198E-3</v>
      </c>
      <c r="AD60" s="58">
        <v>2.9036921726843402E-3</v>
      </c>
      <c r="AE60" s="58">
        <v>4.2189497371299296E-3</v>
      </c>
      <c r="AF60" s="58">
        <v>2.3127720669107101E-2</v>
      </c>
      <c r="AG60" s="58">
        <v>3.1695117122765501E-2</v>
      </c>
      <c r="AH60" s="58">
        <v>2.2755385723950499E-3</v>
      </c>
      <c r="AI60" s="58">
        <v>5.0009819510237301E-2</v>
      </c>
      <c r="AJ60" s="58">
        <v>4.1215197653643497E-3</v>
      </c>
      <c r="AK60" s="58">
        <v>1.6001405054851099E-2</v>
      </c>
      <c r="AL60" s="59">
        <v>3.8544921929755901E-3</v>
      </c>
      <c r="AM60" s="59">
        <v>3.2642995000427399E-3</v>
      </c>
      <c r="AN60" s="59">
        <v>3.72898954757E-3</v>
      </c>
      <c r="AO60" s="59">
        <v>3.15363976595046</v>
      </c>
      <c r="AP60" s="59">
        <v>0.11911723443934</v>
      </c>
      <c r="AQ60" s="60">
        <v>0</v>
      </c>
      <c r="AR60" s="45">
        <v>4.6603361356404669</v>
      </c>
    </row>
    <row r="61" spans="1:44">
      <c r="A61" s="46">
        <v>50</v>
      </c>
      <c r="B61" s="56" t="s">
        <v>117</v>
      </c>
      <c r="C61" s="57" t="s">
        <v>257</v>
      </c>
      <c r="D61" s="58">
        <v>0.110565693649212</v>
      </c>
      <c r="E61" s="58">
        <v>3.77495394015352E-2</v>
      </c>
      <c r="F61" s="58">
        <v>6.4354941045651606E-2</v>
      </c>
      <c r="G61" s="58">
        <v>5.8517103918684997E-2</v>
      </c>
      <c r="H61" s="58">
        <v>7.6158599301532201E-3</v>
      </c>
      <c r="I61" s="58">
        <v>5.9197365534511296E-3</v>
      </c>
      <c r="J61" s="58">
        <v>6.5634765603264297E-3</v>
      </c>
      <c r="K61" s="58">
        <v>1.5910224899281299E-2</v>
      </c>
      <c r="L61" s="58">
        <v>7.5376822850844096E-3</v>
      </c>
      <c r="M61" s="58">
        <v>6.4321928748882996E-3</v>
      </c>
      <c r="N61" s="58">
        <v>1.9716689868634299E-2</v>
      </c>
      <c r="O61" s="58">
        <v>1.8640614114353301E-2</v>
      </c>
      <c r="P61" s="58">
        <v>7.4455257526373202E-3</v>
      </c>
      <c r="Q61" s="58">
        <v>5.6298927219772003E-3</v>
      </c>
      <c r="R61" s="58">
        <v>6.6857750945974502E-3</v>
      </c>
      <c r="S61" s="58">
        <v>6.8827324568935698E-3</v>
      </c>
      <c r="T61" s="58">
        <v>2.6992544543168601E-2</v>
      </c>
      <c r="U61" s="58">
        <v>1.9188994855264201E-2</v>
      </c>
      <c r="V61" s="58">
        <v>3.4690193174651999E-4</v>
      </c>
      <c r="W61" s="58">
        <v>8.4738945524497691E-3</v>
      </c>
      <c r="X61" s="58">
        <v>7.3527448063541497E-3</v>
      </c>
      <c r="Y61" s="58">
        <v>7.2301824168534597E-3</v>
      </c>
      <c r="Z61" s="58">
        <v>1.8462628516910499E-2</v>
      </c>
      <c r="AA61" s="58">
        <v>4.3712006428182196E-6</v>
      </c>
      <c r="AB61" s="58">
        <v>2.93212283021542E-3</v>
      </c>
      <c r="AC61" s="58">
        <v>4.1881242403841003E-3</v>
      </c>
      <c r="AD61" s="58">
        <v>6.2864300872811701E-3</v>
      </c>
      <c r="AE61" s="58">
        <v>8.0808796615205198E-3</v>
      </c>
      <c r="AF61" s="58">
        <v>3.5430925396839701E-3</v>
      </c>
      <c r="AG61" s="58">
        <v>3.1446699450637897E-2</v>
      </c>
      <c r="AH61" s="58">
        <v>6.3542478328672703E-3</v>
      </c>
      <c r="AI61" s="58">
        <v>9.1348020965974306E-3</v>
      </c>
      <c r="AJ61" s="58">
        <v>1.09438618539384E-2</v>
      </c>
      <c r="AK61" s="58">
        <v>6.6271942438410596E-3</v>
      </c>
      <c r="AL61" s="59">
        <v>9.7292727991819504E-3</v>
      </c>
      <c r="AM61" s="59">
        <v>9.7170088245683208E-3</v>
      </c>
      <c r="AN61" s="59">
        <v>8.2532109656833098E-3</v>
      </c>
      <c r="AO61" s="59">
        <v>1.1486044912974801E-2</v>
      </c>
      <c r="AP61" s="59">
        <v>8.0080222975833903E-3</v>
      </c>
      <c r="AQ61" s="60">
        <v>0</v>
      </c>
      <c r="AR61" s="45">
        <v>0.61095095858771076</v>
      </c>
    </row>
    <row r="62" spans="1:44">
      <c r="A62" s="46">
        <v>51</v>
      </c>
      <c r="B62" s="56" t="s">
        <v>119</v>
      </c>
      <c r="C62" s="57" t="s">
        <v>258</v>
      </c>
      <c r="D62" s="58">
        <v>0.224011378859234</v>
      </c>
      <c r="E62" s="58">
        <v>7.3430056357735599E-2</v>
      </c>
      <c r="F62" s="58">
        <v>0.23120740813754201</v>
      </c>
      <c r="G62" s="58">
        <v>0.121817873436967</v>
      </c>
      <c r="H62" s="58">
        <v>1.46115228430303E-2</v>
      </c>
      <c r="I62" s="58">
        <v>1.21707820727943E-2</v>
      </c>
      <c r="J62" s="58">
        <v>1.2543138455758499E-2</v>
      </c>
      <c r="K62" s="58">
        <v>3.1773007173962198E-2</v>
      </c>
      <c r="L62" s="58">
        <v>1.44829048456634E-2</v>
      </c>
      <c r="M62" s="58">
        <v>1.2457795633641499E-2</v>
      </c>
      <c r="N62" s="58">
        <v>3.8614350613854001E-2</v>
      </c>
      <c r="O62" s="58">
        <v>5.8563776675815797E-2</v>
      </c>
      <c r="P62" s="58">
        <v>1.5671194406188901E-2</v>
      </c>
      <c r="Q62" s="58">
        <v>1.2431960073792299E-2</v>
      </c>
      <c r="R62" s="58">
        <v>1.42112310939088E-2</v>
      </c>
      <c r="S62" s="58">
        <v>1.4089644941959601E-2</v>
      </c>
      <c r="T62" s="58">
        <v>5.9291884398093901E-2</v>
      </c>
      <c r="U62" s="58">
        <v>6.3953722358891699E-2</v>
      </c>
      <c r="V62" s="58">
        <v>1.30665246048171E-2</v>
      </c>
      <c r="W62" s="58">
        <v>1.3348839619788799</v>
      </c>
      <c r="X62" s="58">
        <v>0.13229591857127099</v>
      </c>
      <c r="Y62" s="58">
        <v>4.0224060459110797E-2</v>
      </c>
      <c r="Z62" s="58">
        <v>0.28704175810754701</v>
      </c>
      <c r="AA62" s="58">
        <v>6.2032601407303503E-2</v>
      </c>
      <c r="AB62" s="58">
        <v>0.90277655615743901</v>
      </c>
      <c r="AC62" s="58">
        <v>2.1154233482751101E-2</v>
      </c>
      <c r="AD62" s="58">
        <v>0.19079753496175</v>
      </c>
      <c r="AE62" s="58">
        <v>0.22997517831009701</v>
      </c>
      <c r="AF62" s="58">
        <v>2.73145751528668E-2</v>
      </c>
      <c r="AG62" s="58">
        <v>6.0109752502201803E-2</v>
      </c>
      <c r="AH62" s="58">
        <v>1.3707856410497199</v>
      </c>
      <c r="AI62" s="58">
        <v>0.13357452173876799</v>
      </c>
      <c r="AJ62" s="58">
        <v>2.4647411968896998E-2</v>
      </c>
      <c r="AK62" s="58">
        <v>1.2606656087569199E-2</v>
      </c>
      <c r="AL62" s="59">
        <v>5.4212210565321497</v>
      </c>
      <c r="AM62" s="59">
        <v>0.39706438675783501</v>
      </c>
      <c r="AN62" s="59">
        <v>1.7080288785778299E-2</v>
      </c>
      <c r="AO62" s="59">
        <v>0.12972825397514301</v>
      </c>
      <c r="AP62" s="59">
        <v>3.43787049386617E-2</v>
      </c>
      <c r="AQ62" s="60">
        <v>0</v>
      </c>
      <c r="AR62" s="45">
        <v>11.868093209909391</v>
      </c>
    </row>
    <row r="63" spans="1:44">
      <c r="A63" s="46">
        <v>52</v>
      </c>
      <c r="B63" s="56" t="s">
        <v>121</v>
      </c>
      <c r="C63" s="57" t="s">
        <v>259</v>
      </c>
      <c r="D63" s="58">
        <v>0.104796193879023</v>
      </c>
      <c r="E63" s="58">
        <v>4.2424906596930399E-2</v>
      </c>
      <c r="F63" s="58">
        <v>6.5405819702975404E-2</v>
      </c>
      <c r="G63" s="58">
        <v>5.5678521078351403E-2</v>
      </c>
      <c r="H63" s="58">
        <v>7.4872304729476499E-3</v>
      </c>
      <c r="I63" s="58">
        <v>1.4724554400749599E-2</v>
      </c>
      <c r="J63" s="58">
        <v>6.0177576540114E-3</v>
      </c>
      <c r="K63" s="58">
        <v>3.3073992638416698E-2</v>
      </c>
      <c r="L63" s="58">
        <v>7.7236389051791501E-3</v>
      </c>
      <c r="M63" s="58">
        <v>6.53722103117818E-3</v>
      </c>
      <c r="N63" s="58">
        <v>1.8047788303348501E-2</v>
      </c>
      <c r="O63" s="58">
        <v>1.7695050892575701E-2</v>
      </c>
      <c r="P63" s="58">
        <v>2.61098299649919E-2</v>
      </c>
      <c r="Q63" s="58">
        <v>5.8355693195332103E-3</v>
      </c>
      <c r="R63" s="58">
        <v>1.1233340682272899E-2</v>
      </c>
      <c r="S63" s="58">
        <v>1.06054036176413E-2</v>
      </c>
      <c r="T63" s="58">
        <v>2.5930932930376498E-2</v>
      </c>
      <c r="U63" s="58">
        <v>2.0485209594663101E-2</v>
      </c>
      <c r="V63" s="58">
        <v>3.3799632241746802E-4</v>
      </c>
      <c r="W63" s="58">
        <v>4.0159408751999297E-2</v>
      </c>
      <c r="X63" s="58">
        <v>1.5241230635560101E-2</v>
      </c>
      <c r="Y63" s="58">
        <v>1.0152820939383101E-2</v>
      </c>
      <c r="Z63" s="58">
        <v>4.3429598933526499E-2</v>
      </c>
      <c r="AA63" s="58">
        <v>5.1692924361454104E-3</v>
      </c>
      <c r="AB63" s="58">
        <v>8.7327840629096695E-2</v>
      </c>
      <c r="AC63" s="58">
        <v>5.0048414569534103E-3</v>
      </c>
      <c r="AD63" s="58">
        <v>2.6848911252088201E-2</v>
      </c>
      <c r="AE63" s="58">
        <v>3.5418779817595003E-2</v>
      </c>
      <c r="AF63" s="58">
        <v>4.8715721970195398E-3</v>
      </c>
      <c r="AG63" s="58">
        <v>2.9753658502078801E-2</v>
      </c>
      <c r="AH63" s="58">
        <v>0.199262581324815</v>
      </c>
      <c r="AI63" s="58">
        <v>2.2411257261233501E-2</v>
      </c>
      <c r="AJ63" s="58">
        <v>1.2648098953780801E-2</v>
      </c>
      <c r="AK63" s="58">
        <v>4.7566545810700401E-3</v>
      </c>
      <c r="AL63" s="59">
        <v>0.434691830805567</v>
      </c>
      <c r="AM63" s="59">
        <v>0.25150122499312799</v>
      </c>
      <c r="AN63" s="59">
        <v>7.9244252968598602E-3</v>
      </c>
      <c r="AO63" s="59">
        <v>1.9600938498316799E-2</v>
      </c>
      <c r="AP63" s="59">
        <v>7.48798774787191E-3</v>
      </c>
      <c r="AQ63" s="60">
        <v>0</v>
      </c>
      <c r="AR63" s="45">
        <v>1.7438139130016723</v>
      </c>
    </row>
    <row r="64" spans="1:44">
      <c r="A64" s="46" t="s">
        <v>169</v>
      </c>
      <c r="B64" s="56" t="s">
        <v>123</v>
      </c>
      <c r="C64" s="57" t="s">
        <v>260</v>
      </c>
      <c r="D64" s="58">
        <v>5.5287387210300097E-2</v>
      </c>
      <c r="E64" s="58">
        <v>1.88769472773948E-2</v>
      </c>
      <c r="F64" s="58">
        <v>3.2238405261764698E-2</v>
      </c>
      <c r="G64" s="58">
        <v>3.0338812442768599E-2</v>
      </c>
      <c r="H64" s="58">
        <v>2.66930134111318E-3</v>
      </c>
      <c r="I64" s="58">
        <v>8.5623901578046999E-4</v>
      </c>
      <c r="J64" s="58">
        <v>5.36205329067313E-3</v>
      </c>
      <c r="K64" s="58">
        <v>1.12713111095638E-2</v>
      </c>
      <c r="L64" s="58">
        <v>5.5854305125976498E-3</v>
      </c>
      <c r="M64" s="58">
        <v>1.8322513157750799E-3</v>
      </c>
      <c r="N64" s="58">
        <v>6.0617104912217704E-3</v>
      </c>
      <c r="O64" s="58">
        <v>9.2852201560750108E-3</v>
      </c>
      <c r="P64" s="58">
        <v>4.60711704624139E-3</v>
      </c>
      <c r="Q64" s="58">
        <v>1.9161950199223399E-3</v>
      </c>
      <c r="R64" s="58">
        <v>3.3299011547868402E-3</v>
      </c>
      <c r="S64" s="58">
        <v>3.4264384053267799E-3</v>
      </c>
      <c r="T64" s="58">
        <v>1.3460324032481499E-2</v>
      </c>
      <c r="U64" s="58">
        <v>9.5629246476586598E-3</v>
      </c>
      <c r="V64" s="58">
        <v>1.7191405481327299E-4</v>
      </c>
      <c r="W64" s="58">
        <v>4.3711058073087599E-3</v>
      </c>
      <c r="X64" s="58">
        <v>3.7001357627212401E-3</v>
      </c>
      <c r="Y64" s="58">
        <v>3.6090135633999299E-3</v>
      </c>
      <c r="Z64" s="58">
        <v>8.5400590890671695E-3</v>
      </c>
      <c r="AA64" s="58">
        <v>6.7165844074671294E-5</v>
      </c>
      <c r="AB64" s="58">
        <v>3.5264352537229598E-3</v>
      </c>
      <c r="AC64" s="58">
        <v>1.0115047553169399E-3</v>
      </c>
      <c r="AD64" s="58">
        <v>3.1977788110135901E-3</v>
      </c>
      <c r="AE64" s="58">
        <v>5.20158073224082E-3</v>
      </c>
      <c r="AF64" s="58">
        <v>1.7669049984264801E-3</v>
      </c>
      <c r="AG64" s="58">
        <v>1.4612096659911899E-2</v>
      </c>
      <c r="AH64" s="58">
        <v>3.8893149146344399E-3</v>
      </c>
      <c r="AI64" s="58">
        <v>3.9935824382293997E-3</v>
      </c>
      <c r="AJ64" s="58">
        <v>2.83571307814164E-3</v>
      </c>
      <c r="AK64" s="58">
        <v>6.5779151530209997E-3</v>
      </c>
      <c r="AL64" s="59">
        <v>1.28810434602913E-2</v>
      </c>
      <c r="AM64" s="59">
        <v>5.2333273556756897E-3</v>
      </c>
      <c r="AN64" s="59">
        <v>4.12580803872554E-3</v>
      </c>
      <c r="AO64" s="59">
        <v>5.7787021551430401E-3</v>
      </c>
      <c r="AP64" s="59">
        <v>3.96564594002859E-3</v>
      </c>
      <c r="AQ64" s="60">
        <v>0</v>
      </c>
      <c r="AR64" s="45">
        <v>0.31502471759735406</v>
      </c>
    </row>
    <row r="65" spans="1:44">
      <c r="A65" s="46">
        <v>60</v>
      </c>
      <c r="B65" s="56" t="s">
        <v>125</v>
      </c>
      <c r="C65" s="57" t="s">
        <v>261</v>
      </c>
      <c r="D65" s="58">
        <v>23.2355291999109</v>
      </c>
      <c r="E65" s="58">
        <v>3.6171660343127501</v>
      </c>
      <c r="F65" s="58">
        <v>9.4543500689699798</v>
      </c>
      <c r="G65" s="58">
        <v>3.7316118204293001</v>
      </c>
      <c r="H65" s="58">
        <v>0.39562294509065699</v>
      </c>
      <c r="I65" s="58">
        <v>3.4311024291125099E-2</v>
      </c>
      <c r="J65" s="58">
        <v>0.72489376068949996</v>
      </c>
      <c r="K65" s="58">
        <v>1.6466354020624201</v>
      </c>
      <c r="L65" s="58">
        <v>0.74740236184134001</v>
      </c>
      <c r="M65" s="58">
        <v>1.8231853946985399</v>
      </c>
      <c r="N65" s="58">
        <v>6.7446846870210102</v>
      </c>
      <c r="O65" s="58">
        <v>5.3921970398960104</v>
      </c>
      <c r="P65" s="58">
        <v>9.3035602547007601E-2</v>
      </c>
      <c r="Q65" s="58">
        <v>2.1380066818218201E-2</v>
      </c>
      <c r="R65" s="58">
        <v>5.4350525497167297E-2</v>
      </c>
      <c r="S65" s="58">
        <v>0.66186107608234901</v>
      </c>
      <c r="T65" s="58">
        <v>7.0975414660954304</v>
      </c>
      <c r="U65" s="58">
        <v>36.251790104479099</v>
      </c>
      <c r="V65" s="58">
        <v>0.27005211598240197</v>
      </c>
      <c r="W65" s="58">
        <v>5.0296782450488298</v>
      </c>
      <c r="X65" s="58">
        <v>16.709078077676601</v>
      </c>
      <c r="Y65" s="58">
        <v>3.0251519038351802</v>
      </c>
      <c r="Z65" s="58">
        <v>13.4229347794064</v>
      </c>
      <c r="AA65" s="58">
        <v>9.5672941100609005E-2</v>
      </c>
      <c r="AB65" s="58">
        <v>0.47025060522116802</v>
      </c>
      <c r="AC65" s="58">
        <v>4.0465205722343898</v>
      </c>
      <c r="AD65" s="58">
        <v>5.2840385260723899</v>
      </c>
      <c r="AE65" s="58">
        <v>0.72520093861450696</v>
      </c>
      <c r="AF65" s="58">
        <v>1.39610347793177</v>
      </c>
      <c r="AG65" s="58">
        <v>1.18441437051093</v>
      </c>
      <c r="AH65" s="58">
        <v>4.2144293854999404</v>
      </c>
      <c r="AI65" s="58">
        <v>2.4350340036654399</v>
      </c>
      <c r="AJ65" s="58">
        <v>3.3860692618961701</v>
      </c>
      <c r="AK65" s="58">
        <v>2.6861285471079901</v>
      </c>
      <c r="AL65" s="59">
        <v>129.22040124872501</v>
      </c>
      <c r="AM65" s="59">
        <v>7.59898763930274E-2</v>
      </c>
      <c r="AN65" s="59">
        <v>1.3125624894538199</v>
      </c>
      <c r="AO65" s="59">
        <v>45.745869460218401</v>
      </c>
      <c r="AP65" s="59">
        <v>0.27615487380625903</v>
      </c>
      <c r="AQ65" s="60">
        <v>0</v>
      </c>
      <c r="AR65" s="45">
        <v>342.73928428113396</v>
      </c>
    </row>
    <row r="66" spans="1:44">
      <c r="A66" s="46">
        <v>61</v>
      </c>
      <c r="B66" s="56" t="s">
        <v>127</v>
      </c>
      <c r="C66" s="57" t="s">
        <v>262</v>
      </c>
      <c r="D66" s="58">
        <v>0.16454355440760601</v>
      </c>
      <c r="E66" s="58">
        <v>2.6821428911504502E-2</v>
      </c>
      <c r="F66" s="58">
        <v>6.9426615727818899E-2</v>
      </c>
      <c r="G66" s="58">
        <v>2.5603651696302E-2</v>
      </c>
      <c r="H66" s="58">
        <v>3.0045972934883399E-3</v>
      </c>
      <c r="I66" s="58">
        <v>8.4909502071966996E-3</v>
      </c>
      <c r="J66" s="58">
        <v>5.4478518201852297E-3</v>
      </c>
      <c r="K66" s="58">
        <v>1.2417174956390799E-2</v>
      </c>
      <c r="L66" s="58">
        <v>5.2030303620891798E-3</v>
      </c>
      <c r="M66" s="58">
        <v>1.3911706347079901E-2</v>
      </c>
      <c r="N66" s="58">
        <v>5.1680948860715802E-2</v>
      </c>
      <c r="O66" s="58">
        <v>3.8664956626146899E-2</v>
      </c>
      <c r="P66" s="58">
        <v>9.8564221789097291E-3</v>
      </c>
      <c r="Q66" s="58">
        <v>5.9120332632589599E-4</v>
      </c>
      <c r="R66" s="58">
        <v>2.4135507583759402E-3</v>
      </c>
      <c r="S66" s="58">
        <v>4.6270074189601901E-3</v>
      </c>
      <c r="T66" s="58">
        <v>5.2002226762356198E-2</v>
      </c>
      <c r="U66" s="58">
        <v>0.27409607881609399</v>
      </c>
      <c r="V66" s="58">
        <v>1.7028839810902499E-3</v>
      </c>
      <c r="W66" s="58">
        <v>0.110621007591835</v>
      </c>
      <c r="X66" s="58">
        <v>0.12611828393024199</v>
      </c>
      <c r="Y66" s="58">
        <v>2.1541479394985599E-2</v>
      </c>
      <c r="Z66" s="58">
        <v>9.8992275461604301E-2</v>
      </c>
      <c r="AA66" s="58">
        <v>9.5626917775958803E-2</v>
      </c>
      <c r="AB66" s="58">
        <v>3.7326431305541002E-2</v>
      </c>
      <c r="AC66" s="58">
        <v>4.6292682154637603E-2</v>
      </c>
      <c r="AD66" s="58">
        <v>6.7783448585451198E-2</v>
      </c>
      <c r="AE66" s="58">
        <v>6.5982901021778007E-2</v>
      </c>
      <c r="AF66" s="58">
        <v>1.02935161544895E-2</v>
      </c>
      <c r="AG66" s="58">
        <v>8.7775225591331194E-3</v>
      </c>
      <c r="AH66" s="58">
        <v>0.42674774018913197</v>
      </c>
      <c r="AI66" s="58">
        <v>3.05723181725393E-2</v>
      </c>
      <c r="AJ66" s="58">
        <v>2.50235505637636E-2</v>
      </c>
      <c r="AK66" s="58">
        <v>2.0389933571672798E-2</v>
      </c>
      <c r="AL66" s="59">
        <v>0.98612383138702198</v>
      </c>
      <c r="AM66" s="59">
        <v>5.4901710507956598E-4</v>
      </c>
      <c r="AN66" s="59">
        <v>1.44290686955303E-2</v>
      </c>
      <c r="AO66" s="59">
        <v>0.33206152881547701</v>
      </c>
      <c r="AP66" s="59">
        <v>0.59766639646291597</v>
      </c>
      <c r="AQ66" s="60">
        <v>0</v>
      </c>
      <c r="AR66" s="45">
        <v>3.8934256913574257</v>
      </c>
    </row>
    <row r="67" spans="1:44">
      <c r="A67" s="46">
        <v>62</v>
      </c>
      <c r="B67" s="56" t="s">
        <v>129</v>
      </c>
      <c r="C67" s="57" t="s">
        <v>263</v>
      </c>
      <c r="D67" s="58">
        <v>1.19957748721507</v>
      </c>
      <c r="E67" s="58">
        <v>0.189342975787296</v>
      </c>
      <c r="F67" s="58">
        <v>0.48859888897376802</v>
      </c>
      <c r="G67" s="58">
        <v>0.19226273325839099</v>
      </c>
      <c r="H67" s="58">
        <v>2.0288380219465701E-2</v>
      </c>
      <c r="I67" s="58">
        <v>2.6569469470469399E-3</v>
      </c>
      <c r="J67" s="58">
        <v>3.7528572044682497E-2</v>
      </c>
      <c r="K67" s="58">
        <v>8.5361738983332699E-2</v>
      </c>
      <c r="L67" s="58">
        <v>3.8737147967619998E-2</v>
      </c>
      <c r="M67" s="58">
        <v>9.4273916305762998E-2</v>
      </c>
      <c r="N67" s="58">
        <v>0.34990177929465199</v>
      </c>
      <c r="O67" s="58">
        <v>0.277848443502622</v>
      </c>
      <c r="P67" s="58">
        <v>6.6668232179679602E-3</v>
      </c>
      <c r="Q67" s="58">
        <v>2.06521445888396E-3</v>
      </c>
      <c r="R67" s="58">
        <v>3.02767780398313E-3</v>
      </c>
      <c r="S67" s="58">
        <v>3.4156668986441999E-2</v>
      </c>
      <c r="T67" s="58">
        <v>0.36443538400832098</v>
      </c>
      <c r="U67" s="58">
        <v>1.87758919361471</v>
      </c>
      <c r="V67" s="58">
        <v>1.22076759005807E-2</v>
      </c>
      <c r="W67" s="58">
        <v>0.39361711114686299</v>
      </c>
      <c r="X67" s="58">
        <v>0.86511297511102803</v>
      </c>
      <c r="Y67" s="58">
        <v>0.15480496685026199</v>
      </c>
      <c r="Z67" s="58">
        <v>0.69550899416157796</v>
      </c>
      <c r="AA67" s="58">
        <v>1.8764713319122901E-2</v>
      </c>
      <c r="AB67" s="58">
        <v>0.12698912776687499</v>
      </c>
      <c r="AC67" s="58">
        <v>0.20942653963812999</v>
      </c>
      <c r="AD67" s="58">
        <v>0.288800791116956</v>
      </c>
      <c r="AE67" s="58">
        <v>2.53410978476689E-2</v>
      </c>
      <c r="AF67" s="58">
        <v>7.2413296881404299E-2</v>
      </c>
      <c r="AG67" s="58">
        <v>6.4366259084033595E-2</v>
      </c>
      <c r="AH67" s="58">
        <v>0.33322492651434799</v>
      </c>
      <c r="AI67" s="58">
        <v>0.12222840281031699</v>
      </c>
      <c r="AJ67" s="58">
        <v>0.17462893820188</v>
      </c>
      <c r="AK67" s="58">
        <v>0.13906821464938399</v>
      </c>
      <c r="AL67" s="59">
        <v>6.9119518630757604</v>
      </c>
      <c r="AM67" s="59">
        <v>3.8492419261561498E-3</v>
      </c>
      <c r="AN67" s="59">
        <v>6.8298790675638904E-2</v>
      </c>
      <c r="AO67" s="59">
        <v>2.3592981665069099</v>
      </c>
      <c r="AP67" s="59">
        <v>5.9497126595133999E-3</v>
      </c>
      <c r="AQ67" s="60">
        <v>0</v>
      </c>
      <c r="AR67" s="45">
        <v>18.31017177843443</v>
      </c>
    </row>
    <row r="68" spans="1:44">
      <c r="A68" s="46">
        <v>63</v>
      </c>
      <c r="B68" s="56" t="s">
        <v>131</v>
      </c>
      <c r="C68" s="57" t="s">
        <v>264</v>
      </c>
      <c r="D68" s="58">
        <v>6.7415047208418803</v>
      </c>
      <c r="E68" s="58">
        <v>1.0610480530095601</v>
      </c>
      <c r="F68" s="58">
        <v>2.7696293813293802</v>
      </c>
      <c r="G68" s="58">
        <v>1.1121752234228801</v>
      </c>
      <c r="H68" s="58">
        <v>0.117725689583349</v>
      </c>
      <c r="I68" s="58">
        <v>9.7414581242315293E-3</v>
      </c>
      <c r="J68" s="58">
        <v>0.21577551820843999</v>
      </c>
      <c r="K68" s="58">
        <v>0.48951617958140697</v>
      </c>
      <c r="L68" s="58">
        <v>0.2229793495498</v>
      </c>
      <c r="M68" s="58">
        <v>0.54152286313675502</v>
      </c>
      <c r="N68" s="58">
        <v>2.00351755706378</v>
      </c>
      <c r="O68" s="58">
        <v>1.5790673137236899</v>
      </c>
      <c r="P68" s="58">
        <v>2.6677515481120899E-2</v>
      </c>
      <c r="Q68" s="58">
        <v>5.96613402383828E-3</v>
      </c>
      <c r="R68" s="58">
        <v>1.5471747794219099E-2</v>
      </c>
      <c r="S68" s="58">
        <v>0.197113103521393</v>
      </c>
      <c r="T68" s="58">
        <v>2.08973630475099</v>
      </c>
      <c r="U68" s="58">
        <v>10.7291162566958</v>
      </c>
      <c r="V68" s="58">
        <v>7.8872432196797196E-2</v>
      </c>
      <c r="W68" s="58">
        <v>1.8097022435094201</v>
      </c>
      <c r="X68" s="58">
        <v>4.9391787434511301</v>
      </c>
      <c r="Y68" s="58">
        <v>0.89155841589388496</v>
      </c>
      <c r="Z68" s="58">
        <v>3.9857131064360498</v>
      </c>
      <c r="AA68" s="58">
        <v>2.8748351144318601E-2</v>
      </c>
      <c r="AB68" s="58">
        <v>0.14023732971450101</v>
      </c>
      <c r="AC68" s="58">
        <v>1.1970245407559701</v>
      </c>
      <c r="AD68" s="58">
        <v>1.5546859709763099</v>
      </c>
      <c r="AE68" s="58">
        <v>0.21688498050125099</v>
      </c>
      <c r="AF68" s="58">
        <v>0.40744476026973198</v>
      </c>
      <c r="AG68" s="58">
        <v>0.34985183275223602</v>
      </c>
      <c r="AH68" s="58">
        <v>1.2487358046146899</v>
      </c>
      <c r="AI68" s="58">
        <v>0.70086499541539404</v>
      </c>
      <c r="AJ68" s="58">
        <v>0.99260872941413902</v>
      </c>
      <c r="AK68" s="58">
        <v>0.79591470373043705</v>
      </c>
      <c r="AL68" s="59">
        <v>38.2814113962595</v>
      </c>
      <c r="AM68" s="59">
        <v>2.3274047327459E-2</v>
      </c>
      <c r="AN68" s="59">
        <v>0.39196240199823401</v>
      </c>
      <c r="AO68" s="59">
        <v>13.413706383142801</v>
      </c>
      <c r="AP68" s="59">
        <v>3.4749815407243902E-2</v>
      </c>
      <c r="AQ68" s="60">
        <v>0</v>
      </c>
      <c r="AR68" s="45">
        <v>101.41141535475398</v>
      </c>
    </row>
    <row r="69" spans="1:44">
      <c r="A69" s="46">
        <v>64</v>
      </c>
      <c r="B69" s="56" t="s">
        <v>133</v>
      </c>
      <c r="C69" s="57" t="s">
        <v>265</v>
      </c>
      <c r="D69" s="58">
        <v>4.08385327291096</v>
      </c>
      <c r="E69" s="58">
        <v>0.77979574406838703</v>
      </c>
      <c r="F69" s="58">
        <v>3.4796296155716702</v>
      </c>
      <c r="G69" s="58">
        <v>1.3375937792330499</v>
      </c>
      <c r="H69" s="58">
        <v>0.141396619326696</v>
      </c>
      <c r="I69" s="58">
        <v>7.83221375498948E-3</v>
      </c>
      <c r="J69" s="58">
        <v>0.172436167359237</v>
      </c>
      <c r="K69" s="58">
        <v>0.85307695988237497</v>
      </c>
      <c r="L69" s="58">
        <v>0.38829568762174599</v>
      </c>
      <c r="M69" s="58">
        <v>1.5620146181766199</v>
      </c>
      <c r="N69" s="58">
        <v>4.6870829777767398</v>
      </c>
      <c r="O69" s="58">
        <v>0.75230019996789099</v>
      </c>
      <c r="P69" s="58">
        <v>3.9374976986699603E-2</v>
      </c>
      <c r="Q69" s="58">
        <v>9.2152209453291705E-3</v>
      </c>
      <c r="R69" s="58">
        <v>2.3470207765024401E-2</v>
      </c>
      <c r="S69" s="58">
        <v>0.13868117841174801</v>
      </c>
      <c r="T69" s="58">
        <v>1.2764750072570299</v>
      </c>
      <c r="U69" s="58">
        <v>16.124484025281401</v>
      </c>
      <c r="V69" s="58">
        <v>5.1615519543249597E-2</v>
      </c>
      <c r="W69" s="58">
        <v>2.2417224379292802</v>
      </c>
      <c r="X69" s="58">
        <v>5.9304679164896701</v>
      </c>
      <c r="Y69" s="58">
        <v>1.23079224751745</v>
      </c>
      <c r="Z69" s="58">
        <v>3.58369672097046</v>
      </c>
      <c r="AA69" s="58">
        <v>2.0546704659521599E-2</v>
      </c>
      <c r="AB69" s="58">
        <v>0.111762050287588</v>
      </c>
      <c r="AC69" s="58">
        <v>1.0732687723224199</v>
      </c>
      <c r="AD69" s="58">
        <v>6.4561144157841701</v>
      </c>
      <c r="AE69" s="58">
        <v>0.63869967109744796</v>
      </c>
      <c r="AF69" s="58">
        <v>2.7878019913082799</v>
      </c>
      <c r="AG69" s="58">
        <v>2.7001721594327499</v>
      </c>
      <c r="AH69" s="58">
        <v>6.6874495814953399</v>
      </c>
      <c r="AI69" s="58">
        <v>0.66459749158445602</v>
      </c>
      <c r="AJ69" s="58">
        <v>0.94134337496225196</v>
      </c>
      <c r="AK69" s="58">
        <v>3.55640574310786</v>
      </c>
      <c r="AL69" s="59">
        <v>79.487427527753596</v>
      </c>
      <c r="AM69" s="59">
        <v>5.9088895146600401E-2</v>
      </c>
      <c r="AN69" s="59">
        <v>0.270447203471255</v>
      </c>
      <c r="AO69" s="59">
        <v>20.1952049975996</v>
      </c>
      <c r="AP69" s="59">
        <v>-0.14813776307721399</v>
      </c>
      <c r="AQ69" s="60">
        <v>0</v>
      </c>
      <c r="AR69" s="45">
        <v>174.39749613168365</v>
      </c>
    </row>
    <row r="70" spans="1:44">
      <c r="A70" s="46" t="s">
        <v>170</v>
      </c>
      <c r="B70" s="56" t="s">
        <v>135</v>
      </c>
      <c r="C70" s="57" t="s">
        <v>266</v>
      </c>
      <c r="D70" s="58">
        <v>5.9818503266561199E-2</v>
      </c>
      <c r="E70" s="58">
        <v>2.7944895747565101E-2</v>
      </c>
      <c r="F70" s="58">
        <v>0.159004499624569</v>
      </c>
      <c r="G70" s="58">
        <v>2.1656916705528599E-2</v>
      </c>
      <c r="H70" s="58">
        <v>1.1202526785941799E-3</v>
      </c>
      <c r="I70" s="58">
        <v>1.83909687068484E-2</v>
      </c>
      <c r="J70" s="58">
        <v>8.0204676021085296E-3</v>
      </c>
      <c r="K70" s="58">
        <v>4.1308366110808799E-2</v>
      </c>
      <c r="L70" s="58">
        <v>1.8771782002863101E-3</v>
      </c>
      <c r="M70" s="58">
        <v>3.5571576657573798E-3</v>
      </c>
      <c r="N70" s="58">
        <v>1.95097120267669E-2</v>
      </c>
      <c r="O70" s="58">
        <v>1.60471243543743E-2</v>
      </c>
      <c r="P70" s="58">
        <v>3.4482672504374201E-2</v>
      </c>
      <c r="Q70" s="58">
        <v>7.9564068607688402E-4</v>
      </c>
      <c r="R70" s="58">
        <v>1.7570753855206699E-2</v>
      </c>
      <c r="S70" s="58">
        <v>1.2186144401585801E-2</v>
      </c>
      <c r="T70" s="58">
        <v>5.3745076341115798E-2</v>
      </c>
      <c r="U70" s="58">
        <v>9.1093079757695095E-2</v>
      </c>
      <c r="V70" s="58">
        <v>4.9223880844618999E-3</v>
      </c>
      <c r="W70" s="58">
        <v>0.14024247528588099</v>
      </c>
      <c r="X70" s="58">
        <v>6.9289281870740099E-2</v>
      </c>
      <c r="Y70" s="58">
        <v>8.82718008776813E-2</v>
      </c>
      <c r="Z70" s="58">
        <v>0.13705641552547099</v>
      </c>
      <c r="AA70" s="58">
        <v>7.6634112432817699E-3</v>
      </c>
      <c r="AB70" s="58">
        <v>2.0734052394403901E-2</v>
      </c>
      <c r="AC70" s="58">
        <v>3.8989258566012902E-2</v>
      </c>
      <c r="AD70" s="58">
        <v>9.9088812308531393E-2</v>
      </c>
      <c r="AE70" s="58">
        <v>39.229062487840601</v>
      </c>
      <c r="AF70" s="58">
        <v>3.2889032681372297E-2</v>
      </c>
      <c r="AG70" s="58">
        <v>2.8265899508066801E-2</v>
      </c>
      <c r="AH70" s="58">
        <v>9.5908288690610494E-2</v>
      </c>
      <c r="AI70" s="58">
        <v>0.164400443551417</v>
      </c>
      <c r="AJ70" s="58">
        <v>4.76774324415384E-4</v>
      </c>
      <c r="AK70" s="58">
        <v>9.6709066059891102E-2</v>
      </c>
      <c r="AL70" s="59">
        <v>0.96343544972490802</v>
      </c>
      <c r="AM70" s="59">
        <v>0.14228412919536301</v>
      </c>
      <c r="AN70" s="59">
        <v>0.41254603832245001</v>
      </c>
      <c r="AO70" s="59">
        <v>0.458356194694922</v>
      </c>
      <c r="AP70" s="59">
        <v>0.310833261825116</v>
      </c>
      <c r="AQ70" s="60">
        <v>0</v>
      </c>
      <c r="AR70" s="45">
        <v>43.12955437281142</v>
      </c>
    </row>
    <row r="71" spans="1:44">
      <c r="A71" s="46">
        <v>70</v>
      </c>
      <c r="B71" s="56" t="s">
        <v>137</v>
      </c>
      <c r="C71" s="57" t="s">
        <v>267</v>
      </c>
      <c r="D71" s="58">
        <v>0.36281208771795398</v>
      </c>
      <c r="E71" s="58">
        <v>0.12515839204876</v>
      </c>
      <c r="F71" s="58">
        <v>0.21071872024796601</v>
      </c>
      <c r="G71" s="58">
        <v>0.21987260858687399</v>
      </c>
      <c r="H71" s="58">
        <v>1.12238245085755E-2</v>
      </c>
      <c r="I71" s="58">
        <v>1.3486673495038399E-3</v>
      </c>
      <c r="J71" s="58">
        <v>4.0316830567726503E-2</v>
      </c>
      <c r="K71" s="58">
        <v>3.7446011416557498E-2</v>
      </c>
      <c r="L71" s="58">
        <v>3.2225475676181101E-2</v>
      </c>
      <c r="M71" s="58">
        <v>5.0184202925105002E-3</v>
      </c>
      <c r="N71" s="58">
        <v>9.3603906475570098E-2</v>
      </c>
      <c r="O71" s="58">
        <v>6.3931055771333706E-2</v>
      </c>
      <c r="P71" s="58">
        <v>2.51959610946688E-2</v>
      </c>
      <c r="Q71" s="58">
        <v>1.8660716737303899E-2</v>
      </c>
      <c r="R71" s="58">
        <v>2.18377935790149E-2</v>
      </c>
      <c r="S71" s="58">
        <v>2.18610089032715E-2</v>
      </c>
      <c r="T71" s="58">
        <v>8.6340654492582797E-2</v>
      </c>
      <c r="U71" s="58">
        <v>6.4124280131146294E-2</v>
      </c>
      <c r="V71" s="58">
        <v>9.041692288831E-4</v>
      </c>
      <c r="W71" s="58">
        <v>2.0689877513080299E-2</v>
      </c>
      <c r="X71" s="58">
        <v>2.0279292102744199E-2</v>
      </c>
      <c r="Y71" s="58">
        <v>2.1070233937861501E-2</v>
      </c>
      <c r="Z71" s="58">
        <v>6.0378705088768699E-2</v>
      </c>
      <c r="AA71" s="58">
        <v>4.7978926647917504E-6</v>
      </c>
      <c r="AB71" s="58">
        <v>1.1603832195195E-2</v>
      </c>
      <c r="AC71" s="58">
        <v>1.20583049078177E-2</v>
      </c>
      <c r="AD71" s="58">
        <v>2.0847560241843699E-2</v>
      </c>
      <c r="AE71" s="58">
        <v>6.7913726923838305E-2</v>
      </c>
      <c r="AF71" s="58">
        <v>1.15561680700408E-2</v>
      </c>
      <c r="AG71" s="58">
        <v>6.6210245797496098E-2</v>
      </c>
      <c r="AH71" s="58">
        <v>2.1202341618381498E-2</v>
      </c>
      <c r="AI71" s="58">
        <v>2.20303558647327E-2</v>
      </c>
      <c r="AJ71" s="58">
        <v>1.7321189860937499E-2</v>
      </c>
      <c r="AK71" s="58">
        <v>4.8763387796152101E-2</v>
      </c>
      <c r="AL71" s="59">
        <v>2.97411926046241E-2</v>
      </c>
      <c r="AM71" s="59">
        <v>2.6850210881226501E-2</v>
      </c>
      <c r="AN71" s="59">
        <v>2.4078982242312499E-2</v>
      </c>
      <c r="AO71" s="59">
        <v>2.7351692255798199E-2</v>
      </c>
      <c r="AP71" s="59">
        <v>2.7894038521507E-2</v>
      </c>
      <c r="AQ71" s="60">
        <v>0</v>
      </c>
      <c r="AR71" s="45">
        <v>2.0004467211434074</v>
      </c>
    </row>
    <row r="72" spans="1:44">
      <c r="A72" s="46" t="s">
        <v>171</v>
      </c>
      <c r="B72" s="56" t="s">
        <v>139</v>
      </c>
      <c r="C72" s="57" t="s">
        <v>268</v>
      </c>
      <c r="D72" s="58">
        <v>3.0069461893497299E-2</v>
      </c>
      <c r="E72" s="58">
        <v>3.7490425891812701E-2</v>
      </c>
      <c r="F72" s="58">
        <v>4.14030699847555E-2</v>
      </c>
      <c r="G72" s="58">
        <v>7.0008131230704096E-2</v>
      </c>
      <c r="H72" s="58">
        <v>9.6954069419709094E-3</v>
      </c>
      <c r="I72" s="58">
        <v>3.0734090378421899E-3</v>
      </c>
      <c r="J72" s="58">
        <v>1.07039894935907E-2</v>
      </c>
      <c r="K72" s="58">
        <v>1.34291492388972E-2</v>
      </c>
      <c r="L72" s="58">
        <v>8.8560020939445604E-3</v>
      </c>
      <c r="M72" s="58">
        <v>5.7457187779055303E-3</v>
      </c>
      <c r="N72" s="58">
        <v>1.38241386764184E-2</v>
      </c>
      <c r="O72" s="58">
        <v>2.4012602931147899E-2</v>
      </c>
      <c r="P72" s="58">
        <v>1.4050253734371999E-2</v>
      </c>
      <c r="Q72" s="58">
        <v>2.13694066489451E-3</v>
      </c>
      <c r="R72" s="58">
        <v>6.0146749317573798E-3</v>
      </c>
      <c r="S72" s="58">
        <v>8.0849301654258507E-3</v>
      </c>
      <c r="T72" s="58">
        <v>1.8117143051012301E-2</v>
      </c>
      <c r="U72" s="58">
        <v>2.3023229749669399E-2</v>
      </c>
      <c r="V72" s="58">
        <v>1.74207712937122E-4</v>
      </c>
      <c r="W72" s="58">
        <v>6.8566688697137704E-3</v>
      </c>
      <c r="X72" s="58">
        <v>4.5327712550106399E-3</v>
      </c>
      <c r="Y72" s="58">
        <v>1.05811320429233E-2</v>
      </c>
      <c r="Z72" s="58">
        <v>1.13328071289369E-2</v>
      </c>
      <c r="AA72" s="58">
        <v>8.0015500681301607E-5</v>
      </c>
      <c r="AB72" s="58">
        <v>6.92550606047025E-3</v>
      </c>
      <c r="AC72" s="58">
        <v>5.4098550731406497E-3</v>
      </c>
      <c r="AD72" s="58">
        <v>1.0920171959728799E-2</v>
      </c>
      <c r="AE72" s="58">
        <v>1.1223818730419499E-2</v>
      </c>
      <c r="AF72" s="58">
        <v>9.5799129283755894E-3</v>
      </c>
      <c r="AG72" s="58">
        <v>4.4090687265569597E-2</v>
      </c>
      <c r="AH72" s="58">
        <v>1.2523516611077101E-2</v>
      </c>
      <c r="AI72" s="58">
        <v>1.43918023124889E-2</v>
      </c>
      <c r="AJ72" s="58">
        <v>6.0299992344813001E-3</v>
      </c>
      <c r="AK72" s="58">
        <v>1.5670195609398901E-2</v>
      </c>
      <c r="AL72" s="59">
        <v>4.0348041225275202E-2</v>
      </c>
      <c r="AM72" s="59">
        <v>1.49241143548098E-2</v>
      </c>
      <c r="AN72" s="59">
        <v>1.37432199480668E-2</v>
      </c>
      <c r="AO72" s="59">
        <v>2.48502234429493E-2</v>
      </c>
      <c r="AP72" s="59">
        <v>1.5941151364013199E-2</v>
      </c>
      <c r="AQ72" s="60">
        <v>0</v>
      </c>
      <c r="AR72" s="45">
        <v>0.61986849712008629</v>
      </c>
    </row>
    <row r="73" spans="1:44">
      <c r="A73" s="46" t="s">
        <v>172</v>
      </c>
      <c r="B73" s="56" t="s">
        <v>141</v>
      </c>
      <c r="C73" s="57" t="s">
        <v>269</v>
      </c>
      <c r="D73" s="58">
        <v>3.1403942067844499E-4</v>
      </c>
      <c r="E73" s="58">
        <v>4.6528595570205299E-4</v>
      </c>
      <c r="F73" s="58">
        <v>5.2424338900047504E-4</v>
      </c>
      <c r="G73" s="58">
        <v>3.3024542762399498E-4</v>
      </c>
      <c r="H73" s="58">
        <v>0</v>
      </c>
      <c r="I73" s="58">
        <v>1.5240976972761999E-4</v>
      </c>
      <c r="J73" s="58">
        <v>5.9694591537821499E-7</v>
      </c>
      <c r="K73" s="58">
        <v>4.5165296457686199E-4</v>
      </c>
      <c r="L73" s="58">
        <v>6.1733587334456496E-7</v>
      </c>
      <c r="M73" s="58">
        <v>0.244642817982969</v>
      </c>
      <c r="N73" s="58">
        <v>0.90545844652277696</v>
      </c>
      <c r="O73" s="58">
        <v>3.0705463702515199E-4</v>
      </c>
      <c r="P73" s="58">
        <v>3.9504005421244501E-4</v>
      </c>
      <c r="Q73" s="58">
        <v>5.7454961147240302E-7</v>
      </c>
      <c r="R73" s="58">
        <v>2.6569748148719198E-4</v>
      </c>
      <c r="S73" s="58">
        <v>2.6496608534633698E-4</v>
      </c>
      <c r="T73" s="58">
        <v>2.3666149457099E-4</v>
      </c>
      <c r="U73" s="58">
        <v>2.6875758081488003E-4</v>
      </c>
      <c r="V73" s="58">
        <v>1.9801618230149101E-6</v>
      </c>
      <c r="W73" s="58">
        <v>2.6661384115609499E-4</v>
      </c>
      <c r="X73" s="58">
        <v>1.59743546485966E-4</v>
      </c>
      <c r="Y73" s="58">
        <v>8.4302337547018297E-2</v>
      </c>
      <c r="Z73" s="58">
        <v>1.15612188008821E-3</v>
      </c>
      <c r="AA73" s="58">
        <v>2.24472146732196E-5</v>
      </c>
      <c r="AB73" s="58">
        <v>2.24188752674685E-4</v>
      </c>
      <c r="AC73" s="58">
        <v>3.4163204787560298E-4</v>
      </c>
      <c r="AD73" s="58">
        <v>1.1408103956675301E-2</v>
      </c>
      <c r="AE73" s="58">
        <v>8.3970529192561004E-4</v>
      </c>
      <c r="AF73" s="58">
        <v>0.39957356007640199</v>
      </c>
      <c r="AG73" s="58">
        <v>0.42661375396943102</v>
      </c>
      <c r="AH73" s="58">
        <v>0.54343799414500704</v>
      </c>
      <c r="AI73" s="58">
        <v>1.3635457088308101E-3</v>
      </c>
      <c r="AJ73" s="58">
        <v>1.45621212173104E-6</v>
      </c>
      <c r="AK73" s="58">
        <v>7.0837369979299097E-2</v>
      </c>
      <c r="AL73" s="59">
        <v>5.3006058196860099E-3</v>
      </c>
      <c r="AM73" s="59">
        <v>1.79720393780855E-3</v>
      </c>
      <c r="AN73" s="59">
        <v>155.775552074968</v>
      </c>
      <c r="AO73" s="59">
        <v>11.8581848836498</v>
      </c>
      <c r="AP73" s="59">
        <v>7.0137072670749498</v>
      </c>
      <c r="AQ73" s="60">
        <v>0</v>
      </c>
      <c r="AR73" s="45">
        <v>177.34917169737966</v>
      </c>
    </row>
    <row r="74" spans="1:44">
      <c r="A74" s="46" t="s">
        <v>173</v>
      </c>
      <c r="B74" s="56" t="s">
        <v>143</v>
      </c>
      <c r="C74" s="57" t="s">
        <v>270</v>
      </c>
      <c r="D74" s="58">
        <v>2.8936379520434801E-4</v>
      </c>
      <c r="E74" s="58">
        <v>6.2389871486179E-4</v>
      </c>
      <c r="F74" s="58">
        <v>2.9113077599491097E-4</v>
      </c>
      <c r="G74" s="58">
        <v>2.2227650682711699E-4</v>
      </c>
      <c r="H74" s="58">
        <v>7.5546378385346903E-6</v>
      </c>
      <c r="I74" s="58">
        <v>1.05771581432269E-4</v>
      </c>
      <c r="J74" s="58">
        <v>1.0368702007271299E-4</v>
      </c>
      <c r="K74" s="58">
        <v>9.9616545667273308E-4</v>
      </c>
      <c r="L74" s="58">
        <v>3.6721121321641003E-5</v>
      </c>
      <c r="M74" s="58">
        <v>2.59030865690187E-5</v>
      </c>
      <c r="N74" s="58">
        <v>4.0644722971338799E-6</v>
      </c>
      <c r="O74" s="58">
        <v>2.01084489989505E-4</v>
      </c>
      <c r="P74" s="58">
        <v>1.70099913112416E-4</v>
      </c>
      <c r="Q74" s="58">
        <v>6.3556423381372799E-7</v>
      </c>
      <c r="R74" s="58">
        <v>2.3363378351119301E-4</v>
      </c>
      <c r="S74" s="58">
        <v>1.89450824232917E-4</v>
      </c>
      <c r="T74" s="58">
        <v>1.8716103137198599E-4</v>
      </c>
      <c r="U74" s="58">
        <v>2.97660539975062E-4</v>
      </c>
      <c r="V74" s="58">
        <v>3.37131439083373E-6</v>
      </c>
      <c r="W74" s="58">
        <v>2.0120896628433399E-4</v>
      </c>
      <c r="X74" s="58">
        <v>1.8888195082961899E-4</v>
      </c>
      <c r="Y74" s="58">
        <v>1.8521887107565799E-4</v>
      </c>
      <c r="Z74" s="58">
        <v>6.6818320329897098E-5</v>
      </c>
      <c r="AA74" s="58">
        <v>1.4838186175888001E-5</v>
      </c>
      <c r="AB74" s="58">
        <v>1.5136488474211201E-4</v>
      </c>
      <c r="AC74" s="58">
        <v>3.0324042172475401E-5</v>
      </c>
      <c r="AD74" s="58">
        <v>5.1766377139251998E-4</v>
      </c>
      <c r="AE74" s="58">
        <v>1.4605295954482601E-3</v>
      </c>
      <c r="AF74" s="58">
        <v>8.7072591155395396E-5</v>
      </c>
      <c r="AG74" s="58">
        <v>2.0804677518794601E-4</v>
      </c>
      <c r="AH74" s="58">
        <v>4.3257942852911198E-4</v>
      </c>
      <c r="AI74" s="58">
        <v>2.1069248563828501E-3</v>
      </c>
      <c r="AJ74" s="58">
        <v>6.0336471792705697E-6</v>
      </c>
      <c r="AK74" s="58">
        <v>4.1552969285424403E-5</v>
      </c>
      <c r="AL74" s="59">
        <v>1.32703530738351E-2</v>
      </c>
      <c r="AM74" s="59">
        <v>5.89475985648208E-3</v>
      </c>
      <c r="AN74" s="59">
        <v>3.4453167960725797E-4</v>
      </c>
      <c r="AO74" s="59">
        <v>2.63727421081201E-4</v>
      </c>
      <c r="AP74" s="59">
        <v>7.6223454603440794E-5</v>
      </c>
      <c r="AQ74" s="60">
        <v>0</v>
      </c>
      <c r="AR74" s="45">
        <v>2.9538288971689777E-2</v>
      </c>
    </row>
    <row r="75" spans="1:44">
      <c r="A75" s="46" t="s">
        <v>2</v>
      </c>
      <c r="B75" s="56" t="s">
        <v>145</v>
      </c>
      <c r="C75" s="57" t="s">
        <v>271</v>
      </c>
      <c r="D75" s="58">
        <v>6.6707421429267999E-4</v>
      </c>
      <c r="E75" s="58">
        <v>2.5851558373618999E-3</v>
      </c>
      <c r="F75" s="58">
        <v>8.4063028518004696E-3</v>
      </c>
      <c r="G75" s="58">
        <v>2.21440920507003E-3</v>
      </c>
      <c r="H75" s="58">
        <v>2.39065677702059E-4</v>
      </c>
      <c r="I75" s="58">
        <v>1.15407575411676E-5</v>
      </c>
      <c r="J75" s="58">
        <v>8.5757737877224598E-4</v>
      </c>
      <c r="K75" s="58">
        <v>3.4412147861397199E-3</v>
      </c>
      <c r="L75" s="58">
        <v>1.50863500496289E-3</v>
      </c>
      <c r="M75" s="58">
        <v>9.9740586625910897E-4</v>
      </c>
      <c r="N75" s="58">
        <v>3.6929188244185802E-3</v>
      </c>
      <c r="O75" s="58">
        <v>5.91798531450625E-5</v>
      </c>
      <c r="P75" s="58">
        <v>6.1849473231546004E-4</v>
      </c>
      <c r="Q75" s="58">
        <v>1.3811031884582801E-4</v>
      </c>
      <c r="R75" s="58">
        <v>3.56903834302597E-4</v>
      </c>
      <c r="S75" s="58">
        <v>1.09874581794814E-5</v>
      </c>
      <c r="T75" s="58">
        <v>5.5366832028298099E-3</v>
      </c>
      <c r="U75" s="58">
        <v>2.1473664276913301E-2</v>
      </c>
      <c r="V75" s="58">
        <v>7.4611671226579095E-4</v>
      </c>
      <c r="W75" s="58">
        <v>3.5778581481599502E-3</v>
      </c>
      <c r="X75" s="58">
        <v>2.7415444146817501E-3</v>
      </c>
      <c r="Y75" s="58">
        <v>2.82730475616709E-3</v>
      </c>
      <c r="Z75" s="58">
        <v>4.4961876283984101E-3</v>
      </c>
      <c r="AA75" s="58">
        <v>2.97746207235457E-5</v>
      </c>
      <c r="AB75" s="58">
        <v>2.4245504316492599E-4</v>
      </c>
      <c r="AC75" s="58">
        <v>1.2695480546650599E-3</v>
      </c>
      <c r="AD75" s="58">
        <v>7.1206235131346699E-4</v>
      </c>
      <c r="AE75" s="58">
        <v>1.14885816329471E-3</v>
      </c>
      <c r="AF75" s="58">
        <v>2.4564628556305898E-3</v>
      </c>
      <c r="AG75" s="58">
        <v>2.2335093271398198E-3</v>
      </c>
      <c r="AH75" s="58">
        <v>5.5942228719528503E-2</v>
      </c>
      <c r="AI75" s="58">
        <v>0.16902111274252701</v>
      </c>
      <c r="AJ75" s="58">
        <v>7.47476960666692E-2</v>
      </c>
      <c r="AK75" s="58">
        <v>2.83727172243094E-2</v>
      </c>
      <c r="AL75" s="59">
        <v>1.1894198127655</v>
      </c>
      <c r="AM75" s="59">
        <v>1.9592882596622199E-5</v>
      </c>
      <c r="AN75" s="59">
        <v>12.9755309045328</v>
      </c>
      <c r="AO75" s="59">
        <v>0.30976923478121599</v>
      </c>
      <c r="AP75" s="59">
        <v>7.1834189189732395E-4</v>
      </c>
      <c r="AQ75" s="60">
        <v>0</v>
      </c>
      <c r="AR75" s="45">
        <v>14.878838647763502</v>
      </c>
    </row>
    <row r="76" spans="1:44">
      <c r="A76" s="46"/>
      <c r="B76" s="56" t="s">
        <v>147</v>
      </c>
      <c r="C76" s="57" t="s">
        <v>272</v>
      </c>
      <c r="D76" s="58">
        <v>1.1205061762300001E-2</v>
      </c>
      <c r="E76" s="58">
        <v>3.0508485353719244E-3</v>
      </c>
      <c r="F76" s="58">
        <v>2.5765928694170214E-3</v>
      </c>
      <c r="G76" s="58">
        <v>4.2518836106326579E-3</v>
      </c>
      <c r="H76" s="58">
        <v>3.1444040598650499E-3</v>
      </c>
      <c r="I76" s="58">
        <v>2.6755829261781631E-4</v>
      </c>
      <c r="J76" s="58">
        <v>9.5989113348977602E-4</v>
      </c>
      <c r="K76" s="58">
        <v>1.1556470194289496E-3</v>
      </c>
      <c r="L76" s="58">
        <v>3.0585290730115799E-4</v>
      </c>
      <c r="M76" s="58">
        <v>2.6697239168604003E-4</v>
      </c>
      <c r="N76" s="58">
        <v>2.2852037723115901E-3</v>
      </c>
      <c r="O76" s="58">
        <v>1.9358245284134112E-3</v>
      </c>
      <c r="P76" s="58">
        <v>1.3483471442489613E-3</v>
      </c>
      <c r="Q76" s="58">
        <v>1.4472883043355501E-4</v>
      </c>
      <c r="R76" s="58">
        <v>7.6233436687530903E-4</v>
      </c>
      <c r="S76" s="58">
        <v>5.576583630229376E-4</v>
      </c>
      <c r="T76" s="58">
        <v>3.0348667138256928E-3</v>
      </c>
      <c r="U76" s="58">
        <v>1.3552481404414552E-3</v>
      </c>
      <c r="V76" s="58">
        <v>4.81211760365077E-5</v>
      </c>
      <c r="W76" s="58">
        <v>5.364878391713343E-4</v>
      </c>
      <c r="X76" s="58">
        <v>6.6196653632534866E-4</v>
      </c>
      <c r="Y76" s="58">
        <v>7.4233554781462786E-4</v>
      </c>
      <c r="Z76" s="58">
        <v>1.1481959878610034E-3</v>
      </c>
      <c r="AA76" s="58">
        <v>7.6485367030053706E-6</v>
      </c>
      <c r="AB76" s="58">
        <v>4.365924387231499E-4</v>
      </c>
      <c r="AC76" s="58">
        <v>3.3713039532000589E-4</v>
      </c>
      <c r="AD76" s="58">
        <v>2.5860407703984841E-4</v>
      </c>
      <c r="AE76" s="58">
        <v>7.1950701777186415E-4</v>
      </c>
      <c r="AF76" s="58">
        <v>3.3768236176379986E-4</v>
      </c>
      <c r="AG76" s="58">
        <v>3.2822879184168999E-3</v>
      </c>
      <c r="AH76" s="58">
        <v>7.0442762108965658E-4</v>
      </c>
      <c r="AI76" s="58">
        <v>1.486783472049909E-4</v>
      </c>
      <c r="AJ76" s="58">
        <v>1.4799721505616201E-4</v>
      </c>
      <c r="AK76" s="58">
        <v>2.6634741495503199E-3</v>
      </c>
      <c r="AL76" s="59">
        <v>4.6670115637190786E-4</v>
      </c>
      <c r="AM76" s="59">
        <v>9.9041343027758536E-4</v>
      </c>
      <c r="AN76" s="59">
        <v>2.0915846269232199E-4</v>
      </c>
      <c r="AO76" s="59">
        <v>1.245142509822703E-3</v>
      </c>
      <c r="AP76" s="59">
        <v>6.1559156273297184E-4</v>
      </c>
      <c r="AQ76" s="60">
        <v>0</v>
      </c>
      <c r="AR76" s="45">
        <v>5.4317068729429333E-2</v>
      </c>
    </row>
    <row r="77" spans="1:44">
      <c r="B77" s="29" t="s">
        <v>273</v>
      </c>
      <c r="C77" s="46" t="s">
        <v>274</v>
      </c>
      <c r="D77" s="61">
        <v>2130.9190390231429</v>
      </c>
      <c r="E77" s="61">
        <v>71.703373607515246</v>
      </c>
      <c r="F77" s="61">
        <v>454.17767245507827</v>
      </c>
      <c r="G77" s="61">
        <v>84.083192341377696</v>
      </c>
      <c r="H77" s="61">
        <v>8.9092516840773239</v>
      </c>
      <c r="I77" s="61">
        <v>2.1804124581400157</v>
      </c>
      <c r="J77" s="61">
        <v>25.513153157097424</v>
      </c>
      <c r="K77" s="61">
        <v>51.994282659084206</v>
      </c>
      <c r="L77" s="61">
        <v>24.021066394623517</v>
      </c>
      <c r="M77" s="61">
        <v>46.590629143818298</v>
      </c>
      <c r="N77" s="61">
        <v>171.06175098490976</v>
      </c>
      <c r="O77" s="61">
        <v>1034.0297456053047</v>
      </c>
      <c r="P77" s="61">
        <v>18.000614913973042</v>
      </c>
      <c r="Q77" s="61">
        <v>4.0846457258139877</v>
      </c>
      <c r="R77" s="61">
        <v>10.383121577905962</v>
      </c>
      <c r="S77" s="61">
        <v>17.322647855775372</v>
      </c>
      <c r="T77" s="61">
        <v>187.73099045312441</v>
      </c>
      <c r="U77" s="61">
        <v>1305.114718952022</v>
      </c>
      <c r="V77" s="61">
        <v>5.6753211546687341</v>
      </c>
      <c r="W77" s="61">
        <v>118.0325292904808</v>
      </c>
      <c r="X77" s="61">
        <v>594.2499589933085</v>
      </c>
      <c r="Y77" s="61">
        <v>174.38636922502732</v>
      </c>
      <c r="Z77" s="61">
        <v>272.12365012267043</v>
      </c>
      <c r="AA77" s="61">
        <v>2.6180379584670055</v>
      </c>
      <c r="AB77" s="61">
        <v>13.995323365974905</v>
      </c>
      <c r="AC77" s="61">
        <v>82.310434556443155</v>
      </c>
      <c r="AD77" s="61">
        <v>236.90333339242738</v>
      </c>
      <c r="AE77" s="61">
        <v>1357.7837188186766</v>
      </c>
      <c r="AF77" s="61">
        <v>98.965924543606462</v>
      </c>
      <c r="AG77" s="61">
        <v>76.208911721428706</v>
      </c>
      <c r="AH77" s="61">
        <v>198.32858647382676</v>
      </c>
      <c r="AI77" s="61">
        <v>137.86818764622024</v>
      </c>
      <c r="AJ77" s="61">
        <v>90.053370675866489</v>
      </c>
      <c r="AK77" s="61">
        <v>109.70857330750705</v>
      </c>
      <c r="AL77" s="61">
        <v>5641.1029558586788</v>
      </c>
      <c r="AM77" s="61">
        <v>81.576761919735006</v>
      </c>
      <c r="AN77" s="61">
        <v>1302.2101965332188</v>
      </c>
      <c r="AO77" s="61">
        <v>2211.3670285159224</v>
      </c>
      <c r="AP77" s="61">
        <v>218.46815532723014</v>
      </c>
      <c r="AQ77" s="61">
        <v>2712.8316057648699</v>
      </c>
      <c r="AR77" s="62">
        <v>21384.58924415904</v>
      </c>
    </row>
    <row r="78" spans="1:44">
      <c r="B78" s="63" t="s">
        <v>275</v>
      </c>
      <c r="C78" s="43" t="s">
        <v>276</v>
      </c>
      <c r="D78" s="64">
        <v>15.4867950488324</v>
      </c>
      <c r="E78" s="64">
        <v>2.7387704337869998</v>
      </c>
      <c r="F78" s="64">
        <v>14.7115165484692</v>
      </c>
      <c r="G78" s="64">
        <v>2.9191188271897301</v>
      </c>
      <c r="H78" s="64">
        <v>0.30930277030363901</v>
      </c>
      <c r="I78" s="64">
        <v>8.71253379386559E-2</v>
      </c>
      <c r="J78" s="64">
        <v>0.71558914030273002</v>
      </c>
      <c r="K78" s="64">
        <v>3.1833664118778802</v>
      </c>
      <c r="L78" s="64">
        <v>1.4720348914947701</v>
      </c>
      <c r="M78" s="64">
        <v>2.4768402429753</v>
      </c>
      <c r="N78" s="64">
        <v>9.0939452130034102</v>
      </c>
      <c r="O78" s="64">
        <v>25.638142708162899</v>
      </c>
      <c r="P78" s="64">
        <v>0.73088198374022595</v>
      </c>
      <c r="Q78" s="64">
        <v>0.16887370101896501</v>
      </c>
      <c r="R78" s="64">
        <v>0.43111710533023501</v>
      </c>
      <c r="S78" s="64">
        <v>0.56054317472339699</v>
      </c>
      <c r="T78" s="64">
        <v>12.520468944989601</v>
      </c>
      <c r="U78" s="64">
        <v>60.241218504326902</v>
      </c>
      <c r="V78" s="64">
        <v>0.51834717325725299</v>
      </c>
      <c r="W78" s="64">
        <v>6.6810378479884198</v>
      </c>
      <c r="X78" s="64">
        <v>41.376583761706897</v>
      </c>
      <c r="Y78" s="64">
        <v>8.4997351490403705</v>
      </c>
      <c r="Z78" s="64">
        <v>14.568980021609001</v>
      </c>
      <c r="AA78" s="64">
        <v>0.13119524698835999</v>
      </c>
      <c r="AB78" s="64">
        <v>0.76460393030826401</v>
      </c>
      <c r="AC78" s="64">
        <v>4.4884711549537597</v>
      </c>
      <c r="AD78" s="64">
        <v>16.3790083476229</v>
      </c>
      <c r="AE78" s="64">
        <v>21.067910984407401</v>
      </c>
      <c r="AF78" s="64">
        <v>6.7535982061599302</v>
      </c>
      <c r="AG78" s="64">
        <v>3.3038120688642398</v>
      </c>
      <c r="AH78" s="64">
        <v>8.7640204346156008</v>
      </c>
      <c r="AI78" s="64">
        <v>4.7869094710467701</v>
      </c>
      <c r="AJ78" s="64">
        <v>3.3573403466643499</v>
      </c>
      <c r="AK78" s="64">
        <v>4.4635984573624299</v>
      </c>
      <c r="AL78" s="64">
        <v>544.85444666408796</v>
      </c>
      <c r="AM78" s="64">
        <v>2.0436796201831799</v>
      </c>
      <c r="AN78" s="64">
        <v>17.904822262938101</v>
      </c>
      <c r="AO78" s="64">
        <v>132.82491411020499</v>
      </c>
      <c r="AP78" s="64">
        <v>7.2167301027628401</v>
      </c>
      <c r="AQ78" s="44">
        <v>0</v>
      </c>
      <c r="AR78" s="45">
        <v>1004.23539635124</v>
      </c>
    </row>
    <row r="79" spans="1:44">
      <c r="B79" s="63" t="s">
        <v>277</v>
      </c>
      <c r="C79" s="43" t="s">
        <v>278</v>
      </c>
      <c r="D79" s="64">
        <v>0</v>
      </c>
      <c r="E79" s="64">
        <v>0</v>
      </c>
      <c r="F79" s="64">
        <v>0</v>
      </c>
      <c r="G79" s="64">
        <v>0</v>
      </c>
      <c r="H79" s="64">
        <v>0</v>
      </c>
      <c r="I79" s="64">
        <v>0</v>
      </c>
      <c r="J79" s="64">
        <v>0</v>
      </c>
      <c r="K79" s="64">
        <v>0</v>
      </c>
      <c r="L79" s="64">
        <v>0</v>
      </c>
      <c r="M79" s="64">
        <v>0</v>
      </c>
      <c r="N79" s="64">
        <v>0</v>
      </c>
      <c r="O79" s="64">
        <v>0</v>
      </c>
      <c r="P79" s="64">
        <v>0</v>
      </c>
      <c r="Q79" s="64">
        <v>0</v>
      </c>
      <c r="R79" s="64">
        <v>0</v>
      </c>
      <c r="S79" s="64">
        <v>0</v>
      </c>
      <c r="T79" s="64">
        <v>0</v>
      </c>
      <c r="U79" s="64">
        <v>0</v>
      </c>
      <c r="V79" s="64">
        <v>0</v>
      </c>
      <c r="W79" s="64">
        <v>0</v>
      </c>
      <c r="X79" s="64">
        <v>0</v>
      </c>
      <c r="Y79" s="64">
        <v>0</v>
      </c>
      <c r="Z79" s="64">
        <v>0</v>
      </c>
      <c r="AA79" s="64">
        <v>0</v>
      </c>
      <c r="AB79" s="64">
        <v>0</v>
      </c>
      <c r="AC79" s="64">
        <v>0</v>
      </c>
      <c r="AD79" s="64">
        <v>0</v>
      </c>
      <c r="AE79" s="64">
        <v>0</v>
      </c>
      <c r="AF79" s="64">
        <v>0</v>
      </c>
      <c r="AG79" s="64">
        <v>0</v>
      </c>
      <c r="AH79" s="64">
        <v>0</v>
      </c>
      <c r="AI79" s="64">
        <v>0</v>
      </c>
      <c r="AJ79" s="64">
        <v>0</v>
      </c>
      <c r="AK79" s="64">
        <v>0</v>
      </c>
      <c r="AL79" s="64">
        <v>0</v>
      </c>
      <c r="AM79" s="64">
        <v>0</v>
      </c>
      <c r="AN79" s="64">
        <v>0</v>
      </c>
      <c r="AO79" s="64">
        <v>0</v>
      </c>
      <c r="AP79" s="64">
        <v>0</v>
      </c>
      <c r="AQ79" s="44">
        <v>0</v>
      </c>
      <c r="AR79" s="45">
        <v>0</v>
      </c>
    </row>
    <row r="80" spans="1:44">
      <c r="B80" s="63" t="s">
        <v>279</v>
      </c>
      <c r="C80" s="43" t="s">
        <v>280</v>
      </c>
      <c r="D80" s="64">
        <v>0</v>
      </c>
      <c r="E80" s="64">
        <v>0</v>
      </c>
      <c r="F80" s="64">
        <v>0</v>
      </c>
      <c r="G80" s="64">
        <v>0</v>
      </c>
      <c r="H80" s="64">
        <v>0</v>
      </c>
      <c r="I80" s="64">
        <v>0</v>
      </c>
      <c r="J80" s="64">
        <v>0</v>
      </c>
      <c r="K80" s="64">
        <v>0</v>
      </c>
      <c r="L80" s="64">
        <v>0</v>
      </c>
      <c r="M80" s="64">
        <v>0</v>
      </c>
      <c r="N80" s="64">
        <v>0</v>
      </c>
      <c r="O80" s="64">
        <v>0</v>
      </c>
      <c r="P80" s="64">
        <v>0</v>
      </c>
      <c r="Q80" s="64">
        <v>0</v>
      </c>
      <c r="R80" s="64">
        <v>0</v>
      </c>
      <c r="S80" s="64">
        <v>0</v>
      </c>
      <c r="T80" s="64">
        <v>0</v>
      </c>
      <c r="U80" s="64">
        <v>0</v>
      </c>
      <c r="V80" s="64">
        <v>0</v>
      </c>
      <c r="W80" s="64">
        <v>0</v>
      </c>
      <c r="X80" s="64">
        <v>0</v>
      </c>
      <c r="Y80" s="64">
        <v>0</v>
      </c>
      <c r="Z80" s="64">
        <v>0</v>
      </c>
      <c r="AA80" s="64">
        <v>0</v>
      </c>
      <c r="AB80" s="64">
        <v>0</v>
      </c>
      <c r="AC80" s="64">
        <v>0</v>
      </c>
      <c r="AD80" s="64">
        <v>0</v>
      </c>
      <c r="AE80" s="64">
        <v>0</v>
      </c>
      <c r="AF80" s="64">
        <v>0</v>
      </c>
      <c r="AG80" s="64">
        <v>0</v>
      </c>
      <c r="AH80" s="64">
        <v>0</v>
      </c>
      <c r="AI80" s="64">
        <v>0</v>
      </c>
      <c r="AJ80" s="64">
        <v>0</v>
      </c>
      <c r="AK80" s="64">
        <v>0</v>
      </c>
      <c r="AL80" s="64">
        <v>0</v>
      </c>
      <c r="AM80" s="64">
        <v>0</v>
      </c>
      <c r="AN80" s="64">
        <v>0</v>
      </c>
      <c r="AO80" s="64">
        <v>0</v>
      </c>
      <c r="AP80" s="64">
        <v>0</v>
      </c>
      <c r="AQ80" s="44">
        <v>0</v>
      </c>
      <c r="AR80" s="45">
        <v>0</v>
      </c>
    </row>
    <row r="81" spans="2:49">
      <c r="B81" s="63" t="s">
        <v>281</v>
      </c>
      <c r="C81" s="43" t="s">
        <v>282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4">
        <v>0</v>
      </c>
      <c r="P81" s="64">
        <v>0</v>
      </c>
      <c r="Q81" s="64">
        <v>0</v>
      </c>
      <c r="R81" s="64">
        <v>0</v>
      </c>
      <c r="S81" s="64">
        <v>0</v>
      </c>
      <c r="T81" s="64">
        <v>0</v>
      </c>
      <c r="U81" s="64">
        <v>0</v>
      </c>
      <c r="V81" s="64">
        <v>0</v>
      </c>
      <c r="W81" s="64">
        <v>0</v>
      </c>
      <c r="X81" s="64">
        <v>0</v>
      </c>
      <c r="Y81" s="64">
        <v>0</v>
      </c>
      <c r="Z81" s="64">
        <v>0</v>
      </c>
      <c r="AA81" s="64">
        <v>0</v>
      </c>
      <c r="AB81" s="64">
        <v>0</v>
      </c>
      <c r="AC81" s="64">
        <v>0</v>
      </c>
      <c r="AD81" s="64">
        <v>0</v>
      </c>
      <c r="AE81" s="64">
        <v>0</v>
      </c>
      <c r="AF81" s="64">
        <v>0</v>
      </c>
      <c r="AG81" s="64">
        <v>0</v>
      </c>
      <c r="AH81" s="64">
        <v>0</v>
      </c>
      <c r="AI81" s="64">
        <v>0</v>
      </c>
      <c r="AJ81" s="64">
        <v>0</v>
      </c>
      <c r="AK81" s="64">
        <v>0</v>
      </c>
      <c r="AL81" s="64">
        <v>0</v>
      </c>
      <c r="AM81" s="64">
        <v>0</v>
      </c>
      <c r="AN81" s="64">
        <v>0</v>
      </c>
      <c r="AO81" s="64">
        <v>0</v>
      </c>
      <c r="AP81" s="64">
        <v>0</v>
      </c>
      <c r="AQ81" s="44">
        <v>0</v>
      </c>
      <c r="AR81" s="45">
        <v>0</v>
      </c>
    </row>
    <row r="82" spans="2:49">
      <c r="B82" s="65" t="s">
        <v>283</v>
      </c>
      <c r="C82" s="66" t="s">
        <v>284</v>
      </c>
      <c r="D82" s="67">
        <v>908.06213998813701</v>
      </c>
      <c r="E82" s="67">
        <v>70.980728116926898</v>
      </c>
      <c r="F82" s="67">
        <v>174.12815804960599</v>
      </c>
      <c r="G82" s="67">
        <v>41.308521858713497</v>
      </c>
      <c r="H82" s="67">
        <v>4.3769510610669196</v>
      </c>
      <c r="I82" s="67">
        <v>1.68225539393386</v>
      </c>
      <c r="J82" s="67">
        <v>13.251193717242099</v>
      </c>
      <c r="K82" s="67">
        <v>29.5295096869655</v>
      </c>
      <c r="L82" s="67">
        <v>13.6548744202851</v>
      </c>
      <c r="M82" s="67">
        <v>27.2723558503649</v>
      </c>
      <c r="N82" s="67">
        <v>100.13294585153599</v>
      </c>
      <c r="O82" s="67">
        <v>668.72253093647498</v>
      </c>
      <c r="P82" s="67">
        <v>15.466765562722999</v>
      </c>
      <c r="Q82" s="67">
        <v>3.5736685285404999</v>
      </c>
      <c r="R82" s="67">
        <v>9.1232064089193106</v>
      </c>
      <c r="S82" s="67">
        <v>10.264208633239001</v>
      </c>
      <c r="T82" s="67">
        <v>158.31998110911701</v>
      </c>
      <c r="U82" s="67">
        <v>607.03134930170097</v>
      </c>
      <c r="V82" s="67">
        <v>19.932169982200801</v>
      </c>
      <c r="W82" s="67">
        <v>247.099276089851</v>
      </c>
      <c r="X82" s="67">
        <v>1051.21964475764</v>
      </c>
      <c r="Y82" s="67">
        <v>126.219380524158</v>
      </c>
      <c r="Z82" s="67">
        <v>208.293833306349</v>
      </c>
      <c r="AA82" s="67">
        <v>1.8757085853811799</v>
      </c>
      <c r="AB82" s="67">
        <v>10.9316014826562</v>
      </c>
      <c r="AC82" s="67">
        <v>64.1720189857907</v>
      </c>
      <c r="AD82" s="67">
        <v>265.07172731974902</v>
      </c>
      <c r="AE82" s="67">
        <v>213.814544752513</v>
      </c>
      <c r="AF82" s="67">
        <v>168.01208897600799</v>
      </c>
      <c r="AG82" s="67">
        <v>126.363595695919</v>
      </c>
      <c r="AH82" s="67">
        <v>402.33629335173299</v>
      </c>
      <c r="AI82" s="67">
        <v>450.39387852979701</v>
      </c>
      <c r="AJ82" s="67">
        <v>239.51029506219601</v>
      </c>
      <c r="AK82" s="67">
        <v>115.64360126167099</v>
      </c>
      <c r="AL82" s="64">
        <v>0</v>
      </c>
      <c r="AM82" s="64">
        <v>0</v>
      </c>
      <c r="AN82" s="64">
        <v>0</v>
      </c>
      <c r="AO82" s="64">
        <v>0</v>
      </c>
      <c r="AP82" s="64">
        <v>0</v>
      </c>
      <c r="AQ82" s="44">
        <v>0</v>
      </c>
      <c r="AR82" s="45">
        <v>6567.7710031391061</v>
      </c>
    </row>
    <row r="83" spans="2:49">
      <c r="B83" s="63" t="s">
        <v>285</v>
      </c>
      <c r="C83" s="43"/>
      <c r="D83" s="64">
        <v>0</v>
      </c>
      <c r="E83" s="64">
        <v>0</v>
      </c>
      <c r="F83" s="64">
        <v>0</v>
      </c>
      <c r="G83" s="64">
        <v>0</v>
      </c>
      <c r="H83" s="64">
        <v>0</v>
      </c>
      <c r="I83" s="64">
        <v>0</v>
      </c>
      <c r="J83" s="64">
        <v>0</v>
      </c>
      <c r="K83" s="64">
        <v>0</v>
      </c>
      <c r="L83" s="64">
        <v>0</v>
      </c>
      <c r="M83" s="64">
        <v>0</v>
      </c>
      <c r="N83" s="64">
        <v>0</v>
      </c>
      <c r="O83" s="64">
        <v>0</v>
      </c>
      <c r="P83" s="64">
        <v>0</v>
      </c>
      <c r="Q83" s="64">
        <v>0</v>
      </c>
      <c r="R83" s="64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4">
        <v>0</v>
      </c>
      <c r="Y83" s="64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4">
        <v>0</v>
      </c>
      <c r="AF83" s="64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4">
        <v>0</v>
      </c>
      <c r="AM83" s="64">
        <v>0</v>
      </c>
      <c r="AN83" s="64">
        <v>0</v>
      </c>
      <c r="AO83" s="64">
        <v>0</v>
      </c>
      <c r="AP83" s="64">
        <v>0</v>
      </c>
      <c r="AQ83" s="44">
        <v>0</v>
      </c>
      <c r="AR83" s="45">
        <v>0</v>
      </c>
    </row>
    <row r="84" spans="2:49">
      <c r="B84" s="68" t="s">
        <v>286</v>
      </c>
      <c r="C84" s="69" t="s">
        <v>287</v>
      </c>
      <c r="D84" s="70">
        <v>3054.4679740601123</v>
      </c>
      <c r="E84" s="70">
        <v>145.42287215822915</v>
      </c>
      <c r="F84" s="70">
        <v>643.01734705315346</v>
      </c>
      <c r="G84" s="70">
        <v>128.31083302728092</v>
      </c>
      <c r="H84" s="70">
        <v>13.595505515447883</v>
      </c>
      <c r="I84" s="70">
        <v>3.9497931900125316</v>
      </c>
      <c r="J84" s="70">
        <v>39.479936014642249</v>
      </c>
      <c r="K84" s="70">
        <v>84.707158757927587</v>
      </c>
      <c r="L84" s="70">
        <v>39.147975706403386</v>
      </c>
      <c r="M84" s="70">
        <v>76.339825237158493</v>
      </c>
      <c r="N84" s="70">
        <v>280.28864204944921</v>
      </c>
      <c r="O84" s="70">
        <v>1728.3904192499426</v>
      </c>
      <c r="P84" s="70">
        <v>34.198262460436268</v>
      </c>
      <c r="Q84" s="70">
        <v>7.8271879553734527</v>
      </c>
      <c r="R84" s="70">
        <v>19.937445092155507</v>
      </c>
      <c r="S84" s="70">
        <v>28.147399663737769</v>
      </c>
      <c r="T84" s="70">
        <v>358.57144050723105</v>
      </c>
      <c r="U84" s="70">
        <v>1972.3872867580499</v>
      </c>
      <c r="V84" s="70">
        <v>26.125838310126788</v>
      </c>
      <c r="W84" s="70">
        <v>371.81284322832022</v>
      </c>
      <c r="X84" s="70">
        <v>1686.8461875126554</v>
      </c>
      <c r="Y84" s="70">
        <v>309.10548489822565</v>
      </c>
      <c r="Z84" s="70">
        <v>494.98646345062843</v>
      </c>
      <c r="AA84" s="70">
        <v>4.6249417908365453</v>
      </c>
      <c r="AB84" s="70">
        <v>25.691528778939368</v>
      </c>
      <c r="AC84" s="70">
        <v>150.97092469718763</v>
      </c>
      <c r="AD84" s="70">
        <v>518.35406905979926</v>
      </c>
      <c r="AE84" s="70">
        <v>1592.6661745555971</v>
      </c>
      <c r="AF84" s="70">
        <v>273.73161172577437</v>
      </c>
      <c r="AG84" s="70">
        <v>205.87631948621197</v>
      </c>
      <c r="AH84" s="70">
        <v>609.4289002601754</v>
      </c>
      <c r="AI84" s="70">
        <v>593.04897564706403</v>
      </c>
      <c r="AJ84" s="70">
        <v>332.92100608472686</v>
      </c>
      <c r="AK84" s="70">
        <v>229.81577302654048</v>
      </c>
      <c r="AL84" s="70">
        <v>6185.9574025227666</v>
      </c>
      <c r="AM84" s="70">
        <v>83.62044153991819</v>
      </c>
      <c r="AN84" s="70">
        <v>1320.1150187961568</v>
      </c>
      <c r="AO84" s="70">
        <v>2344.1919426261275</v>
      </c>
      <c r="AP84" s="70">
        <v>225.68488542999299</v>
      </c>
      <c r="AQ84" s="70">
        <v>2712.8316057648699</v>
      </c>
      <c r="AR84" s="71">
        <v>28956.595643649383</v>
      </c>
    </row>
    <row r="85" spans="2:49">
      <c r="B85" s="72"/>
    </row>
    <row r="86" spans="2:49">
      <c r="B86" s="13" t="s">
        <v>288</v>
      </c>
    </row>
    <row r="87" spans="2:49">
      <c r="B87" s="13" t="s">
        <v>289</v>
      </c>
    </row>
    <row r="89" spans="2:49">
      <c r="B89" s="24" t="s">
        <v>290</v>
      </c>
    </row>
    <row r="91" spans="2:49" s="73" customFormat="1" hidden="1">
      <c r="D91" s="74" t="s">
        <v>291</v>
      </c>
      <c r="E91" s="74"/>
      <c r="F91" s="74"/>
      <c r="G91" s="74"/>
      <c r="H91" s="74"/>
      <c r="I91" s="74"/>
      <c r="J91" s="74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S91" s="75"/>
    </row>
    <row r="92" spans="2:49" s="73" customFormat="1" hidden="1">
      <c r="D92" s="99" t="s">
        <v>292</v>
      </c>
      <c r="E92" s="100"/>
      <c r="F92" s="100"/>
      <c r="G92" s="100"/>
      <c r="H92" s="100"/>
      <c r="I92" s="99" t="s">
        <v>293</v>
      </c>
      <c r="J92" s="100"/>
      <c r="K92" s="100"/>
      <c r="L92" s="100"/>
      <c r="M92" s="100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V92" s="75"/>
      <c r="AW92" s="75"/>
    </row>
    <row r="93" spans="2:49" s="73" customFormat="1" hidden="1">
      <c r="D93" s="94" t="s">
        <v>294</v>
      </c>
      <c r="E93" s="95"/>
      <c r="F93" s="95"/>
      <c r="G93" s="95"/>
      <c r="H93" s="77">
        <v>410979.72008086671</v>
      </c>
      <c r="I93" s="94" t="s">
        <v>295</v>
      </c>
      <c r="J93" s="95"/>
      <c r="K93" s="95"/>
      <c r="L93" s="95"/>
      <c r="M93" s="77">
        <v>168320.45797955984</v>
      </c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V93" s="75"/>
      <c r="AW93" s="75"/>
    </row>
    <row r="94" spans="2:49" s="73" customFormat="1" hidden="1">
      <c r="D94" s="96" t="s">
        <v>296</v>
      </c>
      <c r="E94" s="95"/>
      <c r="F94" s="95"/>
      <c r="G94" s="95"/>
      <c r="H94" s="77">
        <v>-178510.76823883163</v>
      </c>
      <c r="I94" s="96" t="s">
        <v>297</v>
      </c>
      <c r="J94" s="95"/>
      <c r="K94" s="95"/>
      <c r="L94" s="95"/>
      <c r="M94" s="77">
        <v>0</v>
      </c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V94" s="75"/>
      <c r="AW94" s="75"/>
    </row>
    <row r="95" spans="2:49" s="73" customFormat="1" hidden="1">
      <c r="D95" s="94" t="s">
        <v>298</v>
      </c>
      <c r="E95" s="95"/>
      <c r="F95" s="95"/>
      <c r="G95" s="95"/>
      <c r="H95" s="77">
        <v>232468.95184203508</v>
      </c>
      <c r="I95" s="94" t="s">
        <v>299</v>
      </c>
      <c r="J95" s="95"/>
      <c r="K95" s="95"/>
      <c r="L95" s="95"/>
      <c r="M95" s="77">
        <v>14736.41467331286</v>
      </c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V95" s="75"/>
      <c r="AW95" s="75"/>
    </row>
    <row r="96" spans="2:49" s="73" customFormat="1" hidden="1">
      <c r="D96" s="96" t="s">
        <v>300</v>
      </c>
      <c r="E96" s="95"/>
      <c r="F96" s="95"/>
      <c r="G96" s="95"/>
      <c r="H96" s="77">
        <v>13164.537081306869</v>
      </c>
      <c r="I96" s="96" t="s">
        <v>301</v>
      </c>
      <c r="J96" s="95"/>
      <c r="K96" s="95"/>
      <c r="L96" s="95"/>
      <c r="M96" s="77">
        <v>75579.066462789953</v>
      </c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V96" s="75"/>
      <c r="AW96" s="75"/>
    </row>
    <row r="97" spans="2:49" s="73" customFormat="1" hidden="1">
      <c r="D97" s="78"/>
      <c r="E97" s="76"/>
      <c r="F97" s="76"/>
      <c r="G97" s="76"/>
      <c r="H97" s="77"/>
      <c r="I97" s="78" t="s">
        <v>302</v>
      </c>
      <c r="J97" s="76"/>
      <c r="K97" s="76"/>
      <c r="L97" s="76"/>
      <c r="M97" s="77">
        <v>0</v>
      </c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  <c r="AK97" s="75"/>
      <c r="AL97" s="75"/>
      <c r="AM97" s="75"/>
      <c r="AN97" s="75"/>
      <c r="AV97" s="75"/>
      <c r="AW97" s="75"/>
    </row>
    <row r="98" spans="2:49" s="73" customFormat="1" hidden="1">
      <c r="D98" s="94"/>
      <c r="E98" s="95"/>
      <c r="F98" s="95"/>
      <c r="G98" s="95"/>
      <c r="H98" s="77"/>
      <c r="I98" s="94" t="s">
        <v>303</v>
      </c>
      <c r="J98" s="95"/>
      <c r="K98" s="95"/>
      <c r="L98" s="95"/>
      <c r="M98" s="77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V98" s="75"/>
      <c r="AW98" s="75"/>
    </row>
    <row r="99" spans="2:49" s="73" customFormat="1" hidden="1">
      <c r="D99" s="94"/>
      <c r="E99" s="95"/>
      <c r="F99" s="95"/>
      <c r="G99" s="95"/>
      <c r="H99" s="79"/>
      <c r="I99" s="94" t="s">
        <v>304</v>
      </c>
      <c r="J99" s="95"/>
      <c r="K99" s="95"/>
      <c r="L99" s="95"/>
      <c r="M99" s="79">
        <v>30734.20841501328</v>
      </c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  <c r="AK99" s="75"/>
      <c r="AL99" s="75"/>
      <c r="AM99" s="75"/>
      <c r="AN99" s="75"/>
      <c r="AV99" s="75"/>
      <c r="AW99" s="75"/>
    </row>
    <row r="100" spans="2:49" s="73" customFormat="1" hidden="1">
      <c r="D100" s="94"/>
      <c r="E100" s="95"/>
      <c r="F100" s="95"/>
      <c r="G100" s="95"/>
      <c r="H100" s="77"/>
      <c r="I100" s="94" t="s">
        <v>305</v>
      </c>
      <c r="J100" s="95"/>
      <c r="K100" s="95"/>
      <c r="L100" s="95"/>
      <c r="M100" s="77">
        <v>-43736.658607334168</v>
      </c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5"/>
      <c r="AL100" s="75"/>
      <c r="AM100" s="75"/>
      <c r="AN100" s="75"/>
      <c r="AV100" s="75"/>
      <c r="AW100" s="75"/>
    </row>
    <row r="101" spans="2:49" s="73" customFormat="1" hidden="1">
      <c r="D101" s="94"/>
      <c r="E101" s="95"/>
      <c r="F101" s="95"/>
      <c r="G101" s="95"/>
      <c r="H101" s="77"/>
      <c r="I101" s="94" t="s">
        <v>306</v>
      </c>
      <c r="J101" s="95"/>
      <c r="K101" s="95"/>
      <c r="L101" s="95"/>
      <c r="M101" s="77">
        <v>0</v>
      </c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V101" s="75"/>
      <c r="AW101" s="75"/>
    </row>
    <row r="102" spans="2:49" s="73" customFormat="1" hidden="1">
      <c r="D102" s="92" t="s">
        <v>307</v>
      </c>
      <c r="E102" s="93"/>
      <c r="F102" s="93"/>
      <c r="G102" s="93"/>
      <c r="H102" s="80">
        <v>245633.48892334194</v>
      </c>
      <c r="I102" s="92" t="s">
        <v>307</v>
      </c>
      <c r="J102" s="93"/>
      <c r="K102" s="93"/>
      <c r="L102" s="93"/>
      <c r="M102" s="80">
        <v>245633.48892334176</v>
      </c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V102" s="75"/>
      <c r="AW102" s="75"/>
    </row>
    <row r="105" spans="2:49" ht="112">
      <c r="C105" s="24"/>
      <c r="D105" s="30" t="s">
        <v>81</v>
      </c>
      <c r="E105" s="30" t="s">
        <v>83</v>
      </c>
      <c r="F105" s="30" t="s">
        <v>85</v>
      </c>
      <c r="G105" s="30" t="s">
        <v>87</v>
      </c>
      <c r="H105" s="30" t="s">
        <v>89</v>
      </c>
      <c r="I105" s="30" t="s">
        <v>91</v>
      </c>
      <c r="J105" s="30" t="s">
        <v>93</v>
      </c>
      <c r="K105" s="30" t="s">
        <v>95</v>
      </c>
      <c r="L105" s="30" t="s">
        <v>97</v>
      </c>
      <c r="M105" s="30" t="s">
        <v>99</v>
      </c>
      <c r="N105" s="30" t="s">
        <v>101</v>
      </c>
      <c r="O105" s="30" t="s">
        <v>103</v>
      </c>
      <c r="P105" s="30" t="s">
        <v>105</v>
      </c>
      <c r="Q105" s="30" t="s">
        <v>107</v>
      </c>
      <c r="R105" s="30" t="s">
        <v>109</v>
      </c>
      <c r="S105" s="30" t="s">
        <v>111</v>
      </c>
      <c r="T105" s="30" t="s">
        <v>113</v>
      </c>
      <c r="U105" s="30" t="s">
        <v>115</v>
      </c>
      <c r="V105" s="30" t="s">
        <v>117</v>
      </c>
      <c r="W105" s="30" t="s">
        <v>119</v>
      </c>
      <c r="X105" s="30" t="s">
        <v>121</v>
      </c>
      <c r="Y105" s="30" t="s">
        <v>123</v>
      </c>
      <c r="Z105" s="30" t="s">
        <v>125</v>
      </c>
      <c r="AA105" s="30" t="s">
        <v>127</v>
      </c>
      <c r="AB105" s="30" t="s">
        <v>129</v>
      </c>
      <c r="AC105" s="30" t="s">
        <v>131</v>
      </c>
      <c r="AD105" s="30" t="s">
        <v>133</v>
      </c>
      <c r="AE105" s="30" t="s">
        <v>135</v>
      </c>
      <c r="AF105" s="30" t="s">
        <v>137</v>
      </c>
      <c r="AG105" s="30" t="s">
        <v>139</v>
      </c>
      <c r="AH105" s="30" t="s">
        <v>141</v>
      </c>
      <c r="AI105" s="30" t="s">
        <v>143</v>
      </c>
      <c r="AJ105" s="30" t="s">
        <v>145</v>
      </c>
      <c r="AK105" s="30" t="s">
        <v>147</v>
      </c>
    </row>
    <row r="106" spans="2:49">
      <c r="B106" s="13" t="s">
        <v>67</v>
      </c>
      <c r="C106" s="13">
        <v>1</v>
      </c>
      <c r="D106" s="13">
        <v>52400</v>
      </c>
      <c r="E106" s="13">
        <v>4200</v>
      </c>
      <c r="F106" s="13">
        <v>1314.7806093121308</v>
      </c>
      <c r="G106" s="13">
        <v>311.90615089209405</v>
      </c>
      <c r="H106" s="13">
        <v>33.048821324805623</v>
      </c>
      <c r="I106" s="13">
        <v>12.702120074255182</v>
      </c>
      <c r="J106" s="13">
        <v>100.05511311217865</v>
      </c>
      <c r="K106" s="13">
        <v>222.96696395224299</v>
      </c>
      <c r="L106" s="13">
        <v>103.10316442484012</v>
      </c>
      <c r="M106" s="13">
        <v>205.92398750410578</v>
      </c>
      <c r="N106" s="13">
        <v>756.06873140756227</v>
      </c>
      <c r="O106" s="13">
        <v>5049.28913584978</v>
      </c>
      <c r="P106" s="13">
        <v>116.78411853901099</v>
      </c>
      <c r="Q106" s="13">
        <v>26.983516842207223</v>
      </c>
      <c r="R106" s="13">
        <v>68.88612970787932</v>
      </c>
      <c r="S106" s="13">
        <v>77.501437056907662</v>
      </c>
      <c r="T106" s="13">
        <v>2200</v>
      </c>
      <c r="U106" s="13">
        <v>28200</v>
      </c>
      <c r="V106" s="13">
        <v>399.17227544178343</v>
      </c>
      <c r="W106" s="13">
        <v>4948.5419994352533</v>
      </c>
      <c r="X106" s="13">
        <v>21052.285725122965</v>
      </c>
      <c r="Y106" s="13">
        <v>10200</v>
      </c>
      <c r="Z106" s="13">
        <v>11390.429343915896</v>
      </c>
      <c r="AA106" s="13">
        <v>102.57205301002799</v>
      </c>
      <c r="AB106" s="13">
        <v>597.78838541470304</v>
      </c>
      <c r="AC106" s="13">
        <v>3509.2102176593739</v>
      </c>
      <c r="AD106" s="13">
        <v>1200</v>
      </c>
      <c r="AE106" s="13">
        <v>1000</v>
      </c>
      <c r="AF106" s="13">
        <v>200</v>
      </c>
      <c r="AG106" s="13">
        <v>3500</v>
      </c>
      <c r="AH106" s="13">
        <v>4400</v>
      </c>
      <c r="AI106" s="13">
        <v>16400</v>
      </c>
      <c r="AJ106" s="13">
        <v>5100</v>
      </c>
      <c r="AK106" s="13">
        <v>5400</v>
      </c>
    </row>
    <row r="107" spans="2:49">
      <c r="B107" s="13" t="s">
        <v>68</v>
      </c>
      <c r="C107" s="13">
        <v>2</v>
      </c>
      <c r="D107" s="13">
        <v>125200</v>
      </c>
      <c r="E107" s="13">
        <v>1400</v>
      </c>
      <c r="F107" s="13">
        <v>5306.0788875810995</v>
      </c>
      <c r="G107" s="13">
        <v>1258.7641089573794</v>
      </c>
      <c r="H107" s="13">
        <v>133.37560034653697</v>
      </c>
      <c r="I107" s="13">
        <v>51.262127442529838</v>
      </c>
      <c r="J107" s="13">
        <v>403.79384934557811</v>
      </c>
      <c r="K107" s="13">
        <v>899.83096166440919</v>
      </c>
      <c r="L107" s="13">
        <v>416.09491357167616</v>
      </c>
      <c r="M107" s="13">
        <v>831.05037814156969</v>
      </c>
      <c r="N107" s="13">
        <v>3051.2773803233763</v>
      </c>
      <c r="O107" s="13">
        <v>20377.488298250897</v>
      </c>
      <c r="P107" s="13">
        <v>471.30733553243721</v>
      </c>
      <c r="Q107" s="13">
        <v>108.89776439890771</v>
      </c>
      <c r="R107" s="13">
        <v>278.00473774965582</v>
      </c>
      <c r="S107" s="13">
        <v>312.77365669394879</v>
      </c>
      <c r="T107" s="13">
        <v>5200</v>
      </c>
      <c r="U107" s="13">
        <v>40400</v>
      </c>
      <c r="V107" s="13">
        <v>706.11156299739719</v>
      </c>
      <c r="W107" s="13">
        <v>8753.6708853646342</v>
      </c>
      <c r="X107" s="13">
        <v>37240.217551637972</v>
      </c>
      <c r="Y107" s="13">
        <v>10900</v>
      </c>
      <c r="Z107" s="13">
        <v>18472.939897504624</v>
      </c>
      <c r="AA107" s="13">
        <v>166.35082956113513</v>
      </c>
      <c r="AB107" s="13">
        <v>969.49013788410184</v>
      </c>
      <c r="AC107" s="13">
        <v>5691.219135050138</v>
      </c>
      <c r="AD107" s="13">
        <v>3100</v>
      </c>
      <c r="AE107" s="13">
        <v>6400</v>
      </c>
      <c r="AF107" s="13">
        <v>500</v>
      </c>
      <c r="AG107" s="13">
        <v>6800</v>
      </c>
      <c r="AH107" s="13">
        <v>13900</v>
      </c>
      <c r="AI107" s="13">
        <v>36700</v>
      </c>
      <c r="AJ107" s="13">
        <v>15500</v>
      </c>
      <c r="AK107" s="13">
        <v>8200</v>
      </c>
    </row>
    <row r="108" spans="2:49">
      <c r="B108" s="13" t="s">
        <v>69</v>
      </c>
      <c r="C108" s="13">
        <v>3</v>
      </c>
      <c r="D108" s="13">
        <v>42300</v>
      </c>
      <c r="E108" s="13">
        <v>2100</v>
      </c>
      <c r="F108" s="13">
        <v>1596.5193113075875</v>
      </c>
      <c r="G108" s="13">
        <v>378.74318322611418</v>
      </c>
      <c r="H108" s="13">
        <v>40.130711608692543</v>
      </c>
      <c r="I108" s="13">
        <v>15.424002947309864</v>
      </c>
      <c r="J108" s="13">
        <v>121.49549449335977</v>
      </c>
      <c r="K108" s="13">
        <v>270.74559908486651</v>
      </c>
      <c r="L108" s="13">
        <v>125.19669965873442</v>
      </c>
      <c r="M108" s="13">
        <v>250.05055625498559</v>
      </c>
      <c r="N108" s="13">
        <v>918.08345956632559</v>
      </c>
      <c r="O108" s="13">
        <v>6131.279664960447</v>
      </c>
      <c r="P108" s="13">
        <v>141.8092867973705</v>
      </c>
      <c r="Q108" s="13">
        <v>32.765699022680195</v>
      </c>
      <c r="R108" s="13">
        <v>83.647443216710599</v>
      </c>
      <c r="S108" s="13">
        <v>94.108887854816444</v>
      </c>
      <c r="T108" s="13">
        <v>2300</v>
      </c>
      <c r="U108" s="13">
        <v>17500</v>
      </c>
      <c r="V108" s="13">
        <v>290.3071094122061</v>
      </c>
      <c r="W108" s="13">
        <v>3598.9396359529114</v>
      </c>
      <c r="X108" s="13">
        <v>15310.753254634883</v>
      </c>
      <c r="Y108" s="13">
        <v>12100</v>
      </c>
      <c r="Z108" s="13">
        <v>6352.3548264146339</v>
      </c>
      <c r="AA108" s="13">
        <v>57.203644947900223</v>
      </c>
      <c r="AB108" s="13">
        <v>333.38198417358444</v>
      </c>
      <c r="AC108" s="13">
        <v>1957.0595444638816</v>
      </c>
      <c r="AD108" s="13">
        <v>1900</v>
      </c>
      <c r="AE108" s="13">
        <v>5800</v>
      </c>
      <c r="AF108" s="13">
        <v>0</v>
      </c>
      <c r="AG108" s="13">
        <v>3800</v>
      </c>
      <c r="AH108" s="13">
        <v>7000</v>
      </c>
      <c r="AI108" s="13">
        <v>13400</v>
      </c>
      <c r="AJ108" s="13">
        <v>8100</v>
      </c>
      <c r="AK108" s="13">
        <v>3800</v>
      </c>
    </row>
    <row r="109" spans="2:49">
      <c r="B109" s="13" t="s">
        <v>70</v>
      </c>
      <c r="C109" s="13">
        <v>4</v>
      </c>
      <c r="D109" s="13">
        <v>41000</v>
      </c>
      <c r="E109" s="13">
        <v>3300</v>
      </c>
      <c r="F109" s="13">
        <v>313.04300221717403</v>
      </c>
      <c r="G109" s="13">
        <v>74.263369260022387</v>
      </c>
      <c r="H109" s="13">
        <v>7.8687669820965773</v>
      </c>
      <c r="I109" s="13">
        <v>3.0243143033940907</v>
      </c>
      <c r="J109" s="13">
        <v>23.822645979090154</v>
      </c>
      <c r="K109" s="13">
        <v>53.087372369581665</v>
      </c>
      <c r="L109" s="13">
        <v>24.548372482104789</v>
      </c>
      <c r="M109" s="13">
        <v>49.029520834310901</v>
      </c>
      <c r="N109" s="13">
        <v>180.01636462084815</v>
      </c>
      <c r="O109" s="13">
        <v>1202.2116990118523</v>
      </c>
      <c r="P109" s="13">
        <v>27.805742509288333</v>
      </c>
      <c r="Q109" s="13">
        <v>6.4246468671921955</v>
      </c>
      <c r="R109" s="13">
        <v>16.40145945425698</v>
      </c>
      <c r="S109" s="13">
        <v>18.452723108787538</v>
      </c>
      <c r="T109" s="13">
        <v>1300</v>
      </c>
      <c r="U109" s="13">
        <v>3700</v>
      </c>
      <c r="V109" s="13">
        <v>66.528712573630571</v>
      </c>
      <c r="W109" s="13">
        <v>824.75699990587555</v>
      </c>
      <c r="X109" s="13">
        <v>3508.7142875204941</v>
      </c>
      <c r="Y109" s="13">
        <v>300</v>
      </c>
      <c r="Z109" s="13">
        <v>2044.4360360874682</v>
      </c>
      <c r="AA109" s="13">
        <v>18.410368488979383</v>
      </c>
      <c r="AB109" s="13">
        <v>107.29535122828004</v>
      </c>
      <c r="AC109" s="13">
        <v>629.85824419527228</v>
      </c>
      <c r="AD109" s="13">
        <v>500</v>
      </c>
      <c r="AE109" s="13">
        <v>400</v>
      </c>
      <c r="AF109" s="13">
        <v>0</v>
      </c>
      <c r="AG109" s="13">
        <v>900</v>
      </c>
      <c r="AH109" s="13">
        <v>3900</v>
      </c>
      <c r="AI109" s="13">
        <v>17100</v>
      </c>
      <c r="AJ109" s="13">
        <v>3200</v>
      </c>
      <c r="AK109" s="13">
        <v>2900</v>
      </c>
    </row>
    <row r="110" spans="2:49">
      <c r="B110" s="13" t="s">
        <v>71</v>
      </c>
      <c r="C110" s="13">
        <v>5</v>
      </c>
      <c r="D110" s="13">
        <v>175600</v>
      </c>
      <c r="E110" s="13">
        <v>0</v>
      </c>
      <c r="F110" s="13">
        <v>3928.6896778255341</v>
      </c>
      <c r="G110" s="13">
        <v>932.00528421328102</v>
      </c>
      <c r="H110" s="13">
        <v>98.753025625312034</v>
      </c>
      <c r="I110" s="13">
        <v>37.95514450759584</v>
      </c>
      <c r="J110" s="13">
        <v>298.97420703758144</v>
      </c>
      <c r="K110" s="13">
        <v>666.24652323824989</v>
      </c>
      <c r="L110" s="13">
        <v>308.08207465041511</v>
      </c>
      <c r="M110" s="13">
        <v>615.32048647060174</v>
      </c>
      <c r="N110" s="13">
        <v>2259.2053759916444</v>
      </c>
      <c r="O110" s="13">
        <v>15087.756822598747</v>
      </c>
      <c r="P110" s="13">
        <v>348.96206849156857</v>
      </c>
      <c r="Q110" s="13">
        <v>80.629318183262058</v>
      </c>
      <c r="R110" s="13">
        <v>205.8383161509251</v>
      </c>
      <c r="S110" s="13">
        <v>231.58167501528362</v>
      </c>
      <c r="T110" s="13">
        <v>8800</v>
      </c>
      <c r="U110" s="13">
        <v>64800</v>
      </c>
      <c r="V110" s="13">
        <v>1564.9367616751736</v>
      </c>
      <c r="W110" s="13">
        <v>19400.533975058665</v>
      </c>
      <c r="X110" s="13">
        <v>82534.529263266173</v>
      </c>
      <c r="Y110" s="13">
        <v>36200</v>
      </c>
      <c r="Z110" s="13">
        <v>31688.75855935576</v>
      </c>
      <c r="AA110" s="13">
        <v>285.36071157918042</v>
      </c>
      <c r="AB110" s="13">
        <v>1663.0779440383405</v>
      </c>
      <c r="AC110" s="13">
        <v>9762.802785026719</v>
      </c>
      <c r="AD110" s="13">
        <v>3900</v>
      </c>
      <c r="AE110" s="13">
        <v>2800</v>
      </c>
      <c r="AF110" s="13">
        <v>0</v>
      </c>
      <c r="AG110" s="13">
        <v>6900</v>
      </c>
      <c r="AH110" s="13">
        <v>13500</v>
      </c>
      <c r="AI110" s="13">
        <v>32900</v>
      </c>
      <c r="AJ110" s="13">
        <v>14800</v>
      </c>
      <c r="AK110" s="13">
        <v>5100</v>
      </c>
    </row>
    <row r="111" spans="2:49">
      <c r="B111" s="13" t="s">
        <v>72</v>
      </c>
      <c r="C111" s="13">
        <v>6</v>
      </c>
      <c r="D111" s="13">
        <v>58400</v>
      </c>
      <c r="E111" s="13">
        <v>100</v>
      </c>
      <c r="F111" s="13">
        <v>626.08600443434807</v>
      </c>
      <c r="G111" s="13">
        <v>148.52673852004477</v>
      </c>
      <c r="H111" s="13">
        <v>15.737533964193155</v>
      </c>
      <c r="I111" s="13">
        <v>6.0486286067881814</v>
      </c>
      <c r="J111" s="13">
        <v>47.645291958180309</v>
      </c>
      <c r="K111" s="13">
        <v>106.17474473916333</v>
      </c>
      <c r="L111" s="13">
        <v>49.096744964209577</v>
      </c>
      <c r="M111" s="13">
        <v>98.059041668621802</v>
      </c>
      <c r="N111" s="13">
        <v>360.0327292416963</v>
      </c>
      <c r="O111" s="13">
        <v>2404.4233980237045</v>
      </c>
      <c r="P111" s="13">
        <v>55.611485018576666</v>
      </c>
      <c r="Q111" s="13">
        <v>12.849293734384391</v>
      </c>
      <c r="R111" s="13">
        <v>32.802918908513959</v>
      </c>
      <c r="S111" s="13">
        <v>36.905446217575076</v>
      </c>
      <c r="T111" s="13">
        <v>1800</v>
      </c>
      <c r="U111" s="13">
        <v>7500</v>
      </c>
      <c r="V111" s="13">
        <v>169.3458138237869</v>
      </c>
      <c r="W111" s="13">
        <v>2099.3814543058652</v>
      </c>
      <c r="X111" s="13">
        <v>8931.2727318703492</v>
      </c>
      <c r="Y111" s="13">
        <v>2400</v>
      </c>
      <c r="Z111" s="13">
        <v>3723.7942085878885</v>
      </c>
      <c r="AA111" s="13">
        <v>33.533171176355303</v>
      </c>
      <c r="AB111" s="13">
        <v>195.43081830865293</v>
      </c>
      <c r="AC111" s="13">
        <v>1147.2418019271031</v>
      </c>
      <c r="AD111" s="13">
        <v>300</v>
      </c>
      <c r="AE111" s="13">
        <v>700</v>
      </c>
      <c r="AF111" s="13">
        <v>0</v>
      </c>
      <c r="AG111" s="13">
        <v>500</v>
      </c>
      <c r="AH111" s="13">
        <v>3400</v>
      </c>
      <c r="AI111" s="13">
        <v>10700</v>
      </c>
      <c r="AJ111" s="13">
        <v>3400</v>
      </c>
      <c r="AK111" s="13">
        <v>1800</v>
      </c>
    </row>
    <row r="112" spans="2:49">
      <c r="B112" s="13" t="s">
        <v>73</v>
      </c>
      <c r="C112" s="13">
        <v>7</v>
      </c>
      <c r="D112" s="13">
        <v>42100</v>
      </c>
      <c r="E112" s="13">
        <v>1600</v>
      </c>
      <c r="F112" s="13">
        <v>11269.548079818265</v>
      </c>
      <c r="G112" s="13">
        <v>2673.4812933608059</v>
      </c>
      <c r="H112" s="13">
        <v>283.27561135547677</v>
      </c>
      <c r="I112" s="13">
        <v>108.87531492218727</v>
      </c>
      <c r="J112" s="13">
        <v>857.6152552472455</v>
      </c>
      <c r="K112" s="13">
        <v>1911.1454053049399</v>
      </c>
      <c r="L112" s="13">
        <v>883.74140935577236</v>
      </c>
      <c r="M112" s="13">
        <v>1765.0627500351923</v>
      </c>
      <c r="N112" s="13">
        <v>6480.5891263505337</v>
      </c>
      <c r="O112" s="13">
        <v>43279.62116442668</v>
      </c>
      <c r="P112" s="13">
        <v>1001.0067303343799</v>
      </c>
      <c r="Q112" s="13">
        <v>231.28728721891903</v>
      </c>
      <c r="R112" s="13">
        <v>590.45254035325127</v>
      </c>
      <c r="S112" s="13">
        <v>664.29803191635142</v>
      </c>
      <c r="T112" s="13">
        <v>6100</v>
      </c>
      <c r="U112" s="13">
        <v>35300</v>
      </c>
      <c r="V112" s="13">
        <v>728.79180592022578</v>
      </c>
      <c r="W112" s="13">
        <v>9034.8380444234554</v>
      </c>
      <c r="X112" s="13">
        <v>38436.370149656323</v>
      </c>
      <c r="Y112" s="13">
        <v>15800</v>
      </c>
      <c r="Z112" s="13">
        <v>28184.011068920099</v>
      </c>
      <c r="AA112" s="13">
        <v>253.80007988378722</v>
      </c>
      <c r="AB112" s="13">
        <v>1479.1430562184321</v>
      </c>
      <c r="AC112" s="13">
        <v>8683.045794977681</v>
      </c>
      <c r="AD112" s="13">
        <v>2700</v>
      </c>
      <c r="AE112" s="13">
        <v>1500</v>
      </c>
      <c r="AF112" s="13">
        <v>400</v>
      </c>
      <c r="AG112" s="13">
        <v>5500</v>
      </c>
      <c r="AH112" s="13">
        <v>11300</v>
      </c>
      <c r="AI112" s="13">
        <v>27000</v>
      </c>
      <c r="AJ112" s="13">
        <v>17400</v>
      </c>
      <c r="AK112" s="13">
        <v>8300</v>
      </c>
    </row>
    <row r="113" spans="2:37">
      <c r="B113" s="13" t="s">
        <v>74</v>
      </c>
      <c r="C113" s="13">
        <v>8</v>
      </c>
      <c r="D113" s="13">
        <v>3200</v>
      </c>
      <c r="E113" s="13">
        <v>0</v>
      </c>
      <c r="F113" s="13">
        <v>11504.330331481146</v>
      </c>
      <c r="G113" s="13">
        <v>2729.1788203058227</v>
      </c>
      <c r="H113" s="13">
        <v>289.17718659204922</v>
      </c>
      <c r="I113" s="13">
        <v>111.14355064973284</v>
      </c>
      <c r="J113" s="13">
        <v>875.48223973156314</v>
      </c>
      <c r="K113" s="13">
        <v>1950.9609345821261</v>
      </c>
      <c r="L113" s="13">
        <v>902.152688717351</v>
      </c>
      <c r="M113" s="13">
        <v>1801.8348906609256</v>
      </c>
      <c r="N113" s="13">
        <v>6615.6013998161698</v>
      </c>
      <c r="O113" s="13">
        <v>44181.27993868557</v>
      </c>
      <c r="P113" s="13">
        <v>1021.8610372163462</v>
      </c>
      <c r="Q113" s="13">
        <v>236.1057723693132</v>
      </c>
      <c r="R113" s="13">
        <v>602.75363494394401</v>
      </c>
      <c r="S113" s="13">
        <v>678.1375742479421</v>
      </c>
      <c r="T113" s="13">
        <v>9300</v>
      </c>
      <c r="U113" s="13">
        <v>36400</v>
      </c>
      <c r="V113" s="13">
        <v>1542.2565187523451</v>
      </c>
      <c r="W113" s="13">
        <v>19119.366815999841</v>
      </c>
      <c r="X113" s="13">
        <v>81338.376665247823</v>
      </c>
      <c r="Y113" s="13">
        <v>21200</v>
      </c>
      <c r="Z113" s="13">
        <v>29936.384814137928</v>
      </c>
      <c r="AA113" s="13">
        <v>269.5803957314838</v>
      </c>
      <c r="AB113" s="13">
        <v>1571.1105001283863</v>
      </c>
      <c r="AC113" s="13">
        <v>9222.9242900022</v>
      </c>
      <c r="AD113" s="13">
        <v>12700</v>
      </c>
      <c r="AE113" s="13">
        <v>9900</v>
      </c>
      <c r="AF113" s="13">
        <v>7900</v>
      </c>
      <c r="AG113" s="13">
        <v>11600</v>
      </c>
      <c r="AH113" s="13">
        <v>33000</v>
      </c>
      <c r="AI113" s="13">
        <v>43000</v>
      </c>
      <c r="AJ113" s="13">
        <v>20900</v>
      </c>
      <c r="AK113" s="13">
        <v>30900</v>
      </c>
    </row>
    <row r="114" spans="2:37">
      <c r="B114" s="13" t="s">
        <v>75</v>
      </c>
      <c r="C114" s="13">
        <v>9</v>
      </c>
      <c r="D114" s="13">
        <v>1200</v>
      </c>
      <c r="E114" s="13">
        <v>0</v>
      </c>
      <c r="F114" s="13">
        <v>1205.2155585361199</v>
      </c>
      <c r="G114" s="13">
        <v>285.91397165108617</v>
      </c>
      <c r="H114" s="13">
        <v>30.294752881071823</v>
      </c>
      <c r="I114" s="13">
        <v>11.64361006806725</v>
      </c>
      <c r="J114" s="13">
        <v>91.717187019497089</v>
      </c>
      <c r="K114" s="13">
        <v>204.38638362288941</v>
      </c>
      <c r="L114" s="13">
        <v>94.511234056103433</v>
      </c>
      <c r="M114" s="13">
        <v>188.76365521209695</v>
      </c>
      <c r="N114" s="13">
        <v>693.06300379026538</v>
      </c>
      <c r="O114" s="13">
        <v>4628.5150411956311</v>
      </c>
      <c r="P114" s="13">
        <v>107.05210866076008</v>
      </c>
      <c r="Q114" s="13">
        <v>24.734890438689952</v>
      </c>
      <c r="R114" s="13">
        <v>63.145618898889374</v>
      </c>
      <c r="S114" s="13">
        <v>71.042983968832019</v>
      </c>
      <c r="T114" s="13">
        <v>1800</v>
      </c>
      <c r="U114" s="13">
        <v>21800</v>
      </c>
      <c r="V114" s="13">
        <v>382.54009729837577</v>
      </c>
      <c r="W114" s="13">
        <v>4742.3527494587843</v>
      </c>
      <c r="X114" s="13">
        <v>20175.10715324284</v>
      </c>
      <c r="Y114" s="13">
        <v>6600</v>
      </c>
      <c r="Z114" s="13">
        <v>6790.448262719091</v>
      </c>
      <c r="AA114" s="13">
        <v>61.148723909824376</v>
      </c>
      <c r="AB114" s="13">
        <v>356.373845151073</v>
      </c>
      <c r="AC114" s="13">
        <v>2092.0291682200113</v>
      </c>
      <c r="AD114" s="13">
        <v>1400</v>
      </c>
      <c r="AE114" s="13">
        <v>3200</v>
      </c>
      <c r="AF114" s="13">
        <v>0</v>
      </c>
      <c r="AG114" s="13">
        <v>2000</v>
      </c>
      <c r="AH114" s="13">
        <v>3700</v>
      </c>
      <c r="AI114" s="13">
        <v>9000</v>
      </c>
      <c r="AJ114" s="13">
        <v>3700</v>
      </c>
      <c r="AK114" s="13">
        <v>4800</v>
      </c>
    </row>
    <row r="115" spans="2:37">
      <c r="B115" s="13" t="s">
        <v>308</v>
      </c>
      <c r="D115" s="13">
        <v>541400</v>
      </c>
      <c r="E115" s="13">
        <v>12700</v>
      </c>
      <c r="F115" s="13">
        <v>37064.2914625134</v>
      </c>
      <c r="G115" s="13">
        <v>8792.7829203866495</v>
      </c>
      <c r="H115" s="13">
        <v>931.66201068023486</v>
      </c>
      <c r="I115" s="13">
        <v>358.07881352186035</v>
      </c>
      <c r="J115" s="13">
        <v>2820.601283924274</v>
      </c>
      <c r="K115" s="13">
        <v>6285.5448885584701</v>
      </c>
      <c r="L115" s="13">
        <v>2906.5273018812072</v>
      </c>
      <c r="M115" s="13">
        <v>5805.0952667824095</v>
      </c>
      <c r="N115" s="13">
        <v>21313.937571108421</v>
      </c>
      <c r="O115" s="13">
        <v>142341.86516300333</v>
      </c>
      <c r="P115" s="13">
        <v>3292.1999130997383</v>
      </c>
      <c r="Q115" s="13">
        <v>760.67818907555591</v>
      </c>
      <c r="R115" s="13">
        <v>1941.9327993840261</v>
      </c>
      <c r="S115" s="13">
        <v>2184.8024160804448</v>
      </c>
      <c r="T115" s="13">
        <v>38800</v>
      </c>
      <c r="U115" s="13">
        <v>255600</v>
      </c>
      <c r="V115" s="13">
        <v>5849.9906578949249</v>
      </c>
      <c r="W115" s="13">
        <v>72522.382559905294</v>
      </c>
      <c r="X115" s="13">
        <v>308527.62678219983</v>
      </c>
      <c r="Y115" s="13">
        <v>115700</v>
      </c>
      <c r="Z115" s="13">
        <v>138583.55701764338</v>
      </c>
      <c r="AA115" s="13">
        <v>1247.9599782886737</v>
      </c>
      <c r="AB115" s="13">
        <v>7273.0920225455538</v>
      </c>
      <c r="AC115" s="13">
        <v>42695.390981522381</v>
      </c>
      <c r="AD115" s="13">
        <v>27700</v>
      </c>
      <c r="AE115" s="13">
        <v>31700</v>
      </c>
      <c r="AF115" s="13">
        <v>9000</v>
      </c>
      <c r="AG115" s="13">
        <v>41500</v>
      </c>
      <c r="AH115" s="13">
        <v>94100</v>
      </c>
      <c r="AI115" s="13">
        <v>206200</v>
      </c>
      <c r="AJ115" s="13">
        <v>92100</v>
      </c>
      <c r="AK115" s="13">
        <v>71200</v>
      </c>
    </row>
    <row r="118" spans="2:37">
      <c r="B118" s="24" t="s">
        <v>309</v>
      </c>
    </row>
    <row r="120" spans="2:37">
      <c r="D120" s="30">
        <v>1</v>
      </c>
      <c r="E120" s="30">
        <v>2</v>
      </c>
      <c r="F120" s="30">
        <v>3</v>
      </c>
      <c r="G120" s="30">
        <v>4</v>
      </c>
      <c r="H120" s="30">
        <v>5</v>
      </c>
      <c r="I120" s="30">
        <v>6</v>
      </c>
      <c r="J120" s="30">
        <v>7</v>
      </c>
      <c r="K120" s="30">
        <v>8</v>
      </c>
      <c r="L120" s="30">
        <v>9</v>
      </c>
      <c r="M120" s="30">
        <v>10</v>
      </c>
      <c r="N120" s="30">
        <v>11</v>
      </c>
      <c r="O120" s="30">
        <v>12</v>
      </c>
      <c r="P120" s="30">
        <v>13</v>
      </c>
      <c r="Q120" s="30">
        <v>14</v>
      </c>
      <c r="R120" s="30">
        <v>15</v>
      </c>
      <c r="S120" s="30">
        <v>16</v>
      </c>
      <c r="T120" s="30">
        <v>17</v>
      </c>
      <c r="U120" s="30">
        <v>18</v>
      </c>
      <c r="V120" s="30">
        <v>19</v>
      </c>
      <c r="W120" s="30">
        <v>20</v>
      </c>
      <c r="X120" s="30">
        <v>21</v>
      </c>
      <c r="Y120" s="30">
        <v>22</v>
      </c>
      <c r="Z120" s="30">
        <v>23</v>
      </c>
      <c r="AA120" s="30">
        <v>24</v>
      </c>
      <c r="AB120" s="30">
        <v>25</v>
      </c>
      <c r="AC120" s="30">
        <v>26</v>
      </c>
      <c r="AD120" s="30">
        <v>27</v>
      </c>
      <c r="AE120" s="30">
        <v>28</v>
      </c>
      <c r="AF120" s="30">
        <v>29</v>
      </c>
      <c r="AG120" s="30">
        <v>30</v>
      </c>
      <c r="AH120" s="30">
        <v>31</v>
      </c>
      <c r="AI120" s="30">
        <v>32</v>
      </c>
      <c r="AJ120" s="30">
        <v>33</v>
      </c>
      <c r="AK120" s="30">
        <v>34</v>
      </c>
    </row>
    <row r="121" spans="2:37" ht="112">
      <c r="D121" s="30" t="s">
        <v>177</v>
      </c>
      <c r="E121" s="30" t="s">
        <v>178</v>
      </c>
      <c r="F121" s="30" t="s">
        <v>179</v>
      </c>
      <c r="G121" s="30" t="s">
        <v>180</v>
      </c>
      <c r="H121" s="30" t="s">
        <v>181</v>
      </c>
      <c r="I121" s="30" t="s">
        <v>182</v>
      </c>
      <c r="J121" s="30" t="s">
        <v>183</v>
      </c>
      <c r="K121" s="30" t="s">
        <v>184</v>
      </c>
      <c r="L121" s="30" t="s">
        <v>185</v>
      </c>
      <c r="M121" s="30" t="s">
        <v>186</v>
      </c>
      <c r="N121" s="30" t="s">
        <v>187</v>
      </c>
      <c r="O121" s="30" t="s">
        <v>188</v>
      </c>
      <c r="P121" s="30" t="s">
        <v>105</v>
      </c>
      <c r="Q121" s="30" t="s">
        <v>189</v>
      </c>
      <c r="R121" s="30" t="s">
        <v>190</v>
      </c>
      <c r="S121" s="30" t="s">
        <v>191</v>
      </c>
      <c r="T121" s="30" t="s">
        <v>192</v>
      </c>
      <c r="U121" s="30" t="s">
        <v>115</v>
      </c>
      <c r="V121" s="30" t="s">
        <v>193</v>
      </c>
      <c r="W121" s="30" t="s">
        <v>194</v>
      </c>
      <c r="X121" s="30" t="s">
        <v>195</v>
      </c>
      <c r="Y121" s="30" t="s">
        <v>196</v>
      </c>
      <c r="Z121" s="30" t="s">
        <v>197</v>
      </c>
      <c r="AA121" s="30" t="s">
        <v>198</v>
      </c>
      <c r="AB121" s="30" t="s">
        <v>199</v>
      </c>
      <c r="AC121" s="30" t="s">
        <v>200</v>
      </c>
      <c r="AD121" s="30" t="s">
        <v>201</v>
      </c>
      <c r="AE121" s="30" t="s">
        <v>202</v>
      </c>
      <c r="AF121" s="30" t="s">
        <v>203</v>
      </c>
      <c r="AG121" s="30" t="s">
        <v>204</v>
      </c>
      <c r="AH121" s="30" t="s">
        <v>205</v>
      </c>
      <c r="AI121" s="30" t="s">
        <v>143</v>
      </c>
      <c r="AJ121" s="30" t="s">
        <v>206</v>
      </c>
      <c r="AK121" s="30" t="s">
        <v>207</v>
      </c>
    </row>
    <row r="122" spans="2:37">
      <c r="B122" s="13" t="s">
        <v>76</v>
      </c>
      <c r="D122" s="13">
        <v>1912.0999250444529</v>
      </c>
      <c r="E122" s="13">
        <v>147.72395499232425</v>
      </c>
      <c r="F122" s="13">
        <v>736.61603633032928</v>
      </c>
      <c r="G122" s="13">
        <v>257.57701674707528</v>
      </c>
      <c r="H122" s="13">
        <v>33.107264818211071</v>
      </c>
      <c r="I122" s="13">
        <v>22.71378944775423</v>
      </c>
      <c r="J122" s="13">
        <v>78.99374344440163</v>
      </c>
      <c r="K122" s="13">
        <v>8207.630134942292</v>
      </c>
      <c r="L122" s="13">
        <v>128.44982690479492</v>
      </c>
      <c r="M122" s="13">
        <v>6052.6365861002423</v>
      </c>
      <c r="N122" s="13">
        <v>436.36594477295796</v>
      </c>
      <c r="O122" s="13">
        <v>1297.7736343186723</v>
      </c>
      <c r="P122" s="13">
        <v>4162.265329640667</v>
      </c>
      <c r="Q122" s="13">
        <v>9.680477511550551</v>
      </c>
      <c r="R122" s="13">
        <v>15.437026854359228</v>
      </c>
      <c r="S122" s="13">
        <v>2873.8376886987198</v>
      </c>
      <c r="T122" s="13">
        <v>252288.19067019684</v>
      </c>
      <c r="U122" s="13">
        <v>1428.7879507021667</v>
      </c>
      <c r="V122" s="13">
        <v>53.232881113495942</v>
      </c>
      <c r="W122" s="13">
        <v>785.16850691412992</v>
      </c>
      <c r="X122" s="13">
        <v>863.19586081913189</v>
      </c>
      <c r="Y122" s="13">
        <v>450.5690422460662</v>
      </c>
      <c r="Z122" s="13">
        <v>260.49153068137997</v>
      </c>
      <c r="AA122" s="13">
        <v>2685.5473578226683</v>
      </c>
      <c r="AB122" s="13">
        <v>2514.5133850622638</v>
      </c>
      <c r="AC122" s="13">
        <v>217.01189572946652</v>
      </c>
      <c r="AD122" s="13">
        <v>480.98371719342703</v>
      </c>
      <c r="AE122" s="13">
        <v>556813.44728963659</v>
      </c>
      <c r="AF122" s="13">
        <v>92.081631171071507</v>
      </c>
      <c r="AG122" s="13">
        <v>179.46376126782215</v>
      </c>
      <c r="AH122" s="13">
        <v>160.52704118681561</v>
      </c>
      <c r="AI122" s="13">
        <v>243.87956824438842</v>
      </c>
      <c r="AJ122" s="13">
        <v>270.22344613905341</v>
      </c>
      <c r="AK122" s="13">
        <v>481.27813205409626</v>
      </c>
    </row>
    <row r="123" spans="2:37">
      <c r="B123" s="13" t="s">
        <v>218</v>
      </c>
      <c r="D123" s="13">
        <v>1350.7741981622953</v>
      </c>
      <c r="E123" s="13">
        <v>181.80786951085605</v>
      </c>
      <c r="F123" s="13">
        <v>280.60886396253625</v>
      </c>
      <c r="G123" s="13">
        <v>63.024612753894836</v>
      </c>
      <c r="H123" s="13">
        <v>6.1392604137122442</v>
      </c>
      <c r="I123" s="13">
        <v>1.7543551177829022</v>
      </c>
      <c r="J123" s="13">
        <v>17.757572465338427</v>
      </c>
      <c r="K123" s="13">
        <v>93.403020648539623</v>
      </c>
      <c r="L123" s="13">
        <v>39.609975429640187</v>
      </c>
      <c r="M123" s="13">
        <v>89.757301569724859</v>
      </c>
      <c r="N123" s="13">
        <v>351.34225869589119</v>
      </c>
      <c r="O123" s="13">
        <v>2080.1698378172136</v>
      </c>
      <c r="P123" s="13">
        <v>42.037745717335092</v>
      </c>
      <c r="Q123" s="13">
        <v>9.0456519472375803</v>
      </c>
      <c r="R123" s="13">
        <v>21.672981230071354</v>
      </c>
      <c r="S123" s="13">
        <v>31.968249553835193</v>
      </c>
      <c r="T123" s="13">
        <v>2977.6219434453242</v>
      </c>
      <c r="U123" s="13">
        <v>12556.871139841152</v>
      </c>
      <c r="V123" s="13">
        <v>11.498623083081011</v>
      </c>
      <c r="W123" s="13">
        <v>144.60640407897961</v>
      </c>
      <c r="X123" s="13">
        <v>621.45712286362527</v>
      </c>
      <c r="Y123" s="13">
        <v>146.66766168670409</v>
      </c>
      <c r="Z123" s="13">
        <v>46.311048376278592</v>
      </c>
      <c r="AA123" s="13">
        <v>0.44518107523862838</v>
      </c>
      <c r="AB123" s="13">
        <v>2.446843328899047</v>
      </c>
      <c r="AC123" s="13">
        <v>70.642919211411467</v>
      </c>
      <c r="AD123" s="13">
        <v>227.95505198118579</v>
      </c>
      <c r="AE123" s="13">
        <v>729.25985779137363</v>
      </c>
      <c r="AF123" s="13">
        <v>124.21290116688724</v>
      </c>
      <c r="AG123" s="13">
        <v>92.549438249408738</v>
      </c>
      <c r="AH123" s="13">
        <v>265.4613555933916</v>
      </c>
      <c r="AI123" s="13">
        <v>262.32521851966771</v>
      </c>
      <c r="AJ123" s="13">
        <v>144.99473849482735</v>
      </c>
      <c r="AK123" s="13">
        <v>100.88186870018268</v>
      </c>
    </row>
    <row r="124" spans="2:37">
      <c r="B124" s="13" t="s">
        <v>78</v>
      </c>
      <c r="D124" s="13">
        <v>7117.8215054029033</v>
      </c>
      <c r="E124" s="13">
        <v>0.22026194852809947</v>
      </c>
      <c r="F124" s="13">
        <v>1.1878140347134405</v>
      </c>
      <c r="G124" s="13">
        <v>0.48447420597099494</v>
      </c>
      <c r="H124" s="13">
        <v>6.5430241104568063E-2</v>
      </c>
      <c r="I124" s="13">
        <v>4.9561495492031871E-2</v>
      </c>
      <c r="J124" s="13">
        <v>0.15893345671873219</v>
      </c>
      <c r="K124" s="13">
        <v>0.11881105663179906</v>
      </c>
      <c r="L124" s="13">
        <v>0.26535046106344179</v>
      </c>
      <c r="M124" s="13">
        <v>0.47699451487064631</v>
      </c>
      <c r="N124" s="13">
        <v>0.80348773115520189</v>
      </c>
      <c r="O124" s="13">
        <v>1.3834283677618302</v>
      </c>
      <c r="P124" s="13">
        <v>4.6555571596233206E-2</v>
      </c>
      <c r="Q124" s="13">
        <v>1.5848715305112986E-2</v>
      </c>
      <c r="R124" s="13">
        <v>1.9811354752179142E-2</v>
      </c>
      <c r="S124" s="13">
        <v>7.0442352445093157E-2</v>
      </c>
      <c r="T124" s="13">
        <v>0.68518741636044134</v>
      </c>
      <c r="U124" s="13">
        <v>2.0860452678444168</v>
      </c>
      <c r="V124" s="13">
        <v>0.10636736676369533</v>
      </c>
      <c r="W124" s="13">
        <v>1.6601253954200084</v>
      </c>
      <c r="X124" s="13">
        <v>1.6753642007115013</v>
      </c>
      <c r="Y124" s="13">
        <v>0.92919785018800416</v>
      </c>
      <c r="Z124" s="13">
        <v>0.30924277108994508</v>
      </c>
      <c r="AA124" s="13">
        <v>1.8702939015904918E-2</v>
      </c>
      <c r="AB124" s="13">
        <v>9.3386396787507681E-2</v>
      </c>
      <c r="AC124" s="13">
        <v>0.41658452714299549</v>
      </c>
      <c r="AD124" s="13">
        <v>0.90596728551579142</v>
      </c>
      <c r="AE124" s="13">
        <v>2.3936109701300161</v>
      </c>
      <c r="AF124" s="13">
        <v>0.14530378571327784</v>
      </c>
      <c r="AG124" s="13">
        <v>0.28825826280504269</v>
      </c>
      <c r="AH124" s="13">
        <v>0.20337751973500351</v>
      </c>
      <c r="AI124" s="13">
        <v>0.32032845503983359</v>
      </c>
      <c r="AJ124" s="13">
        <v>0.49903368130320325</v>
      </c>
      <c r="AK124" s="13">
        <v>1.023467647276997</v>
      </c>
    </row>
    <row r="125" spans="2:37">
      <c r="B125" s="13" t="s">
        <v>79</v>
      </c>
      <c r="D125" s="13">
        <v>11933.121886502291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 s="13">
        <v>0</v>
      </c>
      <c r="L125" s="13">
        <v>0</v>
      </c>
      <c r="M125" s="13">
        <v>0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13">
        <v>0</v>
      </c>
      <c r="AF125" s="13">
        <v>0</v>
      </c>
      <c r="AG125" s="13">
        <v>0</v>
      </c>
      <c r="AH125" s="13">
        <v>0</v>
      </c>
      <c r="AI125" s="13">
        <v>0</v>
      </c>
      <c r="AJ125" s="13">
        <v>0</v>
      </c>
      <c r="AK125" s="13">
        <v>0</v>
      </c>
    </row>
    <row r="126" spans="2:37">
      <c r="B126" s="13" t="s">
        <v>80</v>
      </c>
      <c r="D126" s="13">
        <v>432.85533199928466</v>
      </c>
      <c r="E126" s="13">
        <v>3.0552470335559363</v>
      </c>
      <c r="F126" s="13">
        <v>16.476133668232652</v>
      </c>
      <c r="G126" s="13">
        <v>6.7201275141648802</v>
      </c>
      <c r="H126" s="13">
        <v>0.90758095701708863</v>
      </c>
      <c r="I126" s="13">
        <v>0.68746605163764274</v>
      </c>
      <c r="J126" s="13">
        <v>2.2045613208163837</v>
      </c>
      <c r="K126" s="13">
        <v>1.6480246849429909</v>
      </c>
      <c r="L126" s="13">
        <v>3.6806684696760303</v>
      </c>
      <c r="M126" s="13">
        <v>6.6163769380941355</v>
      </c>
      <c r="N126" s="13">
        <v>11.145154773736813</v>
      </c>
      <c r="O126" s="13">
        <v>19.189494349734439</v>
      </c>
      <c r="P126" s="13">
        <v>0.64577096936353806</v>
      </c>
      <c r="Q126" s="13">
        <v>0.2198370655721395</v>
      </c>
      <c r="R126" s="13">
        <v>0.27480272122262556</v>
      </c>
      <c r="S126" s="13">
        <v>0.9771038065483949</v>
      </c>
      <c r="T126" s="13">
        <v>9.5042145738487882</v>
      </c>
      <c r="U126" s="13">
        <v>28.935472781545748</v>
      </c>
      <c r="V126" s="13">
        <v>1.4754186274279595</v>
      </c>
      <c r="W126" s="13">
        <v>23.027550712150326</v>
      </c>
      <c r="X126" s="13">
        <v>23.238927733796132</v>
      </c>
      <c r="Y126" s="13">
        <v>12.888876151076465</v>
      </c>
      <c r="Z126" s="13">
        <v>4.2894974158491079</v>
      </c>
      <c r="AA126" s="13">
        <v>0.25942791902538392</v>
      </c>
      <c r="AB126" s="13">
        <v>1.2953599732779604</v>
      </c>
      <c r="AC126" s="13">
        <v>5.7784317685565574</v>
      </c>
      <c r="AD126" s="13">
        <v>12.566645669248356</v>
      </c>
      <c r="AE126" s="13">
        <v>33.201707625154</v>
      </c>
      <c r="AF126" s="13">
        <v>2.0155045536987286</v>
      </c>
      <c r="AG126" s="13">
        <v>3.9984219163517505</v>
      </c>
      <c r="AH126" s="13">
        <v>2.8210436165421622</v>
      </c>
      <c r="AI126" s="13">
        <v>4.4432666130670961</v>
      </c>
      <c r="AJ126" s="13">
        <v>6.9220815698522857</v>
      </c>
      <c r="AK126" s="13">
        <v>14.196489744049479</v>
      </c>
    </row>
    <row r="127" spans="2:37">
      <c r="B127" s="13" t="s">
        <v>308</v>
      </c>
      <c r="D127" s="13">
        <v>541400</v>
      </c>
      <c r="E127" s="13">
        <v>12700</v>
      </c>
      <c r="F127" s="13">
        <v>37064.2914625134</v>
      </c>
      <c r="G127" s="13">
        <v>8792.7829203866495</v>
      </c>
      <c r="H127" s="13">
        <v>931.66201068023486</v>
      </c>
      <c r="I127" s="13">
        <v>358.07881352186035</v>
      </c>
      <c r="J127" s="13">
        <v>2820.601283924274</v>
      </c>
      <c r="K127" s="13">
        <v>6285.5448885584701</v>
      </c>
      <c r="L127" s="13">
        <v>2906.5273018812072</v>
      </c>
      <c r="M127" s="13">
        <v>5805.0952667824095</v>
      </c>
      <c r="N127" s="13">
        <v>21313.937571108421</v>
      </c>
      <c r="O127" s="13">
        <v>142341.86516300333</v>
      </c>
      <c r="P127" s="13">
        <v>3292.1999130997383</v>
      </c>
      <c r="Q127" s="13">
        <v>760.67818907555591</v>
      </c>
      <c r="R127" s="13">
        <v>1941.9327993840261</v>
      </c>
      <c r="S127" s="13">
        <v>2184.8024160804448</v>
      </c>
      <c r="T127" s="13">
        <v>38800</v>
      </c>
      <c r="U127" s="13">
        <v>255600</v>
      </c>
      <c r="V127" s="13">
        <v>5849.9906578949249</v>
      </c>
      <c r="W127" s="13">
        <v>72522.382559905294</v>
      </c>
      <c r="X127" s="13">
        <v>308527.62678219983</v>
      </c>
      <c r="Y127" s="13">
        <v>115700</v>
      </c>
      <c r="Z127" s="13">
        <v>138583.55701764338</v>
      </c>
      <c r="AA127" s="13">
        <v>1247.9599782886737</v>
      </c>
      <c r="AB127" s="13">
        <v>7273.0920225455538</v>
      </c>
      <c r="AC127" s="13">
        <v>42695.390981522381</v>
      </c>
      <c r="AD127" s="13">
        <v>27700</v>
      </c>
      <c r="AE127" s="13">
        <v>31700</v>
      </c>
      <c r="AF127" s="13">
        <v>9000</v>
      </c>
      <c r="AG127" s="13">
        <v>41500</v>
      </c>
      <c r="AH127" s="13">
        <v>94100</v>
      </c>
      <c r="AI127" s="13">
        <v>206200</v>
      </c>
      <c r="AJ127" s="13">
        <v>92100</v>
      </c>
      <c r="AK127" s="13">
        <v>71200</v>
      </c>
    </row>
    <row r="128" spans="2:37">
      <c r="B128" s="24" t="s">
        <v>310</v>
      </c>
    </row>
    <row r="130" spans="2:37">
      <c r="D130" s="30">
        <v>1</v>
      </c>
      <c r="E130" s="30">
        <v>2</v>
      </c>
      <c r="F130" s="30">
        <v>3</v>
      </c>
      <c r="G130" s="30">
        <v>4</v>
      </c>
      <c r="H130" s="30">
        <v>5</v>
      </c>
      <c r="I130" s="30">
        <v>6</v>
      </c>
      <c r="J130" s="30">
        <v>7</v>
      </c>
      <c r="K130" s="30">
        <v>8</v>
      </c>
      <c r="L130" s="30">
        <v>9</v>
      </c>
      <c r="M130" s="30">
        <v>10</v>
      </c>
      <c r="N130" s="30">
        <v>11</v>
      </c>
      <c r="O130" s="30">
        <v>12</v>
      </c>
      <c r="P130" s="30">
        <v>13</v>
      </c>
      <c r="Q130" s="30">
        <v>14</v>
      </c>
      <c r="R130" s="30">
        <v>15</v>
      </c>
      <c r="S130" s="30">
        <v>16</v>
      </c>
      <c r="T130" s="30">
        <v>17</v>
      </c>
      <c r="U130" s="30">
        <v>18</v>
      </c>
      <c r="V130" s="30">
        <v>19</v>
      </c>
      <c r="W130" s="30">
        <v>20</v>
      </c>
      <c r="X130" s="30">
        <v>21</v>
      </c>
      <c r="Y130" s="30">
        <v>22</v>
      </c>
      <c r="Z130" s="30">
        <v>23</v>
      </c>
      <c r="AA130" s="30">
        <v>24</v>
      </c>
      <c r="AB130" s="30">
        <v>25</v>
      </c>
      <c r="AC130" s="30">
        <v>26</v>
      </c>
      <c r="AD130" s="30">
        <v>27</v>
      </c>
      <c r="AE130" s="30">
        <v>28</v>
      </c>
      <c r="AF130" s="30">
        <v>29</v>
      </c>
      <c r="AG130" s="30">
        <v>30</v>
      </c>
      <c r="AH130" s="30">
        <v>31</v>
      </c>
      <c r="AI130" s="30">
        <v>32</v>
      </c>
      <c r="AJ130" s="30">
        <v>33</v>
      </c>
      <c r="AK130" s="30">
        <v>34</v>
      </c>
    </row>
    <row r="131" spans="2:37" ht="112">
      <c r="D131" s="30" t="s">
        <v>177</v>
      </c>
      <c r="E131" s="30" t="s">
        <v>178</v>
      </c>
      <c r="F131" s="30" t="s">
        <v>179</v>
      </c>
      <c r="G131" s="30" t="s">
        <v>180</v>
      </c>
      <c r="H131" s="30" t="s">
        <v>181</v>
      </c>
      <c r="I131" s="30" t="s">
        <v>182</v>
      </c>
      <c r="J131" s="30" t="s">
        <v>183</v>
      </c>
      <c r="K131" s="30" t="s">
        <v>184</v>
      </c>
      <c r="L131" s="30" t="s">
        <v>185</v>
      </c>
      <c r="M131" s="30" t="s">
        <v>186</v>
      </c>
      <c r="N131" s="30" t="s">
        <v>187</v>
      </c>
      <c r="O131" s="30" t="s">
        <v>188</v>
      </c>
      <c r="P131" s="30" t="s">
        <v>105</v>
      </c>
      <c r="Q131" s="30" t="s">
        <v>189</v>
      </c>
      <c r="R131" s="30" t="s">
        <v>190</v>
      </c>
      <c r="S131" s="30" t="s">
        <v>191</v>
      </c>
      <c r="T131" s="30" t="s">
        <v>192</v>
      </c>
      <c r="U131" s="30" t="s">
        <v>115</v>
      </c>
      <c r="V131" s="30" t="s">
        <v>193</v>
      </c>
      <c r="W131" s="30" t="s">
        <v>194</v>
      </c>
      <c r="X131" s="30" t="s">
        <v>195</v>
      </c>
      <c r="Y131" s="30" t="s">
        <v>196</v>
      </c>
      <c r="Z131" s="30" t="s">
        <v>197</v>
      </c>
      <c r="AA131" s="30" t="s">
        <v>198</v>
      </c>
      <c r="AB131" s="30" t="s">
        <v>199</v>
      </c>
      <c r="AC131" s="30" t="s">
        <v>200</v>
      </c>
      <c r="AD131" s="30" t="s">
        <v>201</v>
      </c>
      <c r="AE131" s="30" t="s">
        <v>202</v>
      </c>
      <c r="AF131" s="30" t="s">
        <v>203</v>
      </c>
      <c r="AG131" s="30" t="s">
        <v>204</v>
      </c>
      <c r="AH131" s="30" t="s">
        <v>205</v>
      </c>
      <c r="AI131" s="30" t="s">
        <v>143</v>
      </c>
      <c r="AJ131" s="30" t="s">
        <v>206</v>
      </c>
      <c r="AK131" s="30" t="s">
        <v>207</v>
      </c>
    </row>
    <row r="132" spans="2:37">
      <c r="B132" s="13" t="s">
        <v>76</v>
      </c>
      <c r="D132" s="53">
        <f>D122/D$84</f>
        <v>0.62600097342085359</v>
      </c>
      <c r="E132" s="53">
        <f t="shared" ref="E132:AK132" si="11">E122/E$84</f>
        <v>1.0158233900894997</v>
      </c>
      <c r="F132" s="53">
        <f t="shared" si="11"/>
        <v>1.1455616861755344</v>
      </c>
      <c r="G132" s="53">
        <f t="shared" si="11"/>
        <v>2.0074455965250442</v>
      </c>
      <c r="H132" s="53">
        <f t="shared" si="11"/>
        <v>2.4351624719355205</v>
      </c>
      <c r="I132" s="53">
        <f t="shared" si="11"/>
        <v>5.7506275278382777</v>
      </c>
      <c r="J132" s="53">
        <f t="shared" si="11"/>
        <v>2.0008579399699271</v>
      </c>
      <c r="K132" s="53">
        <f t="shared" si="11"/>
        <v>96.8941734711903</v>
      </c>
      <c r="L132" s="53">
        <f t="shared" si="11"/>
        <v>3.2811358591852948</v>
      </c>
      <c r="M132" s="53">
        <f t="shared" si="11"/>
        <v>79.285439379734328</v>
      </c>
      <c r="N132" s="53">
        <f t="shared" si="11"/>
        <v>1.5568449066729333</v>
      </c>
      <c r="O132" s="53">
        <f t="shared" si="11"/>
        <v>0.75085676237540011</v>
      </c>
      <c r="P132" s="53">
        <f t="shared" si="11"/>
        <v>121.70984810868572</v>
      </c>
      <c r="Q132" s="53">
        <f t="shared" si="11"/>
        <v>1.2367759106774476</v>
      </c>
      <c r="R132" s="53">
        <f t="shared" si="11"/>
        <v>0.77427307175045257</v>
      </c>
      <c r="S132" s="53">
        <f t="shared" si="11"/>
        <v>102.09958017546745</v>
      </c>
      <c r="T132" s="53">
        <f t="shared" si="11"/>
        <v>703.59254020150865</v>
      </c>
      <c r="U132" s="53">
        <f t="shared" si="11"/>
        <v>0.72439523429022901</v>
      </c>
      <c r="V132" s="53">
        <f t="shared" si="11"/>
        <v>2.0375568615864101</v>
      </c>
      <c r="W132" s="53">
        <f t="shared" si="11"/>
        <v>2.1117304612094294</v>
      </c>
      <c r="X132" s="53">
        <f t="shared" si="11"/>
        <v>0.5117217368181981</v>
      </c>
      <c r="Y132" s="53">
        <f t="shared" si="11"/>
        <v>1.4576546333185192</v>
      </c>
      <c r="Z132" s="53">
        <f t="shared" si="11"/>
        <v>0.52625990792849686</v>
      </c>
      <c r="AA132" s="53">
        <f t="shared" si="11"/>
        <v>580.66619630620573</v>
      </c>
      <c r="AB132" s="53">
        <f t="shared" si="11"/>
        <v>97.873248676565183</v>
      </c>
      <c r="AC132" s="53">
        <f t="shared" si="11"/>
        <v>1.4374416541777275</v>
      </c>
      <c r="AD132" s="53">
        <f t="shared" si="11"/>
        <v>0.92790574223878419</v>
      </c>
      <c r="AE132" s="53">
        <f t="shared" si="11"/>
        <v>349.61089535602446</v>
      </c>
      <c r="AF132" s="53">
        <f t="shared" si="11"/>
        <v>0.33639385159255675</v>
      </c>
      <c r="AG132" s="53">
        <f t="shared" si="11"/>
        <v>0.87170667182944894</v>
      </c>
      <c r="AH132" s="53">
        <f t="shared" si="11"/>
        <v>0.26340569198192593</v>
      </c>
      <c r="AI132" s="53">
        <f t="shared" si="11"/>
        <v>0.41123006405718221</v>
      </c>
      <c r="AJ132" s="53">
        <f t="shared" si="11"/>
        <v>0.81167436478995503</v>
      </c>
      <c r="AK132" s="53">
        <f t="shared" si="11"/>
        <v>2.0941910370900234</v>
      </c>
    </row>
    <row r="133" spans="2:37">
      <c r="B133" s="13" t="s">
        <v>218</v>
      </c>
      <c r="D133" s="53">
        <f t="shared" ref="D133:AK137" si="12">D123/D$84</f>
        <v>0.44222896086443364</v>
      </c>
      <c r="E133" s="53">
        <f t="shared" si="12"/>
        <v>1.2502013391197346</v>
      </c>
      <c r="F133" s="53">
        <f t="shared" si="12"/>
        <v>0.43639392506053248</v>
      </c>
      <c r="G133" s="53">
        <f t="shared" si="12"/>
        <v>0.49118699697394064</v>
      </c>
      <c r="H133" s="53">
        <f t="shared" si="12"/>
        <v>0.45156543879420402</v>
      </c>
      <c r="I133" s="53">
        <f t="shared" si="12"/>
        <v>0.44416379121291061</v>
      </c>
      <c r="J133" s="53">
        <f t="shared" si="12"/>
        <v>0.44978726558099108</v>
      </c>
      <c r="K133" s="53">
        <f t="shared" si="12"/>
        <v>1.1026579337345346</v>
      </c>
      <c r="L133" s="53">
        <f t="shared" si="12"/>
        <v>1.0118013694169437</v>
      </c>
      <c r="M133" s="53">
        <f t="shared" si="12"/>
        <v>1.1757598513080614</v>
      </c>
      <c r="N133" s="53">
        <f t="shared" si="12"/>
        <v>1.2535015908133249</v>
      </c>
      <c r="O133" s="53">
        <f t="shared" si="12"/>
        <v>1.2035300674253506</v>
      </c>
      <c r="P133" s="53">
        <f t="shared" si="12"/>
        <v>1.2292363030422457</v>
      </c>
      <c r="Q133" s="53">
        <f t="shared" si="12"/>
        <v>1.1556707209295567</v>
      </c>
      <c r="R133" s="53">
        <f t="shared" si="12"/>
        <v>1.0870490742366334</v>
      </c>
      <c r="S133" s="53">
        <f t="shared" si="12"/>
        <v>1.1357443293427854</v>
      </c>
      <c r="T133" s="53">
        <f t="shared" si="12"/>
        <v>8.3041246654591738</v>
      </c>
      <c r="U133" s="53">
        <f t="shared" si="12"/>
        <v>6.3663314117586314</v>
      </c>
      <c r="V133" s="53">
        <f t="shared" si="12"/>
        <v>0.44012455970164843</v>
      </c>
      <c r="W133" s="53">
        <f t="shared" si="12"/>
        <v>0.38892256336121428</v>
      </c>
      <c r="X133" s="53">
        <f t="shared" si="12"/>
        <v>0.36841362743333278</v>
      </c>
      <c r="Y133" s="53">
        <f t="shared" si="12"/>
        <v>0.47449064753734493</v>
      </c>
      <c r="Z133" s="53">
        <f t="shared" si="12"/>
        <v>9.3560232038341004E-2</v>
      </c>
      <c r="AA133" s="53">
        <f t="shared" si="12"/>
        <v>9.6256579081853783E-2</v>
      </c>
      <c r="AB133" s="53">
        <f t="shared" si="12"/>
        <v>9.5239304361866034E-2</v>
      </c>
      <c r="AC133" s="53">
        <f t="shared" si="12"/>
        <v>0.46792400161226172</v>
      </c>
      <c r="AD133" s="53">
        <f t="shared" si="12"/>
        <v>0.43976707348831101</v>
      </c>
      <c r="AE133" s="53">
        <f t="shared" si="12"/>
        <v>0.4578861970210798</v>
      </c>
      <c r="AF133" s="53">
        <f t="shared" si="12"/>
        <v>0.45377623864402006</v>
      </c>
      <c r="AG133" s="53">
        <f t="shared" si="12"/>
        <v>0.4495390168251332</v>
      </c>
      <c r="AH133" s="53">
        <f t="shared" si="12"/>
        <v>0.43559036251818989</v>
      </c>
      <c r="AI133" s="53">
        <f t="shared" si="12"/>
        <v>0.44233314497078396</v>
      </c>
      <c r="AJ133" s="53">
        <f t="shared" si="12"/>
        <v>0.43552294942280351</v>
      </c>
      <c r="AK133" s="53">
        <f t="shared" si="12"/>
        <v>0.43896842837037231</v>
      </c>
    </row>
    <row r="134" spans="2:37">
      <c r="B134" s="13" t="s">
        <v>78</v>
      </c>
      <c r="D134" s="53">
        <f t="shared" si="12"/>
        <v>2.3302982928125551</v>
      </c>
      <c r="E134" s="53">
        <f t="shared" si="12"/>
        <v>1.5146307128939163E-3</v>
      </c>
      <c r="F134" s="53">
        <f t="shared" si="12"/>
        <v>1.8472503738149583E-3</v>
      </c>
      <c r="G134" s="53">
        <f t="shared" si="12"/>
        <v>3.7757856802939469E-3</v>
      </c>
      <c r="H134" s="53">
        <f t="shared" si="12"/>
        <v>4.8126376051425964E-3</v>
      </c>
      <c r="I134" s="53">
        <f t="shared" si="12"/>
        <v>1.2547871016982189E-2</v>
      </c>
      <c r="J134" s="53">
        <f t="shared" si="12"/>
        <v>4.0256766540803721E-3</v>
      </c>
      <c r="K134" s="53">
        <f t="shared" si="12"/>
        <v>1.4026093942228909E-3</v>
      </c>
      <c r="L134" s="53">
        <f t="shared" si="12"/>
        <v>6.7781400257699341E-3</v>
      </c>
      <c r="M134" s="53">
        <f t="shared" si="12"/>
        <v>6.2483050411604648E-3</v>
      </c>
      <c r="N134" s="53">
        <f t="shared" si="12"/>
        <v>2.8666439184983051E-3</v>
      </c>
      <c r="O134" s="53">
        <f t="shared" si="12"/>
        <v>8.0041427697926423E-4</v>
      </c>
      <c r="P134" s="53">
        <f t="shared" si="12"/>
        <v>1.3613431866631536E-3</v>
      </c>
      <c r="Q134" s="53">
        <f t="shared" si="12"/>
        <v>2.0248287629572848E-3</v>
      </c>
      <c r="R134" s="53">
        <f t="shared" si="12"/>
        <v>9.9367570220790344E-4</v>
      </c>
      <c r="S134" s="53">
        <f t="shared" si="12"/>
        <v>2.5026238049209171E-3</v>
      </c>
      <c r="T134" s="53">
        <f t="shared" si="12"/>
        <v>1.9108811772381622E-3</v>
      </c>
      <c r="U134" s="53">
        <f t="shared" si="12"/>
        <v>1.0576245759894259E-3</v>
      </c>
      <c r="V134" s="53">
        <f t="shared" si="12"/>
        <v>4.0713475105013438E-3</v>
      </c>
      <c r="W134" s="53">
        <f t="shared" si="12"/>
        <v>4.4649490345888086E-3</v>
      </c>
      <c r="X134" s="53">
        <f t="shared" si="12"/>
        <v>9.9319322242528529E-4</v>
      </c>
      <c r="Y134" s="53">
        <f t="shared" si="12"/>
        <v>3.0060865807474968E-3</v>
      </c>
      <c r="Z134" s="53">
        <f t="shared" si="12"/>
        <v>6.2474995565366597E-4</v>
      </c>
      <c r="AA134" s="53">
        <f t="shared" si="12"/>
        <v>4.0439296020895405E-3</v>
      </c>
      <c r="AB134" s="53">
        <f t="shared" si="12"/>
        <v>3.6349100744857651E-3</v>
      </c>
      <c r="AC134" s="53">
        <f t="shared" si="12"/>
        <v>2.7593692492681398E-3</v>
      </c>
      <c r="AD134" s="53">
        <f t="shared" si="12"/>
        <v>1.7477769339383263E-3</v>
      </c>
      <c r="AE134" s="53">
        <f t="shared" si="12"/>
        <v>1.5028955900302883E-3</v>
      </c>
      <c r="AF134" s="53">
        <f t="shared" si="12"/>
        <v>5.3082574130621006E-4</v>
      </c>
      <c r="AG134" s="53">
        <f t="shared" si="12"/>
        <v>1.400152594161506E-3</v>
      </c>
      <c r="AH134" s="53">
        <f t="shared" si="12"/>
        <v>3.337182067476259E-4</v>
      </c>
      <c r="AI134" s="53">
        <f t="shared" si="12"/>
        <v>5.4013828232369774E-4</v>
      </c>
      <c r="AJ134" s="53">
        <f t="shared" si="12"/>
        <v>1.498955224159696E-3</v>
      </c>
      <c r="AK134" s="53">
        <f t="shared" si="12"/>
        <v>4.4534264719889392E-3</v>
      </c>
    </row>
    <row r="135" spans="2:37">
      <c r="B135" s="13" t="s">
        <v>79</v>
      </c>
      <c r="D135" s="53">
        <f t="shared" si="12"/>
        <v>3.9067759059330855</v>
      </c>
      <c r="E135" s="53">
        <f t="shared" si="12"/>
        <v>0</v>
      </c>
      <c r="F135" s="53">
        <f t="shared" si="12"/>
        <v>0</v>
      </c>
      <c r="G135" s="53">
        <f t="shared" si="12"/>
        <v>0</v>
      </c>
      <c r="H135" s="53">
        <f t="shared" si="12"/>
        <v>0</v>
      </c>
      <c r="I135" s="53">
        <f t="shared" si="12"/>
        <v>0</v>
      </c>
      <c r="J135" s="53">
        <f t="shared" si="12"/>
        <v>0</v>
      </c>
      <c r="K135" s="53">
        <f t="shared" si="12"/>
        <v>0</v>
      </c>
      <c r="L135" s="53">
        <f t="shared" si="12"/>
        <v>0</v>
      </c>
      <c r="M135" s="53">
        <f t="shared" si="12"/>
        <v>0</v>
      </c>
      <c r="N135" s="53">
        <f t="shared" si="12"/>
        <v>0</v>
      </c>
      <c r="O135" s="53">
        <f t="shared" si="12"/>
        <v>0</v>
      </c>
      <c r="P135" s="53">
        <f t="shared" si="12"/>
        <v>0</v>
      </c>
      <c r="Q135" s="53">
        <f t="shared" si="12"/>
        <v>0</v>
      </c>
      <c r="R135" s="53">
        <f t="shared" si="12"/>
        <v>0</v>
      </c>
      <c r="S135" s="53">
        <f t="shared" si="12"/>
        <v>0</v>
      </c>
      <c r="T135" s="53">
        <f t="shared" si="12"/>
        <v>0</v>
      </c>
      <c r="U135" s="53">
        <f t="shared" si="12"/>
        <v>0</v>
      </c>
      <c r="V135" s="53">
        <f t="shared" si="12"/>
        <v>0</v>
      </c>
      <c r="W135" s="53">
        <f t="shared" si="12"/>
        <v>0</v>
      </c>
      <c r="X135" s="53">
        <f t="shared" si="12"/>
        <v>0</v>
      </c>
      <c r="Y135" s="53">
        <f t="shared" si="12"/>
        <v>0</v>
      </c>
      <c r="Z135" s="53">
        <f t="shared" si="12"/>
        <v>0</v>
      </c>
      <c r="AA135" s="53">
        <f t="shared" si="12"/>
        <v>0</v>
      </c>
      <c r="AB135" s="53">
        <f t="shared" si="12"/>
        <v>0</v>
      </c>
      <c r="AC135" s="53">
        <f t="shared" si="12"/>
        <v>0</v>
      </c>
      <c r="AD135" s="53">
        <f t="shared" si="12"/>
        <v>0</v>
      </c>
      <c r="AE135" s="53">
        <f t="shared" si="12"/>
        <v>0</v>
      </c>
      <c r="AF135" s="53">
        <f t="shared" si="12"/>
        <v>0</v>
      </c>
      <c r="AG135" s="53">
        <f t="shared" si="12"/>
        <v>0</v>
      </c>
      <c r="AH135" s="53">
        <f t="shared" si="12"/>
        <v>0</v>
      </c>
      <c r="AI135" s="53">
        <f t="shared" si="12"/>
        <v>0</v>
      </c>
      <c r="AJ135" s="53">
        <f t="shared" si="12"/>
        <v>0</v>
      </c>
      <c r="AK135" s="53">
        <f t="shared" si="12"/>
        <v>0</v>
      </c>
    </row>
    <row r="136" spans="2:37">
      <c r="B136" s="13" t="s">
        <v>80</v>
      </c>
      <c r="D136" s="53">
        <f t="shared" si="12"/>
        <v>0.14171218545268205</v>
      </c>
      <c r="E136" s="53">
        <f t="shared" si="12"/>
        <v>2.1009398234355027E-2</v>
      </c>
      <c r="F136" s="53">
        <f t="shared" si="12"/>
        <v>2.5623155804023266E-2</v>
      </c>
      <c r="G136" s="53">
        <f t="shared" si="12"/>
        <v>5.2373812527084708E-2</v>
      </c>
      <c r="H136" s="53">
        <f t="shared" si="12"/>
        <v>6.6755955193122496E-2</v>
      </c>
      <c r="I136" s="53">
        <f t="shared" si="12"/>
        <v>0.17405115117823716</v>
      </c>
      <c r="J136" s="53">
        <f t="shared" si="12"/>
        <v>5.5840042901760527E-2</v>
      </c>
      <c r="K136" s="53">
        <f t="shared" si="12"/>
        <v>1.9455553805701874E-2</v>
      </c>
      <c r="L136" s="53">
        <f t="shared" si="12"/>
        <v>9.4019381673264596E-2</v>
      </c>
      <c r="M136" s="53">
        <f t="shared" si="12"/>
        <v>8.6670056127841469E-2</v>
      </c>
      <c r="N136" s="53">
        <f t="shared" si="12"/>
        <v>3.9763133790382266E-2</v>
      </c>
      <c r="O136" s="53">
        <f t="shared" si="12"/>
        <v>1.1102522980925783E-2</v>
      </c>
      <c r="P136" s="53">
        <f t="shared" si="12"/>
        <v>1.8883151449890941E-2</v>
      </c>
      <c r="Q136" s="53">
        <f t="shared" si="12"/>
        <v>2.8086340436122896E-2</v>
      </c>
      <c r="R136" s="53">
        <f t="shared" si="12"/>
        <v>1.378324654700858E-2</v>
      </c>
      <c r="S136" s="53">
        <f t="shared" si="12"/>
        <v>3.4713821462065482E-2</v>
      </c>
      <c r="T136" s="53">
        <f t="shared" si="12"/>
        <v>2.6505776813692233E-2</v>
      </c>
      <c r="U136" s="53">
        <f t="shared" si="12"/>
        <v>1.4670279501297163E-2</v>
      </c>
      <c r="V136" s="53">
        <f t="shared" si="12"/>
        <v>5.647354201285338E-2</v>
      </c>
      <c r="W136" s="53">
        <f t="shared" si="12"/>
        <v>6.1933177219512373E-2</v>
      </c>
      <c r="X136" s="53">
        <f t="shared" si="12"/>
        <v>1.37765540840823E-2</v>
      </c>
      <c r="Y136" s="53">
        <f t="shared" si="12"/>
        <v>4.1697338872262922E-2</v>
      </c>
      <c r="Z136" s="53">
        <f t="shared" si="12"/>
        <v>8.6658883274228302E-3</v>
      </c>
      <c r="AA136" s="53">
        <f t="shared" si="12"/>
        <v>5.6093229008717833E-2</v>
      </c>
      <c r="AB136" s="53">
        <f t="shared" si="12"/>
        <v>5.0419731127087766E-2</v>
      </c>
      <c r="AC136" s="53">
        <f t="shared" si="12"/>
        <v>3.8275129997029166E-2</v>
      </c>
      <c r="AD136" s="53">
        <f t="shared" si="12"/>
        <v>2.4243362634428594E-2</v>
      </c>
      <c r="AE136" s="53">
        <f t="shared" si="12"/>
        <v>2.0846620688995482E-2</v>
      </c>
      <c r="AF136" s="53">
        <f t="shared" si="12"/>
        <v>7.3630683025308402E-3</v>
      </c>
      <c r="AG136" s="53">
        <f t="shared" si="12"/>
        <v>1.9421475604043593E-2</v>
      </c>
      <c r="AH136" s="53">
        <f t="shared" si="12"/>
        <v>4.6289954666373905E-3</v>
      </c>
      <c r="AI136" s="53">
        <f t="shared" si="12"/>
        <v>7.492242286093043E-3</v>
      </c>
      <c r="AJ136" s="53">
        <f t="shared" si="12"/>
        <v>2.0791963989471567E-2</v>
      </c>
      <c r="AK136" s="53">
        <f t="shared" si="12"/>
        <v>6.1773348091342647E-2</v>
      </c>
    </row>
    <row r="137" spans="2:37">
      <c r="B137" s="13" t="s">
        <v>308</v>
      </c>
      <c r="D137" s="53">
        <f t="shared" si="12"/>
        <v>177.24854364092448</v>
      </c>
      <c r="E137" s="53">
        <f t="shared" si="12"/>
        <v>87.331516779434864</v>
      </c>
      <c r="F137" s="53">
        <f t="shared" si="12"/>
        <v>57.641199933988048</v>
      </c>
      <c r="G137" s="53">
        <f t="shared" si="12"/>
        <v>68.527206261042394</v>
      </c>
      <c r="H137" s="53">
        <f t="shared" si="12"/>
        <v>68.527206261042267</v>
      </c>
      <c r="I137" s="53">
        <f t="shared" si="12"/>
        <v>90.657610739544637</v>
      </c>
      <c r="J137" s="53">
        <f t="shared" si="12"/>
        <v>71.443917307215855</v>
      </c>
      <c r="K137" s="53">
        <f t="shared" si="12"/>
        <v>74.203231234812463</v>
      </c>
      <c r="L137" s="53">
        <f t="shared" si="12"/>
        <v>74.244638437480944</v>
      </c>
      <c r="M137" s="53">
        <f t="shared" si="12"/>
        <v>76.042815774704877</v>
      </c>
      <c r="N137" s="53">
        <f t="shared" si="12"/>
        <v>76.042815774704721</v>
      </c>
      <c r="O137" s="53">
        <f t="shared" si="12"/>
        <v>82.355157479277409</v>
      </c>
      <c r="P137" s="53">
        <f t="shared" si="12"/>
        <v>96.26804627599023</v>
      </c>
      <c r="Q137" s="53">
        <f t="shared" si="12"/>
        <v>97.184096435724626</v>
      </c>
      <c r="R137" s="53">
        <f t="shared" si="12"/>
        <v>97.401286393916635</v>
      </c>
      <c r="S137" s="53">
        <f t="shared" si="12"/>
        <v>77.620044557619323</v>
      </c>
      <c r="T137" s="53">
        <f t="shared" si="12"/>
        <v>108.20716771283838</v>
      </c>
      <c r="U137" s="53">
        <f t="shared" si="12"/>
        <v>129.58915407537512</v>
      </c>
      <c r="V137" s="53">
        <f t="shared" si="12"/>
        <v>223.91590227469854</v>
      </c>
      <c r="W137" s="53">
        <f t="shared" si="12"/>
        <v>195.05077320680732</v>
      </c>
      <c r="X137" s="53">
        <f t="shared" si="12"/>
        <v>182.90205062332342</v>
      </c>
      <c r="Y137" s="53">
        <f t="shared" si="12"/>
        <v>374.30587826060327</v>
      </c>
      <c r="Z137" s="53">
        <f t="shared" si="12"/>
        <v>279.97443819282574</v>
      </c>
      <c r="AA137" s="53">
        <f t="shared" si="12"/>
        <v>269.8325805443157</v>
      </c>
      <c r="AB137" s="53">
        <f t="shared" si="12"/>
        <v>283.09300256618718</v>
      </c>
      <c r="AC137" s="53">
        <f t="shared" si="12"/>
        <v>282.805388303472</v>
      </c>
      <c r="AD137" s="53">
        <f t="shared" si="12"/>
        <v>53.438376687662164</v>
      </c>
      <c r="AE137" s="53">
        <f t="shared" si="12"/>
        <v>19.903731558087038</v>
      </c>
      <c r="AF137" s="53">
        <f t="shared" si="12"/>
        <v>32.878920864340074</v>
      </c>
      <c r="AG137" s="53">
        <f t="shared" si="12"/>
        <v>201.57733586634939</v>
      </c>
      <c r="AH137" s="53">
        <f t="shared" si="12"/>
        <v>154.40685527028197</v>
      </c>
      <c r="AI137" s="53">
        <f t="shared" si="12"/>
        <v>347.69472415835344</v>
      </c>
      <c r="AJ137" s="53">
        <f t="shared" si="12"/>
        <v>276.64220135319721</v>
      </c>
      <c r="AK137" s="53">
        <f t="shared" si="12"/>
        <v>309.81337382694528</v>
      </c>
    </row>
    <row r="142" spans="2:37">
      <c r="B142" s="24" t="s">
        <v>311</v>
      </c>
    </row>
    <row r="144" spans="2:37">
      <c r="B144" s="24" t="s">
        <v>312</v>
      </c>
    </row>
    <row r="145" spans="2:37">
      <c r="B145" s="24"/>
    </row>
    <row r="146" spans="2:37" ht="112">
      <c r="B146" s="81"/>
      <c r="C146" s="81"/>
      <c r="D146" s="82" t="s">
        <v>177</v>
      </c>
      <c r="E146" s="82" t="s">
        <v>178</v>
      </c>
      <c r="F146" s="82" t="s">
        <v>179</v>
      </c>
      <c r="G146" s="82" t="s">
        <v>180</v>
      </c>
      <c r="H146" s="82" t="s">
        <v>181</v>
      </c>
      <c r="I146" s="82" t="s">
        <v>182</v>
      </c>
      <c r="J146" s="82" t="s">
        <v>183</v>
      </c>
      <c r="K146" s="82" t="s">
        <v>184</v>
      </c>
      <c r="L146" s="82" t="s">
        <v>185</v>
      </c>
      <c r="M146" s="82" t="s">
        <v>186</v>
      </c>
      <c r="N146" s="82" t="s">
        <v>187</v>
      </c>
      <c r="O146" s="82" t="s">
        <v>188</v>
      </c>
      <c r="P146" s="82" t="s">
        <v>105</v>
      </c>
      <c r="Q146" s="82" t="s">
        <v>189</v>
      </c>
      <c r="R146" s="82" t="s">
        <v>190</v>
      </c>
      <c r="S146" s="82" t="s">
        <v>191</v>
      </c>
      <c r="T146" s="82" t="s">
        <v>192</v>
      </c>
      <c r="U146" s="82" t="s">
        <v>115</v>
      </c>
      <c r="V146" s="82" t="s">
        <v>193</v>
      </c>
      <c r="W146" s="82" t="s">
        <v>194</v>
      </c>
      <c r="X146" s="82" t="s">
        <v>195</v>
      </c>
      <c r="Y146" s="82" t="s">
        <v>196</v>
      </c>
      <c r="Z146" s="82" t="s">
        <v>197</v>
      </c>
      <c r="AA146" s="82" t="s">
        <v>198</v>
      </c>
      <c r="AB146" s="82" t="s">
        <v>199</v>
      </c>
      <c r="AC146" s="82" t="s">
        <v>200</v>
      </c>
      <c r="AD146" s="82" t="s">
        <v>201</v>
      </c>
      <c r="AE146" s="82" t="s">
        <v>202</v>
      </c>
      <c r="AF146" s="82" t="s">
        <v>203</v>
      </c>
      <c r="AG146" s="82" t="s">
        <v>204</v>
      </c>
      <c r="AH146" s="82" t="s">
        <v>205</v>
      </c>
      <c r="AI146" s="82" t="s">
        <v>143</v>
      </c>
      <c r="AJ146" s="82" t="s">
        <v>206</v>
      </c>
      <c r="AK146" s="82" t="s">
        <v>207</v>
      </c>
    </row>
    <row r="147" spans="2:37">
      <c r="B147" s="81"/>
      <c r="C147" s="81"/>
      <c r="D147" s="81" t="s">
        <v>82</v>
      </c>
      <c r="E147" s="81" t="s">
        <v>84</v>
      </c>
      <c r="F147" s="81" t="s">
        <v>86</v>
      </c>
      <c r="G147" s="81" t="s">
        <v>88</v>
      </c>
      <c r="H147" s="81" t="s">
        <v>90</v>
      </c>
      <c r="I147" s="81" t="s">
        <v>92</v>
      </c>
      <c r="J147" s="81" t="s">
        <v>94</v>
      </c>
      <c r="K147" s="81" t="s">
        <v>96</v>
      </c>
      <c r="L147" s="81" t="s">
        <v>98</v>
      </c>
      <c r="M147" s="81" t="s">
        <v>100</v>
      </c>
      <c r="N147" s="81" t="s">
        <v>102</v>
      </c>
      <c r="O147" s="81" t="s">
        <v>104</v>
      </c>
      <c r="P147" s="81" t="s">
        <v>106</v>
      </c>
      <c r="Q147" s="81" t="s">
        <v>108</v>
      </c>
      <c r="R147" s="81" t="s">
        <v>110</v>
      </c>
      <c r="S147" s="81" t="s">
        <v>112</v>
      </c>
      <c r="T147" s="81" t="s">
        <v>114</v>
      </c>
      <c r="U147" s="81" t="s">
        <v>116</v>
      </c>
      <c r="V147" s="81" t="s">
        <v>118</v>
      </c>
      <c r="W147" s="81" t="s">
        <v>120</v>
      </c>
      <c r="X147" s="81" t="s">
        <v>122</v>
      </c>
      <c r="Y147" s="81" t="s">
        <v>124</v>
      </c>
      <c r="Z147" s="81" t="s">
        <v>126</v>
      </c>
      <c r="AA147" s="81" t="s">
        <v>128</v>
      </c>
      <c r="AB147" s="81" t="s">
        <v>130</v>
      </c>
      <c r="AC147" s="81" t="s">
        <v>132</v>
      </c>
      <c r="AD147" s="81" t="s">
        <v>134</v>
      </c>
      <c r="AE147" s="81" t="s">
        <v>136</v>
      </c>
      <c r="AF147" s="81" t="s">
        <v>138</v>
      </c>
      <c r="AG147" s="81" t="s">
        <v>140</v>
      </c>
      <c r="AH147" s="81" t="s">
        <v>142</v>
      </c>
      <c r="AI147" s="81" t="s">
        <v>144</v>
      </c>
      <c r="AJ147" s="81" t="s">
        <v>146</v>
      </c>
      <c r="AK147" s="81" t="s">
        <v>148</v>
      </c>
    </row>
    <row r="148" spans="2:37">
      <c r="B148" s="81" t="s">
        <v>81</v>
      </c>
      <c r="C148" s="81" t="s">
        <v>82</v>
      </c>
      <c r="D148" s="83">
        <f t="shared" ref="D148:AK155" si="13">D8/D$84</f>
        <v>0.45125216286449898</v>
      </c>
      <c r="E148" s="83">
        <f t="shared" si="13"/>
        <v>2.2161741354171896E-3</v>
      </c>
      <c r="F148" s="83">
        <f t="shared" si="13"/>
        <v>0.17924521776424096</v>
      </c>
      <c r="G148" s="83">
        <f t="shared" si="13"/>
        <v>0.13314738616556884</v>
      </c>
      <c r="H148" s="83">
        <f t="shared" si="13"/>
        <v>0.12146327771202031</v>
      </c>
      <c r="I148" s="83">
        <f t="shared" si="13"/>
        <v>2.2652573474447892E-3</v>
      </c>
      <c r="J148" s="83">
        <f t="shared" si="13"/>
        <v>1.9276059427764021E-3</v>
      </c>
      <c r="K148" s="83">
        <f t="shared" si="13"/>
        <v>2.8785370761972248E-3</v>
      </c>
      <c r="L148" s="83">
        <f t="shared" si="13"/>
        <v>3.0392634587225009E-3</v>
      </c>
      <c r="M148" s="83">
        <f t="shared" si="13"/>
        <v>7.2058887027036584E-4</v>
      </c>
      <c r="N148" s="83">
        <f t="shared" si="13"/>
        <v>7.1464966773730396E-4</v>
      </c>
      <c r="O148" s="83">
        <f t="shared" si="13"/>
        <v>2.6117809222648001E-5</v>
      </c>
      <c r="P148" s="83">
        <f t="shared" si="13"/>
        <v>0</v>
      </c>
      <c r="Q148" s="83">
        <f t="shared" si="13"/>
        <v>0</v>
      </c>
      <c r="R148" s="83">
        <f t="shared" si="13"/>
        <v>0</v>
      </c>
      <c r="S148" s="83">
        <f t="shared" si="13"/>
        <v>0</v>
      </c>
      <c r="T148" s="83">
        <f t="shared" si="13"/>
        <v>0</v>
      </c>
      <c r="U148" s="83">
        <f t="shared" si="13"/>
        <v>8.8127774753671135E-5</v>
      </c>
      <c r="V148" s="83">
        <f t="shared" si="13"/>
        <v>0</v>
      </c>
      <c r="W148" s="83">
        <f t="shared" si="13"/>
        <v>2.6350605660378609E-3</v>
      </c>
      <c r="X148" s="83">
        <f t="shared" si="13"/>
        <v>8.0782297735874434E-5</v>
      </c>
      <c r="Y148" s="83">
        <f t="shared" si="13"/>
        <v>3.9928334808990468E-2</v>
      </c>
      <c r="Z148" s="83">
        <f t="shared" si="13"/>
        <v>0</v>
      </c>
      <c r="AA148" s="83">
        <f t="shared" si="13"/>
        <v>0</v>
      </c>
      <c r="AB148" s="83">
        <f t="shared" si="13"/>
        <v>0</v>
      </c>
      <c r="AC148" s="83">
        <f t="shared" si="13"/>
        <v>0</v>
      </c>
      <c r="AD148" s="83">
        <f t="shared" si="13"/>
        <v>0</v>
      </c>
      <c r="AE148" s="83">
        <f t="shared" si="13"/>
        <v>0</v>
      </c>
      <c r="AF148" s="83">
        <f t="shared" si="13"/>
        <v>1.0052550223284284E-3</v>
      </c>
      <c r="AG148" s="83">
        <f t="shared" si="13"/>
        <v>1.0292358004559826E-3</v>
      </c>
      <c r="AH148" s="83">
        <f t="shared" si="13"/>
        <v>3.4275251531073636E-2</v>
      </c>
      <c r="AI148" s="83">
        <f t="shared" si="13"/>
        <v>1.7941122276997016E-2</v>
      </c>
      <c r="AJ148" s="83">
        <f t="shared" si="13"/>
        <v>3.6041032751335481E-2</v>
      </c>
      <c r="AK148" s="83">
        <f t="shared" si="13"/>
        <v>3.1022956416850664E-4</v>
      </c>
    </row>
    <row r="149" spans="2:37">
      <c r="B149" s="81" t="s">
        <v>83</v>
      </c>
      <c r="C149" s="81" t="s">
        <v>84</v>
      </c>
      <c r="D149" s="83">
        <f t="shared" si="13"/>
        <v>9.3332748948937774E-7</v>
      </c>
      <c r="E149" s="83">
        <f t="shared" si="13"/>
        <v>3.1730399280462673E-2</v>
      </c>
      <c r="F149" s="83">
        <f t="shared" si="13"/>
        <v>4.4888515352312598E-3</v>
      </c>
      <c r="G149" s="83">
        <f t="shared" si="13"/>
        <v>2.3705499183736202E-3</v>
      </c>
      <c r="H149" s="83">
        <f t="shared" si="13"/>
        <v>2.3614351947807552E-3</v>
      </c>
      <c r="I149" s="83">
        <f t="shared" si="13"/>
        <v>7.2293542997369192E-4</v>
      </c>
      <c r="J149" s="83">
        <f t="shared" si="13"/>
        <v>5.8810501424998813E-4</v>
      </c>
      <c r="K149" s="83">
        <f t="shared" si="13"/>
        <v>9.9058529025316935E-2</v>
      </c>
      <c r="L149" s="83">
        <f t="shared" si="13"/>
        <v>9.9012674497133288E-2</v>
      </c>
      <c r="M149" s="83">
        <f t="shared" si="13"/>
        <v>2.4660954872181267E-2</v>
      </c>
      <c r="N149" s="83">
        <f t="shared" si="13"/>
        <v>2.4457695549580837E-2</v>
      </c>
      <c r="O149" s="83">
        <f t="shared" si="13"/>
        <v>8.0766766285307063E-3</v>
      </c>
      <c r="P149" s="83">
        <f t="shared" si="13"/>
        <v>2.8797003359989151E-2</v>
      </c>
      <c r="Q149" s="83">
        <f t="shared" si="13"/>
        <v>2.8550428385253047E-2</v>
      </c>
      <c r="R149" s="83">
        <f t="shared" si="13"/>
        <v>2.8491966948523767E-2</v>
      </c>
      <c r="S149" s="83">
        <f t="shared" si="13"/>
        <v>3.4528312348092123E-2</v>
      </c>
      <c r="T149" s="83">
        <f t="shared" si="13"/>
        <v>6.1718204953460351E-2</v>
      </c>
      <c r="U149" s="83">
        <f t="shared" si="13"/>
        <v>7.0773585722702275E-3</v>
      </c>
      <c r="V149" s="83">
        <f t="shared" si="13"/>
        <v>8.6413636603470331E-3</v>
      </c>
      <c r="W149" s="83">
        <f t="shared" si="13"/>
        <v>2.5893075510433717E-4</v>
      </c>
      <c r="X149" s="83">
        <f t="shared" si="13"/>
        <v>2.7193647973575987E-4</v>
      </c>
      <c r="Y149" s="83">
        <f t="shared" si="13"/>
        <v>5.6318882996863728E-4</v>
      </c>
      <c r="Z149" s="83">
        <f t="shared" si="13"/>
        <v>1.3501401708981555E-3</v>
      </c>
      <c r="AA149" s="83">
        <f t="shared" si="13"/>
        <v>1.3943727630709368E-3</v>
      </c>
      <c r="AB149" s="83">
        <f t="shared" si="13"/>
        <v>1.3418445685783749E-3</v>
      </c>
      <c r="AC149" s="83">
        <f t="shared" si="13"/>
        <v>1.3428417930458735E-3</v>
      </c>
      <c r="AD149" s="83">
        <f t="shared" si="13"/>
        <v>9.8652433195428927E-4</v>
      </c>
      <c r="AE149" s="83">
        <f t="shared" si="13"/>
        <v>0</v>
      </c>
      <c r="AF149" s="83">
        <f t="shared" si="13"/>
        <v>3.6630569329340894E-5</v>
      </c>
      <c r="AG149" s="83">
        <f t="shared" si="13"/>
        <v>3.7504406849433997E-5</v>
      </c>
      <c r="AH149" s="83">
        <f t="shared" si="13"/>
        <v>2.7919959413852729E-3</v>
      </c>
      <c r="AI149" s="83">
        <f t="shared" si="13"/>
        <v>9.7178263467009862E-3</v>
      </c>
      <c r="AJ149" s="83">
        <f t="shared" si="13"/>
        <v>1.2855763336816185E-4</v>
      </c>
      <c r="AK149" s="83">
        <f t="shared" si="13"/>
        <v>6.4768251209758874E-4</v>
      </c>
    </row>
    <row r="150" spans="2:37">
      <c r="B150" s="81" t="s">
        <v>85</v>
      </c>
      <c r="C150" s="81" t="s">
        <v>86</v>
      </c>
      <c r="D150" s="83">
        <f t="shared" si="13"/>
        <v>2.4405577095699296E-3</v>
      </c>
      <c r="E150" s="83">
        <f t="shared" si="13"/>
        <v>1.2053178500205769E-3</v>
      </c>
      <c r="F150" s="83">
        <f t="shared" si="13"/>
        <v>9.3431193768579945E-2</v>
      </c>
      <c r="G150" s="83">
        <f t="shared" si="13"/>
        <v>7.4258731426056776E-3</v>
      </c>
      <c r="H150" s="83">
        <f t="shared" si="13"/>
        <v>7.3973207883160398E-3</v>
      </c>
      <c r="I150" s="83">
        <f t="shared" si="13"/>
        <v>1.1751045895924628E-4</v>
      </c>
      <c r="J150" s="83">
        <f t="shared" si="13"/>
        <v>5.7964706740492092E-4</v>
      </c>
      <c r="K150" s="83">
        <f t="shared" si="13"/>
        <v>2.6506975043519489E-2</v>
      </c>
      <c r="L150" s="83">
        <f t="shared" si="13"/>
        <v>2.6489758537333409E-2</v>
      </c>
      <c r="M150" s="83">
        <f t="shared" si="13"/>
        <v>6.3848888681860795E-3</v>
      </c>
      <c r="N150" s="83">
        <f t="shared" si="13"/>
        <v>6.3322636477535351E-3</v>
      </c>
      <c r="O150" s="83">
        <f t="shared" si="13"/>
        <v>7.7227250968546143E-4</v>
      </c>
      <c r="P150" s="83">
        <f t="shared" si="13"/>
        <v>1.0705122378968716E-4</v>
      </c>
      <c r="Q150" s="83">
        <f t="shared" si="13"/>
        <v>1.0613459533111336E-4</v>
      </c>
      <c r="R150" s="83">
        <f t="shared" si="13"/>
        <v>1.0591726826176024E-4</v>
      </c>
      <c r="S150" s="83">
        <f t="shared" si="13"/>
        <v>1.8401974270883844E-4</v>
      </c>
      <c r="T150" s="83">
        <f t="shared" si="13"/>
        <v>3.8362897662122079E-3</v>
      </c>
      <c r="U150" s="83">
        <f t="shared" si="13"/>
        <v>1.7055312965257332E-2</v>
      </c>
      <c r="V150" s="83">
        <f t="shared" si="13"/>
        <v>1.6207170542688096E-4</v>
      </c>
      <c r="W150" s="83">
        <f t="shared" si="13"/>
        <v>1.2110457719679651E-2</v>
      </c>
      <c r="X150" s="83">
        <f t="shared" si="13"/>
        <v>3.3619285924172286E-2</v>
      </c>
      <c r="Y150" s="83">
        <f t="shared" si="13"/>
        <v>7.8573302000499112E-2</v>
      </c>
      <c r="Z150" s="83">
        <f t="shared" si="13"/>
        <v>5.9886645812761907E-3</v>
      </c>
      <c r="AA150" s="83">
        <f t="shared" si="13"/>
        <v>6.184862104905796E-3</v>
      </c>
      <c r="AB150" s="83">
        <f t="shared" si="13"/>
        <v>5.9518687130665467E-3</v>
      </c>
      <c r="AC150" s="83">
        <f t="shared" si="13"/>
        <v>5.9562919892395634E-3</v>
      </c>
      <c r="AD150" s="83">
        <f t="shared" si="13"/>
        <v>7.8106891975472399E-3</v>
      </c>
      <c r="AE150" s="83">
        <f t="shared" si="13"/>
        <v>1.912204773788926E-4</v>
      </c>
      <c r="AF150" s="83">
        <f t="shared" si="13"/>
        <v>1.9334566837094846E-2</v>
      </c>
      <c r="AG150" s="83">
        <f t="shared" si="13"/>
        <v>1.9795800998789154E-2</v>
      </c>
      <c r="AH150" s="83">
        <f t="shared" si="13"/>
        <v>3.4898218170728926E-2</v>
      </c>
      <c r="AI150" s="83">
        <f t="shared" si="13"/>
        <v>1.6878467608009356E-2</v>
      </c>
      <c r="AJ150" s="83">
        <f t="shared" si="13"/>
        <v>1.8606511253588334E-2</v>
      </c>
      <c r="AK150" s="83">
        <f t="shared" si="13"/>
        <v>1.0154405807217449E-2</v>
      </c>
    </row>
    <row r="151" spans="2:37">
      <c r="B151" s="81" t="s">
        <v>87</v>
      </c>
      <c r="C151" s="81" t="s">
        <v>88</v>
      </c>
      <c r="D151" s="83">
        <f t="shared" si="13"/>
        <v>6.2791831551491483E-7</v>
      </c>
      <c r="E151" s="83">
        <f t="shared" si="13"/>
        <v>2.4509916738324673E-4</v>
      </c>
      <c r="F151" s="83">
        <f t="shared" si="13"/>
        <v>4.3898110669644282E-4</v>
      </c>
      <c r="G151" s="83">
        <f t="shared" si="13"/>
        <v>2.6086240009202288E-2</v>
      </c>
      <c r="H151" s="83">
        <f t="shared" si="13"/>
        <v>2.7836745504614981E-2</v>
      </c>
      <c r="I151" s="83">
        <f t="shared" si="13"/>
        <v>1.6705351779061413E-3</v>
      </c>
      <c r="J151" s="83">
        <f t="shared" si="13"/>
        <v>2.1325448757769632E-3</v>
      </c>
      <c r="K151" s="83">
        <f t="shared" si="13"/>
        <v>9.1706304584310717E-3</v>
      </c>
      <c r="L151" s="83">
        <f t="shared" si="13"/>
        <v>9.1646740557952532E-3</v>
      </c>
      <c r="M151" s="83">
        <f t="shared" si="13"/>
        <v>8.8574882234209004E-4</v>
      </c>
      <c r="N151" s="83">
        <f t="shared" si="13"/>
        <v>8.7844834648637463E-4</v>
      </c>
      <c r="O151" s="83">
        <f t="shared" si="13"/>
        <v>1.3319582939283852E-4</v>
      </c>
      <c r="P151" s="83">
        <f t="shared" si="13"/>
        <v>2.9240456471897472E-3</v>
      </c>
      <c r="Q151" s="83">
        <f t="shared" si="13"/>
        <v>2.8990084420135731E-3</v>
      </c>
      <c r="R151" s="83">
        <f t="shared" si="13"/>
        <v>2.8930722719385286E-3</v>
      </c>
      <c r="S151" s="83">
        <f t="shared" si="13"/>
        <v>8.7886731037707146E-3</v>
      </c>
      <c r="T151" s="83">
        <f t="shared" si="13"/>
        <v>3.5789086007760308E-4</v>
      </c>
      <c r="U151" s="83">
        <f t="shared" si="13"/>
        <v>1.2297311568146777E-5</v>
      </c>
      <c r="V151" s="83">
        <f t="shared" si="13"/>
        <v>1.3401460474481015E-4</v>
      </c>
      <c r="W151" s="83">
        <f t="shared" si="13"/>
        <v>7.0251721591609235E-5</v>
      </c>
      <c r="X151" s="83">
        <f t="shared" si="13"/>
        <v>1.3120865296376081E-4</v>
      </c>
      <c r="Y151" s="83">
        <f t="shared" si="13"/>
        <v>3.1813383678335944E-3</v>
      </c>
      <c r="Z151" s="83">
        <f t="shared" si="13"/>
        <v>1.4150965195668195E-4</v>
      </c>
      <c r="AA151" s="83">
        <f t="shared" si="13"/>
        <v>1.4614571779520007E-4</v>
      </c>
      <c r="AB151" s="83">
        <f t="shared" si="13"/>
        <v>1.4064018090297458E-4</v>
      </c>
      <c r="AC151" s="83">
        <f t="shared" si="13"/>
        <v>1.4074470107825753E-4</v>
      </c>
      <c r="AD151" s="83">
        <f t="shared" si="13"/>
        <v>1.4857467853718353E-4</v>
      </c>
      <c r="AE151" s="83">
        <f t="shared" si="13"/>
        <v>7.3466984535710339E-7</v>
      </c>
      <c r="AF151" s="83">
        <f t="shared" si="13"/>
        <v>1.6635811069222781E-4</v>
      </c>
      <c r="AG151" s="83">
        <f t="shared" si="13"/>
        <v>1.7032665285677097E-4</v>
      </c>
      <c r="AH151" s="83">
        <f t="shared" si="13"/>
        <v>1.2951761065352957E-3</v>
      </c>
      <c r="AI151" s="83">
        <f t="shared" si="13"/>
        <v>7.46664027472587E-4</v>
      </c>
      <c r="AJ151" s="83">
        <f t="shared" si="13"/>
        <v>1.6933774832320627E-3</v>
      </c>
      <c r="AK151" s="83">
        <f t="shared" si="13"/>
        <v>1.7144043798966134E-3</v>
      </c>
    </row>
    <row r="152" spans="2:37">
      <c r="B152" s="81" t="s">
        <v>89</v>
      </c>
      <c r="C152" s="81" t="s">
        <v>90</v>
      </c>
      <c r="D152" s="83">
        <f t="shared" si="13"/>
        <v>6.6412056394421319E-8</v>
      </c>
      <c r="E152" s="83">
        <f t="shared" si="13"/>
        <v>2.5923021075016399E-5</v>
      </c>
      <c r="F152" s="83">
        <f t="shared" si="13"/>
        <v>4.6429029530859826E-5</v>
      </c>
      <c r="G152" s="83">
        <f t="shared" si="13"/>
        <v>2.9555295732515779E-3</v>
      </c>
      <c r="H152" s="83">
        <f t="shared" si="13"/>
        <v>2.9441656129645622E-3</v>
      </c>
      <c r="I152" s="83">
        <f t="shared" si="13"/>
        <v>1.7668488671649917E-4</v>
      </c>
      <c r="J152" s="83">
        <f t="shared" si="13"/>
        <v>2.2554954530605716E-4</v>
      </c>
      <c r="K152" s="83">
        <f t="shared" si="13"/>
        <v>9.699357577717568E-4</v>
      </c>
      <c r="L152" s="83">
        <f t="shared" si="13"/>
        <v>9.6930577623118995E-4</v>
      </c>
      <c r="M152" s="83">
        <f t="shared" si="13"/>
        <v>9.3681613176767296E-5</v>
      </c>
      <c r="N152" s="83">
        <f t="shared" si="13"/>
        <v>9.2909475141840031E-5</v>
      </c>
      <c r="O152" s="83">
        <f t="shared" si="13"/>
        <v>1.4087515389458156E-5</v>
      </c>
      <c r="P152" s="83">
        <f t="shared" si="13"/>
        <v>3.092629719867054E-4</v>
      </c>
      <c r="Q152" s="83">
        <f t="shared" si="13"/>
        <v>3.0661490098601369E-4</v>
      </c>
      <c r="R152" s="83">
        <f t="shared" si="13"/>
        <v>3.0598705935112186E-4</v>
      </c>
      <c r="S152" s="83">
        <f t="shared" si="13"/>
        <v>9.2953787041730608E-4</v>
      </c>
      <c r="T152" s="83">
        <f t="shared" si="13"/>
        <v>3.785248398596398E-5</v>
      </c>
      <c r="U152" s="83">
        <f t="shared" si="13"/>
        <v>1.3006305584410551E-6</v>
      </c>
      <c r="V152" s="83">
        <f t="shared" si="13"/>
        <v>1.4174113524129244E-5</v>
      </c>
      <c r="W152" s="83">
        <f t="shared" si="13"/>
        <v>7.4302041855893993E-6</v>
      </c>
      <c r="X152" s="83">
        <f t="shared" si="13"/>
        <v>1.3877340801756578E-5</v>
      </c>
      <c r="Y152" s="83">
        <f t="shared" si="13"/>
        <v>3.3647564957719719E-4</v>
      </c>
      <c r="Z152" s="83">
        <f t="shared" si="13"/>
        <v>1.4966830483986551E-5</v>
      </c>
      <c r="AA152" s="83">
        <f t="shared" si="13"/>
        <v>1.545716602335267E-5</v>
      </c>
      <c r="AB152" s="83">
        <f t="shared" si="13"/>
        <v>1.487487049615787E-5</v>
      </c>
      <c r="AC152" s="83">
        <f t="shared" si="13"/>
        <v>1.4885925118397414E-5</v>
      </c>
      <c r="AD152" s="83">
        <f t="shared" si="13"/>
        <v>1.5714066122920916E-5</v>
      </c>
      <c r="AE152" s="83">
        <f t="shared" si="13"/>
        <v>7.7702678828737156E-8</v>
      </c>
      <c r="AF152" s="83">
        <f t="shared" si="13"/>
        <v>1.7594938634497003E-5</v>
      </c>
      <c r="AG152" s="83">
        <f t="shared" si="13"/>
        <v>1.8014673239338275E-5</v>
      </c>
      <c r="AH152" s="83">
        <f t="shared" si="13"/>
        <v>1.3698486969183907E-4</v>
      </c>
      <c r="AI152" s="83">
        <f t="shared" si="13"/>
        <v>7.8971248767495712E-5</v>
      </c>
      <c r="AJ152" s="83">
        <f t="shared" si="13"/>
        <v>1.7910081317062599E-4</v>
      </c>
      <c r="AK152" s="83">
        <f t="shared" si="13"/>
        <v>1.8132473213043762E-4</v>
      </c>
    </row>
    <row r="153" spans="2:37">
      <c r="B153" s="81" t="s">
        <v>91</v>
      </c>
      <c r="C153" s="81" t="s">
        <v>92</v>
      </c>
      <c r="D153" s="83">
        <f t="shared" si="13"/>
        <v>1.2610222094741228E-7</v>
      </c>
      <c r="E153" s="83">
        <f t="shared" si="13"/>
        <v>2.1202803245506379E-5</v>
      </c>
      <c r="F153" s="83">
        <f t="shared" si="13"/>
        <v>3.719046634676264E-5</v>
      </c>
      <c r="G153" s="83">
        <f t="shared" si="13"/>
        <v>2.3042149121861903E-6</v>
      </c>
      <c r="H153" s="83">
        <f t="shared" si="13"/>
        <v>2.2953552455491868E-6</v>
      </c>
      <c r="I153" s="83">
        <f t="shared" si="13"/>
        <v>4.2095690810641266E-3</v>
      </c>
      <c r="J153" s="83">
        <f t="shared" si="13"/>
        <v>3.8585284560588057E-3</v>
      </c>
      <c r="K153" s="83">
        <f t="shared" si="13"/>
        <v>1.5915921888060201E-4</v>
      </c>
      <c r="L153" s="83">
        <f t="shared" si="13"/>
        <v>1.5905584361156723E-4</v>
      </c>
      <c r="M153" s="83">
        <f t="shared" si="13"/>
        <v>1.7685359857150533E-4</v>
      </c>
      <c r="N153" s="83">
        <f t="shared" si="13"/>
        <v>1.7539594444450951E-4</v>
      </c>
      <c r="O153" s="83">
        <f t="shared" si="13"/>
        <v>4.2189088696822062E-5</v>
      </c>
      <c r="P153" s="83">
        <f t="shared" si="13"/>
        <v>1.9269383491470502E-4</v>
      </c>
      <c r="Q153" s="83">
        <f t="shared" si="13"/>
        <v>1.9104388971443758E-4</v>
      </c>
      <c r="R153" s="83">
        <f t="shared" si="13"/>
        <v>1.9065269767625309E-4</v>
      </c>
      <c r="S153" s="83">
        <f t="shared" si="13"/>
        <v>3.5517454381111735E-3</v>
      </c>
      <c r="T153" s="83">
        <f t="shared" si="13"/>
        <v>4.5133335716090408E-5</v>
      </c>
      <c r="U153" s="83">
        <f t="shared" si="13"/>
        <v>1.7744002054411367E-4</v>
      </c>
      <c r="V153" s="83">
        <f t="shared" si="13"/>
        <v>4.057742029997372E-5</v>
      </c>
      <c r="W153" s="83">
        <f t="shared" si="13"/>
        <v>1.2274273854251061E-4</v>
      </c>
      <c r="X153" s="83">
        <f t="shared" si="13"/>
        <v>3.6684032407058187E-5</v>
      </c>
      <c r="Y153" s="83">
        <f t="shared" si="13"/>
        <v>1.9597904933298235E-4</v>
      </c>
      <c r="Z153" s="83">
        <f t="shared" si="13"/>
        <v>1.4939068854862605E-5</v>
      </c>
      <c r="AA153" s="83">
        <f t="shared" si="13"/>
        <v>1.5428494882131038E-5</v>
      </c>
      <c r="AB153" s="83">
        <f t="shared" si="13"/>
        <v>1.4847279441497272E-5</v>
      </c>
      <c r="AC153" s="83">
        <f t="shared" si="13"/>
        <v>1.4858313558772531E-5</v>
      </c>
      <c r="AD153" s="83">
        <f t="shared" si="13"/>
        <v>2.0354037788080992E-5</v>
      </c>
      <c r="AE153" s="83">
        <f t="shared" si="13"/>
        <v>2.95081372444557E-8</v>
      </c>
      <c r="AF153" s="83">
        <f t="shared" si="13"/>
        <v>2.4015749767594045E-5</v>
      </c>
      <c r="AG153" s="83">
        <f t="shared" si="13"/>
        <v>2.4588655501911617E-5</v>
      </c>
      <c r="AH153" s="83">
        <f t="shared" si="13"/>
        <v>3.9637488267253493E-5</v>
      </c>
      <c r="AI153" s="83">
        <f t="shared" si="13"/>
        <v>4.469933987888836E-5</v>
      </c>
      <c r="AJ153" s="83">
        <f t="shared" si="13"/>
        <v>8.3222758223801887E-6</v>
      </c>
      <c r="AK153" s="83">
        <f t="shared" si="13"/>
        <v>1.9251091861186684E-4</v>
      </c>
    </row>
    <row r="154" spans="2:37">
      <c r="B154" s="81" t="s">
        <v>93</v>
      </c>
      <c r="C154" s="81" t="s">
        <v>94</v>
      </c>
      <c r="D154" s="83">
        <f t="shared" si="13"/>
        <v>3.6768181082055695E-6</v>
      </c>
      <c r="E154" s="83">
        <f t="shared" si="13"/>
        <v>6.0243614749738706E-4</v>
      </c>
      <c r="F154" s="83">
        <f t="shared" si="13"/>
        <v>5.3362152522709193E-4</v>
      </c>
      <c r="G154" s="83">
        <f t="shared" si="13"/>
        <v>1.8078493523474218E-4</v>
      </c>
      <c r="H154" s="83">
        <f t="shared" si="13"/>
        <v>1.8008982027358994E-4</v>
      </c>
      <c r="I154" s="83">
        <f t="shared" si="13"/>
        <v>5.2109738406833139E-2</v>
      </c>
      <c r="J154" s="83">
        <f t="shared" si="13"/>
        <v>3.4277247591244932E-2</v>
      </c>
      <c r="K154" s="83">
        <f t="shared" si="13"/>
        <v>2.1565611276361299E-3</v>
      </c>
      <c r="L154" s="83">
        <f t="shared" si="13"/>
        <v>2.1551604228052862E-3</v>
      </c>
      <c r="M154" s="83">
        <f t="shared" si="13"/>
        <v>1.7241391802348741E-3</v>
      </c>
      <c r="N154" s="83">
        <f t="shared" si="13"/>
        <v>1.7099285641553302E-3</v>
      </c>
      <c r="O154" s="83">
        <f t="shared" si="13"/>
        <v>5.4618650803202502E-4</v>
      </c>
      <c r="P154" s="83">
        <f t="shared" si="13"/>
        <v>2.9140841496102191E-3</v>
      </c>
      <c r="Q154" s="83">
        <f t="shared" si="13"/>
        <v>2.8891322399762082E-3</v>
      </c>
      <c r="R154" s="83">
        <f t="shared" si="13"/>
        <v>2.8832162929588643E-3</v>
      </c>
      <c r="S154" s="83">
        <f t="shared" si="13"/>
        <v>3.1151829008304727E-2</v>
      </c>
      <c r="T154" s="83">
        <f t="shared" si="13"/>
        <v>7.8567559791311854E-4</v>
      </c>
      <c r="U154" s="83">
        <f t="shared" si="13"/>
        <v>1.5567391042529332E-3</v>
      </c>
      <c r="V154" s="83">
        <f t="shared" si="13"/>
        <v>5.9150590986788523E-4</v>
      </c>
      <c r="W154" s="83">
        <f t="shared" si="13"/>
        <v>1.3013222556980794E-3</v>
      </c>
      <c r="X154" s="83">
        <f t="shared" si="13"/>
        <v>7.6406111948542461E-4</v>
      </c>
      <c r="Y154" s="83">
        <f t="shared" si="13"/>
        <v>2.3791226593942861E-3</v>
      </c>
      <c r="Z154" s="83">
        <f t="shared" si="13"/>
        <v>1.5072014828556009E-4</v>
      </c>
      <c r="AA154" s="83">
        <f t="shared" si="13"/>
        <v>1.5565796362876323E-4</v>
      </c>
      <c r="AB154" s="83">
        <f t="shared" si="13"/>
        <v>1.497940856153978E-4</v>
      </c>
      <c r="AC154" s="83">
        <f t="shared" si="13"/>
        <v>1.499054087378819E-4</v>
      </c>
      <c r="AD154" s="83">
        <f t="shared" si="13"/>
        <v>2.449338917903761E-4</v>
      </c>
      <c r="AE154" s="83">
        <f t="shared" si="13"/>
        <v>5.0271803542228138E-5</v>
      </c>
      <c r="AF154" s="83">
        <f t="shared" si="13"/>
        <v>2.3898423658683893E-4</v>
      </c>
      <c r="AG154" s="83">
        <f t="shared" si="13"/>
        <v>2.4468530529704087E-4</v>
      </c>
      <c r="AH154" s="83">
        <f t="shared" si="13"/>
        <v>7.2460595601720953E-4</v>
      </c>
      <c r="AI154" s="83">
        <f t="shared" si="13"/>
        <v>1.331162352615365E-3</v>
      </c>
      <c r="AJ154" s="83">
        <f t="shared" si="13"/>
        <v>3.8953328462631786E-4</v>
      </c>
      <c r="AK154" s="83">
        <f t="shared" si="13"/>
        <v>2.4035686387488429E-3</v>
      </c>
    </row>
    <row r="155" spans="2:37">
      <c r="B155" s="81" t="s">
        <v>95</v>
      </c>
      <c r="C155" s="81" t="s">
        <v>96</v>
      </c>
      <c r="D155" s="83">
        <f t="shared" si="13"/>
        <v>7.2451740822838874E-4</v>
      </c>
      <c r="E155" s="83">
        <f t="shared" si="13"/>
        <v>6.5519290524074904E-3</v>
      </c>
      <c r="F155" s="83">
        <f t="shared" si="13"/>
        <v>2.9701281151708452E-4</v>
      </c>
      <c r="G155" s="83">
        <f t="shared" si="13"/>
        <v>1.0998911285530113E-3</v>
      </c>
      <c r="H155" s="83">
        <f t="shared" si="13"/>
        <v>1.095662066114242E-3</v>
      </c>
      <c r="I155" s="83">
        <f t="shared" si="13"/>
        <v>2.7626226170055957E-3</v>
      </c>
      <c r="J155" s="83">
        <f t="shared" si="13"/>
        <v>4.2625696753636434E-3</v>
      </c>
      <c r="K155" s="83">
        <f t="shared" si="13"/>
        <v>5.309927983587634E-3</v>
      </c>
      <c r="L155" s="83">
        <f t="shared" si="13"/>
        <v>5.3064791401104955E-3</v>
      </c>
      <c r="M155" s="83">
        <f t="shared" si="13"/>
        <v>5.9063492835263124E-4</v>
      </c>
      <c r="N155" s="83">
        <f t="shared" si="13"/>
        <v>5.8576682587796155E-4</v>
      </c>
      <c r="O155" s="83">
        <f t="shared" si="13"/>
        <v>8.9998271611380412E-4</v>
      </c>
      <c r="P155" s="83">
        <f t="shared" si="13"/>
        <v>3.5660192453606091E-3</v>
      </c>
      <c r="Q155" s="83">
        <f t="shared" si="13"/>
        <v>3.5354851271281965E-3</v>
      </c>
      <c r="R155" s="83">
        <f t="shared" si="13"/>
        <v>3.5282456721793154E-3</v>
      </c>
      <c r="S155" s="83">
        <f t="shared" si="13"/>
        <v>7.0200447842595738E-4</v>
      </c>
      <c r="T155" s="83">
        <f t="shared" si="13"/>
        <v>4.5750155692653605E-3</v>
      </c>
      <c r="U155" s="83">
        <f t="shared" ref="U155:AK155" si="14">U15/U$84</f>
        <v>4.3913241130918938E-3</v>
      </c>
      <c r="V155" s="83">
        <f t="shared" si="14"/>
        <v>4.0909449090555262E-3</v>
      </c>
      <c r="W155" s="83">
        <f t="shared" si="14"/>
        <v>2.5447233210421356E-3</v>
      </c>
      <c r="X155" s="83">
        <f t="shared" si="14"/>
        <v>3.9089617139893736E-3</v>
      </c>
      <c r="Y155" s="83">
        <f t="shared" si="14"/>
        <v>5.2180279233244964E-5</v>
      </c>
      <c r="Z155" s="83">
        <f t="shared" si="14"/>
        <v>1.0307856161206023E-2</v>
      </c>
      <c r="AA155" s="83">
        <f t="shared" si="14"/>
        <v>8.9066356372389712E-3</v>
      </c>
      <c r="AB155" s="83">
        <f t="shared" si="14"/>
        <v>8.5711087957673019E-3</v>
      </c>
      <c r="AC155" s="83">
        <f t="shared" si="14"/>
        <v>1.0066062562451137E-2</v>
      </c>
      <c r="AD155" s="83">
        <f t="shared" si="14"/>
        <v>4.2729459602718987E-3</v>
      </c>
      <c r="AE155" s="83">
        <f t="shared" si="14"/>
        <v>2.951534420100421E-5</v>
      </c>
      <c r="AF155" s="83">
        <f t="shared" si="14"/>
        <v>1.3774491425491071E-3</v>
      </c>
      <c r="AG155" s="83">
        <f t="shared" si="14"/>
        <v>1.410308766759634E-3</v>
      </c>
      <c r="AH155" s="83">
        <f t="shared" si="14"/>
        <v>1.1757386734940003E-3</v>
      </c>
      <c r="AI155" s="83">
        <f t="shared" si="14"/>
        <v>5.4392040240486152E-5</v>
      </c>
      <c r="AJ155" s="83">
        <f t="shared" si="14"/>
        <v>1.2205682391175914E-3</v>
      </c>
      <c r="AK155" s="83">
        <f t="shared" si="14"/>
        <v>8.6328472922942063E-4</v>
      </c>
    </row>
    <row r="156" spans="2:37">
      <c r="B156" s="81" t="s">
        <v>97</v>
      </c>
      <c r="C156" s="81" t="s">
        <v>98</v>
      </c>
      <c r="D156" s="83">
        <f t="shared" ref="D156:AK163" si="15">D16/D$84</f>
        <v>3.3139256841776242E-4</v>
      </c>
      <c r="E156" s="83">
        <f t="shared" si="15"/>
        <v>3.3320249710198924E-3</v>
      </c>
      <c r="F156" s="83">
        <f t="shared" si="15"/>
        <v>1.3585296549644801E-4</v>
      </c>
      <c r="G156" s="83">
        <f t="shared" si="15"/>
        <v>5.0308763037504962E-4</v>
      </c>
      <c r="H156" s="83">
        <f t="shared" si="15"/>
        <v>5.011532671041803E-4</v>
      </c>
      <c r="I156" s="83">
        <f t="shared" si="15"/>
        <v>1.2636171253043113E-3</v>
      </c>
      <c r="J156" s="83">
        <f t="shared" si="15"/>
        <v>1.9496894025397018E-3</v>
      </c>
      <c r="K156" s="83">
        <f t="shared" si="15"/>
        <v>2.4287486437313526E-3</v>
      </c>
      <c r="L156" s="83">
        <f t="shared" si="15"/>
        <v>2.4271711507891885E-3</v>
      </c>
      <c r="M156" s="83">
        <f t="shared" si="15"/>
        <v>2.7015503517386681E-4</v>
      </c>
      <c r="N156" s="83">
        <f t="shared" si="15"/>
        <v>2.6792837648481117E-4</v>
      </c>
      <c r="O156" s="83">
        <f t="shared" si="15"/>
        <v>4.1164998996204982E-4</v>
      </c>
      <c r="P156" s="83">
        <f t="shared" si="15"/>
        <v>1.6310888645683201E-3</v>
      </c>
      <c r="Q156" s="83">
        <f t="shared" si="15"/>
        <v>1.6171226302853334E-3</v>
      </c>
      <c r="R156" s="83">
        <f t="shared" si="15"/>
        <v>1.6138113205194046E-3</v>
      </c>
      <c r="S156" s="83">
        <f t="shared" si="15"/>
        <v>3.2109520696708364E-4</v>
      </c>
      <c r="T156" s="83">
        <f t="shared" si="15"/>
        <v>2.3463895580627288E-3</v>
      </c>
      <c r="U156" s="83">
        <f t="shared" si="15"/>
        <v>2.0085813812960084E-3</v>
      </c>
      <c r="V156" s="83">
        <f t="shared" si="15"/>
        <v>2.2847867613708015E-3</v>
      </c>
      <c r="W156" s="83">
        <f t="shared" si="15"/>
        <v>1.3263291112233669E-3</v>
      </c>
      <c r="X156" s="83">
        <f t="shared" si="15"/>
        <v>2.0120415364936802E-3</v>
      </c>
      <c r="Y156" s="83">
        <f t="shared" si="15"/>
        <v>2.3867137710526918E-5</v>
      </c>
      <c r="Z156" s="83">
        <f t="shared" si="15"/>
        <v>4.4163413614908709E-3</v>
      </c>
      <c r="AA156" s="83">
        <f t="shared" si="15"/>
        <v>5.1343789460478939E-3</v>
      </c>
      <c r="AB156" s="83">
        <f t="shared" si="15"/>
        <v>4.9409588915120036E-3</v>
      </c>
      <c r="AC156" s="83">
        <f t="shared" si="15"/>
        <v>4.2084139580463309E-3</v>
      </c>
      <c r="AD156" s="83">
        <f t="shared" si="15"/>
        <v>1.9544354909943346E-3</v>
      </c>
      <c r="AE156" s="83">
        <f t="shared" si="15"/>
        <v>1.3500249423160537E-5</v>
      </c>
      <c r="AF156" s="83">
        <f t="shared" si="15"/>
        <v>6.3004201697565963E-4</v>
      </c>
      <c r="AG156" s="83">
        <f t="shared" si="15"/>
        <v>6.4507193225539603E-4</v>
      </c>
      <c r="AH156" s="83">
        <f t="shared" si="15"/>
        <v>5.3778012008021418E-4</v>
      </c>
      <c r="AI156" s="83">
        <f t="shared" si="15"/>
        <v>2.4878792023579383E-5</v>
      </c>
      <c r="AJ156" s="83">
        <f t="shared" si="15"/>
        <v>5.5828505857352325E-4</v>
      </c>
      <c r="AK156" s="83">
        <f t="shared" si="15"/>
        <v>3.9486441657035658E-4</v>
      </c>
    </row>
    <row r="157" spans="2:37">
      <c r="B157" s="81" t="s">
        <v>99</v>
      </c>
      <c r="C157" s="81" t="s">
        <v>100</v>
      </c>
      <c r="D157" s="83">
        <f t="shared" si="15"/>
        <v>3.3066617842572044E-5</v>
      </c>
      <c r="E157" s="83">
        <f t="shared" si="15"/>
        <v>9.0883846283741575E-5</v>
      </c>
      <c r="F157" s="83">
        <f t="shared" si="15"/>
        <v>1.2277182809761671E-3</v>
      </c>
      <c r="G157" s="83">
        <f t="shared" si="15"/>
        <v>2.8106422930167566E-4</v>
      </c>
      <c r="H157" s="83">
        <f t="shared" si="15"/>
        <v>2.7998354218259242E-4</v>
      </c>
      <c r="I157" s="83">
        <f t="shared" si="15"/>
        <v>4.1123300228097428E-5</v>
      </c>
      <c r="J157" s="83">
        <f t="shared" si="15"/>
        <v>8.7902477943325189E-5</v>
      </c>
      <c r="K157" s="83">
        <f t="shared" si="15"/>
        <v>1.9046315406952646E-4</v>
      </c>
      <c r="L157" s="83">
        <f t="shared" si="15"/>
        <v>1.9033944662781051E-4</v>
      </c>
      <c r="M157" s="83">
        <f t="shared" si="15"/>
        <v>2.75676336793024E-2</v>
      </c>
      <c r="N157" s="83">
        <f t="shared" si="15"/>
        <v>2.734041707003489E-2</v>
      </c>
      <c r="O157" s="83">
        <f t="shared" si="15"/>
        <v>2.5061718177377553E-5</v>
      </c>
      <c r="P157" s="83">
        <f t="shared" si="15"/>
        <v>1.9633693804380972E-3</v>
      </c>
      <c r="Q157" s="83">
        <f t="shared" si="15"/>
        <v>1.9465579869285959E-3</v>
      </c>
      <c r="R157" s="83">
        <f t="shared" si="15"/>
        <v>1.9425721071002168E-3</v>
      </c>
      <c r="S157" s="83">
        <f t="shared" si="15"/>
        <v>3.7062002869530823E-4</v>
      </c>
      <c r="T157" s="83">
        <f t="shared" si="15"/>
        <v>2.1768670934428531E-3</v>
      </c>
      <c r="U157" s="83">
        <f t="shared" si="15"/>
        <v>1.4308349281142831E-2</v>
      </c>
      <c r="V157" s="83">
        <f t="shared" si="15"/>
        <v>5.4016860730258473E-6</v>
      </c>
      <c r="W157" s="83">
        <f t="shared" si="15"/>
        <v>3.1202160261516614E-3</v>
      </c>
      <c r="X157" s="83">
        <f t="shared" si="15"/>
        <v>2.6416568049158059E-3</v>
      </c>
      <c r="Y157" s="83">
        <f t="shared" si="15"/>
        <v>1.3850139106023011E-3</v>
      </c>
      <c r="Z157" s="83">
        <f t="shared" si="15"/>
        <v>2.2733251095690171E-3</v>
      </c>
      <c r="AA157" s="83">
        <f t="shared" si="15"/>
        <v>2.34780260799115E-3</v>
      </c>
      <c r="AB157" s="83">
        <f t="shared" si="15"/>
        <v>2.2593572257455148E-3</v>
      </c>
      <c r="AC157" s="83">
        <f t="shared" si="15"/>
        <v>2.261036322087301E-3</v>
      </c>
      <c r="AD157" s="83">
        <f t="shared" si="15"/>
        <v>1.3474824482287734E-3</v>
      </c>
      <c r="AE157" s="83">
        <f t="shared" si="15"/>
        <v>7.6991498700353983E-7</v>
      </c>
      <c r="AF157" s="83">
        <f t="shared" si="15"/>
        <v>2.4031619825277419E-3</v>
      </c>
      <c r="AG157" s="83">
        <f t="shared" si="15"/>
        <v>2.4604904146444846E-3</v>
      </c>
      <c r="AH157" s="83">
        <f t="shared" si="15"/>
        <v>6.8271123258766906E-5</v>
      </c>
      <c r="AI157" s="83">
        <f t="shared" si="15"/>
        <v>9.3642760192711632E-5</v>
      </c>
      <c r="AJ157" s="83">
        <f t="shared" si="15"/>
        <v>2.3265174142157449E-5</v>
      </c>
      <c r="AK157" s="83">
        <f t="shared" si="15"/>
        <v>4.3644792394199357E-4</v>
      </c>
    </row>
    <row r="158" spans="2:37">
      <c r="B158" s="81" t="s">
        <v>101</v>
      </c>
      <c r="C158" s="81" t="s">
        <v>102</v>
      </c>
      <c r="D158" s="83">
        <f t="shared" si="15"/>
        <v>1.2595683844796515E-4</v>
      </c>
      <c r="E158" s="83">
        <f t="shared" si="15"/>
        <v>3.4619331188909562E-4</v>
      </c>
      <c r="F158" s="83">
        <f t="shared" si="15"/>
        <v>4.6766050859134945E-3</v>
      </c>
      <c r="G158" s="83">
        <f t="shared" si="15"/>
        <v>1.070625423265231E-3</v>
      </c>
      <c r="H158" s="83">
        <f t="shared" si="15"/>
        <v>1.0665088869590614E-3</v>
      </c>
      <c r="I158" s="83">
        <f t="shared" si="15"/>
        <v>1.5664622574761616E-4</v>
      </c>
      <c r="J158" s="83">
        <f t="shared" si="15"/>
        <v>3.3483673069304972E-4</v>
      </c>
      <c r="K158" s="83">
        <f t="shared" si="15"/>
        <v>7.2550923839991455E-4</v>
      </c>
      <c r="L158" s="83">
        <f t="shared" si="15"/>
        <v>7.2503801396670692E-4</v>
      </c>
      <c r="M158" s="83">
        <f t="shared" si="15"/>
        <v>8.7473153242265997E-2</v>
      </c>
      <c r="N158" s="83">
        <f t="shared" si="15"/>
        <v>9.5448435587912092E-2</v>
      </c>
      <c r="O158" s="83">
        <f t="shared" si="15"/>
        <v>9.5464701068769518E-5</v>
      </c>
      <c r="P158" s="83">
        <f t="shared" si="15"/>
        <v>7.4788356354708561E-3</v>
      </c>
      <c r="Q158" s="83">
        <f t="shared" si="15"/>
        <v>7.4147979408254443E-3</v>
      </c>
      <c r="R158" s="83">
        <f t="shared" si="15"/>
        <v>7.3996149903341538E-3</v>
      </c>
      <c r="S158" s="83">
        <f t="shared" si="15"/>
        <v>1.4117599599150455E-3</v>
      </c>
      <c r="T158" s="83">
        <f t="shared" si="15"/>
        <v>8.2920877519703055E-3</v>
      </c>
      <c r="U158" s="83">
        <f t="shared" si="15"/>
        <v>4.8987234678240739E-2</v>
      </c>
      <c r="V158" s="83">
        <f t="shared" si="15"/>
        <v>2.0576017277787065E-5</v>
      </c>
      <c r="W158" s="83">
        <f t="shared" si="15"/>
        <v>1.1885477607653955E-2</v>
      </c>
      <c r="X158" s="83">
        <f t="shared" si="15"/>
        <v>1.0062557380252107E-2</v>
      </c>
      <c r="Y158" s="83">
        <f t="shared" si="15"/>
        <v>5.275773114035257E-3</v>
      </c>
      <c r="Z158" s="83">
        <f t="shared" si="15"/>
        <v>8.6595141035875293E-3</v>
      </c>
      <c r="AA158" s="83">
        <f t="shared" si="15"/>
        <v>8.9432126143159096E-3</v>
      </c>
      <c r="AB158" s="83">
        <f t="shared" si="15"/>
        <v>8.6063078611288892E-3</v>
      </c>
      <c r="AC158" s="83">
        <f t="shared" si="15"/>
        <v>8.6127038483952024E-3</v>
      </c>
      <c r="AD158" s="83">
        <f t="shared" si="15"/>
        <v>5.1328088603155193E-3</v>
      </c>
      <c r="AE158" s="83">
        <f t="shared" si="15"/>
        <v>2.9327480088338425E-6</v>
      </c>
      <c r="AF158" s="83">
        <f t="shared" si="15"/>
        <v>9.1540866694819131E-3</v>
      </c>
      <c r="AG158" s="83">
        <f t="shared" si="15"/>
        <v>9.3724612276837784E-3</v>
      </c>
      <c r="AH158" s="83">
        <f t="shared" si="15"/>
        <v>2.6005728447662803E-4</v>
      </c>
      <c r="AI158" s="83">
        <f t="shared" si="15"/>
        <v>3.5670252317820738E-4</v>
      </c>
      <c r="AJ158" s="83">
        <f t="shared" si="15"/>
        <v>8.8621333903545862E-5</v>
      </c>
      <c r="AK158" s="83">
        <f t="shared" si="15"/>
        <v>1.6625105388351964E-3</v>
      </c>
    </row>
    <row r="159" spans="2:37">
      <c r="B159" s="81" t="s">
        <v>103</v>
      </c>
      <c r="C159" s="81" t="s">
        <v>104</v>
      </c>
      <c r="D159" s="83">
        <f t="shared" si="15"/>
        <v>1.7651493384663566E-3</v>
      </c>
      <c r="E159" s="83">
        <f t="shared" si="15"/>
        <v>5.9644217519341904E-3</v>
      </c>
      <c r="F159" s="83">
        <f t="shared" si="15"/>
        <v>1.5928662923163932E-3</v>
      </c>
      <c r="G159" s="83">
        <f t="shared" si="15"/>
        <v>5.7585691176249313E-3</v>
      </c>
      <c r="H159" s="83">
        <f t="shared" si="15"/>
        <v>5.736427518584641E-3</v>
      </c>
      <c r="I159" s="83">
        <f t="shared" si="15"/>
        <v>2.5749602693572247E-3</v>
      </c>
      <c r="J159" s="83">
        <f t="shared" si="15"/>
        <v>5.4506157472972022E-3</v>
      </c>
      <c r="K159" s="83">
        <f t="shared" si="15"/>
        <v>3.6688153923469325E-3</v>
      </c>
      <c r="L159" s="83">
        <f t="shared" si="15"/>
        <v>3.6664324654835582E-3</v>
      </c>
      <c r="M159" s="83">
        <f t="shared" si="15"/>
        <v>1.5209113371183776E-2</v>
      </c>
      <c r="N159" s="83">
        <f t="shared" si="15"/>
        <v>1.5083757556812417E-2</v>
      </c>
      <c r="O159" s="83">
        <f t="shared" si="15"/>
        <v>0.39381249707969052</v>
      </c>
      <c r="P159" s="83">
        <f t="shared" si="15"/>
        <v>4.0922880262720417E-2</v>
      </c>
      <c r="Q159" s="83">
        <f t="shared" si="15"/>
        <v>4.0572477200263947E-2</v>
      </c>
      <c r="R159" s="83">
        <f t="shared" si="15"/>
        <v>4.0489398751254832E-2</v>
      </c>
      <c r="S159" s="83">
        <f t="shared" si="15"/>
        <v>1.9207202825320843E-2</v>
      </c>
      <c r="T159" s="83">
        <f t="shared" si="15"/>
        <v>9.8153264548348357E-3</v>
      </c>
      <c r="U159" s="83">
        <f t="shared" si="15"/>
        <v>2.0158636759386894E-2</v>
      </c>
      <c r="V159" s="83">
        <f t="shared" si="15"/>
        <v>1.5594819123644142E-3</v>
      </c>
      <c r="W159" s="83">
        <f t="shared" si="15"/>
        <v>1.2403327928575127E-3</v>
      </c>
      <c r="X159" s="83">
        <f t="shared" si="15"/>
        <v>6.4147743342834085E-4</v>
      </c>
      <c r="Y159" s="83">
        <f t="shared" si="15"/>
        <v>5.385248164374081E-4</v>
      </c>
      <c r="Z159" s="83">
        <f t="shared" si="15"/>
        <v>5.8817536185410476E-4</v>
      </c>
      <c r="AA159" s="83">
        <f t="shared" si="15"/>
        <v>6.0744485806475733E-4</v>
      </c>
      <c r="AB159" s="83">
        <f t="shared" si="15"/>
        <v>5.8456146382973259E-4</v>
      </c>
      <c r="AC159" s="83">
        <f t="shared" si="15"/>
        <v>5.8499589491671652E-4</v>
      </c>
      <c r="AD159" s="83">
        <f t="shared" si="15"/>
        <v>1.3276877500772147E-3</v>
      </c>
      <c r="AE159" s="83">
        <f t="shared" si="15"/>
        <v>6.0406585384277319E-6</v>
      </c>
      <c r="AF159" s="83">
        <f t="shared" si="15"/>
        <v>6.9705602825037485E-4</v>
      </c>
      <c r="AG159" s="83">
        <f t="shared" si="15"/>
        <v>7.136845907391564E-4</v>
      </c>
      <c r="AH159" s="83">
        <f t="shared" si="15"/>
        <v>3.5476405288567562E-5</v>
      </c>
      <c r="AI159" s="83">
        <f t="shared" si="15"/>
        <v>2.4072786503971053E-4</v>
      </c>
      <c r="AJ159" s="83">
        <f t="shared" si="15"/>
        <v>1.5254494936774355E-4</v>
      </c>
      <c r="AK159" s="83">
        <f t="shared" si="15"/>
        <v>2.5693722677638696E-3</v>
      </c>
    </row>
    <row r="160" spans="2:37">
      <c r="B160" s="81" t="s">
        <v>105</v>
      </c>
      <c r="C160" s="81" t="s">
        <v>106</v>
      </c>
      <c r="D160" s="83">
        <f t="shared" si="15"/>
        <v>9.3828245078339382E-4</v>
      </c>
      <c r="E160" s="83">
        <f t="shared" si="15"/>
        <v>8.3392160893761816E-4</v>
      </c>
      <c r="F160" s="83">
        <f t="shared" si="15"/>
        <v>2.2240688783044962E-4</v>
      </c>
      <c r="G160" s="83">
        <f t="shared" si="15"/>
        <v>1.4438155784827721E-4</v>
      </c>
      <c r="H160" s="83">
        <f t="shared" si="15"/>
        <v>1.4382641324596696E-4</v>
      </c>
      <c r="I160" s="83">
        <f t="shared" si="15"/>
        <v>3.0213265979519644E-4</v>
      </c>
      <c r="J160" s="83">
        <f t="shared" si="15"/>
        <v>7.0632363082803469E-4</v>
      </c>
      <c r="K160" s="83">
        <f t="shared" si="15"/>
        <v>3.9861804398609374E-4</v>
      </c>
      <c r="L160" s="83">
        <f t="shared" si="15"/>
        <v>3.983591381694572E-4</v>
      </c>
      <c r="M160" s="83">
        <f t="shared" si="15"/>
        <v>9.6834299202865526E-4</v>
      </c>
      <c r="N160" s="83">
        <f t="shared" si="15"/>
        <v>9.6036176252538579E-4</v>
      </c>
      <c r="O160" s="83">
        <f t="shared" si="15"/>
        <v>3.4684451149210276E-4</v>
      </c>
      <c r="P160" s="83">
        <f t="shared" si="15"/>
        <v>5.0146134221420117E-3</v>
      </c>
      <c r="Q160" s="83">
        <f t="shared" si="15"/>
        <v>4.9716756844052443E-3</v>
      </c>
      <c r="R160" s="83">
        <f t="shared" si="15"/>
        <v>4.9614954062132928E-3</v>
      </c>
      <c r="S160" s="83">
        <f t="shared" si="15"/>
        <v>7.1818937677213383E-4</v>
      </c>
      <c r="T160" s="83">
        <f t="shared" si="15"/>
        <v>3.1485056197546862E-3</v>
      </c>
      <c r="U160" s="83">
        <f t="shared" si="15"/>
        <v>1.7931686836041433E-3</v>
      </c>
      <c r="V160" s="83">
        <f t="shared" si="15"/>
        <v>3.0472675322635971E-4</v>
      </c>
      <c r="W160" s="83">
        <f t="shared" si="15"/>
        <v>8.5044756414865601E-4</v>
      </c>
      <c r="X160" s="83">
        <f t="shared" si="15"/>
        <v>8.6372449874448859E-4</v>
      </c>
      <c r="Y160" s="83">
        <f t="shared" si="15"/>
        <v>1.0827652421344729E-3</v>
      </c>
      <c r="Z160" s="83">
        <f t="shared" si="15"/>
        <v>2.4463552395241417E-3</v>
      </c>
      <c r="AA160" s="83">
        <f t="shared" si="15"/>
        <v>2.8355399887078671E-3</v>
      </c>
      <c r="AB160" s="83">
        <f t="shared" si="15"/>
        <v>2.7287207794095998E-3</v>
      </c>
      <c r="AC160" s="83">
        <f t="shared" si="15"/>
        <v>2.3339252519832643E-3</v>
      </c>
      <c r="AD160" s="83">
        <f t="shared" si="15"/>
        <v>4.3279398282794852E-3</v>
      </c>
      <c r="AE160" s="83">
        <f t="shared" si="15"/>
        <v>1.7617571542250404E-5</v>
      </c>
      <c r="AF160" s="83">
        <f t="shared" si="15"/>
        <v>7.113955038512245E-4</v>
      </c>
      <c r="AG160" s="83">
        <f t="shared" si="15"/>
        <v>7.2836614051541629E-4</v>
      </c>
      <c r="AH160" s="83">
        <f t="shared" si="15"/>
        <v>5.4748675505349252E-4</v>
      </c>
      <c r="AI160" s="83">
        <f t="shared" si="15"/>
        <v>3.193596463482866E-4</v>
      </c>
      <c r="AJ160" s="83">
        <f t="shared" si="15"/>
        <v>3.2606630366979132E-4</v>
      </c>
      <c r="AK160" s="83">
        <f t="shared" si="15"/>
        <v>1.7762227449299322E-3</v>
      </c>
    </row>
    <row r="161" spans="2:37">
      <c r="B161" s="81" t="s">
        <v>107</v>
      </c>
      <c r="C161" s="81" t="s">
        <v>108</v>
      </c>
      <c r="D161" s="83">
        <f t="shared" si="15"/>
        <v>2.1203073531794161E-4</v>
      </c>
      <c r="E161" s="83">
        <f t="shared" si="15"/>
        <v>1.8844753175649499E-4</v>
      </c>
      <c r="F161" s="83">
        <f t="shared" si="15"/>
        <v>5.0258955527829582E-5</v>
      </c>
      <c r="G161" s="83">
        <f t="shared" si="15"/>
        <v>3.2626985457695029E-5</v>
      </c>
      <c r="H161" s="83">
        <f t="shared" si="15"/>
        <v>3.2501535260755193E-5</v>
      </c>
      <c r="I161" s="83">
        <f t="shared" si="15"/>
        <v>6.8275187249271501E-5</v>
      </c>
      <c r="J161" s="83">
        <f t="shared" si="15"/>
        <v>1.596132579180889E-4</v>
      </c>
      <c r="K161" s="83">
        <f t="shared" si="15"/>
        <v>9.0078714471111018E-5</v>
      </c>
      <c r="L161" s="83">
        <f t="shared" si="15"/>
        <v>9.0020207578401715E-5</v>
      </c>
      <c r="M161" s="83">
        <f t="shared" si="15"/>
        <v>2.188237416871507E-4</v>
      </c>
      <c r="N161" s="83">
        <f t="shared" si="15"/>
        <v>2.1702016328823171E-4</v>
      </c>
      <c r="O161" s="83">
        <f t="shared" si="15"/>
        <v>7.8379060325876946E-5</v>
      </c>
      <c r="P161" s="83">
        <f t="shared" si="15"/>
        <v>1.1331898729900218E-3</v>
      </c>
      <c r="Q161" s="83">
        <f t="shared" si="15"/>
        <v>1.1234869097750421E-3</v>
      </c>
      <c r="R161" s="83">
        <f t="shared" si="15"/>
        <v>1.1211863958210794E-3</v>
      </c>
      <c r="S161" s="83">
        <f t="shared" si="15"/>
        <v>1.6229464968399573E-4</v>
      </c>
      <c r="T161" s="83">
        <f t="shared" si="15"/>
        <v>7.7834072888156522E-4</v>
      </c>
      <c r="U161" s="83">
        <f t="shared" si="15"/>
        <v>4.0521580065390066E-4</v>
      </c>
      <c r="V161" s="83">
        <f t="shared" si="15"/>
        <v>6.8861394032989753E-5</v>
      </c>
      <c r="W161" s="83">
        <f t="shared" si="15"/>
        <v>1.9218202602557267E-4</v>
      </c>
      <c r="X161" s="83">
        <f t="shared" si="15"/>
        <v>1.9518231469427136E-4</v>
      </c>
      <c r="Y161" s="83">
        <f t="shared" si="15"/>
        <v>2.446805972708987E-4</v>
      </c>
      <c r="Z161" s="83">
        <f t="shared" si="15"/>
        <v>6.2044168762449435E-4</v>
      </c>
      <c r="AA161" s="83">
        <f t="shared" si="15"/>
        <v>6.4076827646854955E-4</v>
      </c>
      <c r="AB161" s="83">
        <f t="shared" si="15"/>
        <v>6.1662953714257396E-4</v>
      </c>
      <c r="AC161" s="83">
        <f t="shared" si="15"/>
        <v>6.1708780039916177E-4</v>
      </c>
      <c r="AD161" s="83">
        <f t="shared" si="15"/>
        <v>1.0425265793097395E-3</v>
      </c>
      <c r="AE161" s="83">
        <f t="shared" si="15"/>
        <v>3.9811750134525053E-6</v>
      </c>
      <c r="AF161" s="83">
        <f t="shared" si="15"/>
        <v>1.6075938717335665E-4</v>
      </c>
      <c r="AG161" s="83">
        <f t="shared" si="15"/>
        <v>1.6459436945158055E-4</v>
      </c>
      <c r="AH161" s="83">
        <f t="shared" si="15"/>
        <v>1.2371969565657531E-4</v>
      </c>
      <c r="AI161" s="83">
        <f t="shared" si="15"/>
        <v>7.2168098838009328E-5</v>
      </c>
      <c r="AJ161" s="83">
        <f t="shared" si="15"/>
        <v>7.3683652584344031E-5</v>
      </c>
      <c r="AK161" s="83">
        <f t="shared" si="15"/>
        <v>4.0138639956604116E-4</v>
      </c>
    </row>
    <row r="162" spans="2:37">
      <c r="B162" s="81" t="s">
        <v>109</v>
      </c>
      <c r="C162" s="81" t="s">
        <v>110</v>
      </c>
      <c r="D162" s="83">
        <f t="shared" si="15"/>
        <v>5.4381406203226083E-4</v>
      </c>
      <c r="E162" s="83">
        <f t="shared" si="15"/>
        <v>4.8332812490973641E-4</v>
      </c>
      <c r="F162" s="83">
        <f t="shared" si="15"/>
        <v>1.2890360785715291E-4</v>
      </c>
      <c r="G162" s="83">
        <f t="shared" si="15"/>
        <v>8.3681327931117835E-5</v>
      </c>
      <c r="H162" s="83">
        <f t="shared" si="15"/>
        <v>8.3359574667006024E-5</v>
      </c>
      <c r="I162" s="83">
        <f t="shared" si="15"/>
        <v>1.7511143777511413E-4</v>
      </c>
      <c r="J162" s="83">
        <f t="shared" si="15"/>
        <v>4.0937430138362785E-4</v>
      </c>
      <c r="K162" s="83">
        <f t="shared" si="15"/>
        <v>2.3103288089683762E-4</v>
      </c>
      <c r="L162" s="83">
        <f t="shared" si="15"/>
        <v>2.3088282307180693E-4</v>
      </c>
      <c r="M162" s="83">
        <f t="shared" si="15"/>
        <v>5.6123668890525294E-4</v>
      </c>
      <c r="N162" s="83">
        <f t="shared" si="15"/>
        <v>5.5661089116965372E-4</v>
      </c>
      <c r="O162" s="83">
        <f t="shared" si="15"/>
        <v>2.0102573860422511E-4</v>
      </c>
      <c r="P162" s="83">
        <f t="shared" si="15"/>
        <v>2.9063927310371321E-3</v>
      </c>
      <c r="Q162" s="83">
        <f t="shared" si="15"/>
        <v>2.8815066793438453E-3</v>
      </c>
      <c r="R162" s="83">
        <f t="shared" si="15"/>
        <v>2.8756063468463257E-3</v>
      </c>
      <c r="S162" s="83">
        <f t="shared" si="15"/>
        <v>4.1625150503964701E-4</v>
      </c>
      <c r="T162" s="83">
        <f t="shared" si="15"/>
        <v>1.9962796091025515E-3</v>
      </c>
      <c r="U162" s="83">
        <f t="shared" si="15"/>
        <v>1.0392929601588975E-3</v>
      </c>
      <c r="V162" s="83">
        <f t="shared" si="15"/>
        <v>1.7661493438736922E-4</v>
      </c>
      <c r="W162" s="83">
        <f t="shared" si="15"/>
        <v>4.9290631410507657E-4</v>
      </c>
      <c r="X162" s="83">
        <f t="shared" si="15"/>
        <v>5.0060142097600984E-4</v>
      </c>
      <c r="Y162" s="83">
        <f t="shared" si="15"/>
        <v>6.2755406334294233E-4</v>
      </c>
      <c r="Z162" s="83">
        <f t="shared" si="15"/>
        <v>1.5913019114671527E-3</v>
      </c>
      <c r="AA162" s="83">
        <f t="shared" si="15"/>
        <v>1.6434353195316437E-3</v>
      </c>
      <c r="AB162" s="83">
        <f t="shared" si="15"/>
        <v>1.5815245504843566E-3</v>
      </c>
      <c r="AC162" s="83">
        <f t="shared" si="15"/>
        <v>1.5826998989670567E-3</v>
      </c>
      <c r="AD162" s="83">
        <f t="shared" si="15"/>
        <v>2.3933641376769023E-3</v>
      </c>
      <c r="AE162" s="83">
        <f t="shared" si="15"/>
        <v>1.0210873213642677E-5</v>
      </c>
      <c r="AF162" s="83">
        <f t="shared" si="15"/>
        <v>4.1231388089782277E-4</v>
      </c>
      <c r="AG162" s="83">
        <f t="shared" si="15"/>
        <v>4.2214980061679955E-4</v>
      </c>
      <c r="AH162" s="83">
        <f t="shared" si="15"/>
        <v>3.1731489374646076E-4</v>
      </c>
      <c r="AI162" s="83">
        <f t="shared" si="15"/>
        <v>1.8509593394275419E-4</v>
      </c>
      <c r="AJ162" s="83">
        <f t="shared" si="15"/>
        <v>1.8898300926599193E-4</v>
      </c>
      <c r="AK162" s="83">
        <f t="shared" si="15"/>
        <v>1.0294713550146417E-3</v>
      </c>
    </row>
    <row r="163" spans="2:37">
      <c r="B163" s="81" t="s">
        <v>111</v>
      </c>
      <c r="C163" s="81" t="s">
        <v>112</v>
      </c>
      <c r="D163" s="83">
        <f t="shared" si="15"/>
        <v>5.6023100238369467E-7</v>
      </c>
      <c r="E163" s="83">
        <f t="shared" si="15"/>
        <v>5.5502035008339196E-5</v>
      </c>
      <c r="F163" s="83">
        <f t="shared" si="15"/>
        <v>4.7753692676055944E-4</v>
      </c>
      <c r="G163" s="83">
        <f t="shared" si="15"/>
        <v>2.3710641818244074E-2</v>
      </c>
      <c r="H163" s="83">
        <f t="shared" si="15"/>
        <v>2.5460643208165226E-2</v>
      </c>
      <c r="I163" s="83">
        <f t="shared" si="15"/>
        <v>0</v>
      </c>
      <c r="J163" s="83">
        <f t="shared" si="15"/>
        <v>1.0198228833178679E-3</v>
      </c>
      <c r="K163" s="83">
        <f t="shared" si="15"/>
        <v>0</v>
      </c>
      <c r="L163" s="83">
        <f t="shared" si="15"/>
        <v>0</v>
      </c>
      <c r="M163" s="83">
        <f t="shared" si="15"/>
        <v>7.6635373272785864E-4</v>
      </c>
      <c r="N163" s="83">
        <f t="shared" si="15"/>
        <v>7.6003732927170753E-4</v>
      </c>
      <c r="O163" s="83">
        <f t="shared" si="15"/>
        <v>5.9739598623938293E-5</v>
      </c>
      <c r="P163" s="83">
        <f t="shared" si="15"/>
        <v>6.209673949212211E-4</v>
      </c>
      <c r="Q163" s="83">
        <f t="shared" si="15"/>
        <v>6.1565034794238739E-4</v>
      </c>
      <c r="R163" s="83">
        <f t="shared" si="15"/>
        <v>6.1438970822875777E-4</v>
      </c>
      <c r="S163" s="83">
        <f t="shared" si="15"/>
        <v>2.5114941095720215E-2</v>
      </c>
      <c r="T163" s="83">
        <f t="shared" si="15"/>
        <v>1.0224341058308427E-4</v>
      </c>
      <c r="U163" s="83">
        <f t="shared" ref="U163:AK163" si="16">U23/U$84</f>
        <v>1.4382827458216945E-3</v>
      </c>
      <c r="V163" s="83">
        <f t="shared" si="16"/>
        <v>3.3111226312588393E-4</v>
      </c>
      <c r="W163" s="83">
        <f t="shared" si="16"/>
        <v>6.9029197517558687E-4</v>
      </c>
      <c r="X163" s="83">
        <f t="shared" si="16"/>
        <v>2.5260499016602081E-4</v>
      </c>
      <c r="Y163" s="83">
        <f t="shared" si="16"/>
        <v>1.3728981055848872E-3</v>
      </c>
      <c r="Z163" s="83">
        <f t="shared" si="16"/>
        <v>6.3404962886227706E-4</v>
      </c>
      <c r="AA163" s="83">
        <f t="shared" si="16"/>
        <v>6.5482203402085666E-4</v>
      </c>
      <c r="AB163" s="83">
        <f t="shared" si="16"/>
        <v>6.3015386775137883E-4</v>
      </c>
      <c r="AC163" s="83">
        <f t="shared" si="16"/>
        <v>6.306221819435974E-4</v>
      </c>
      <c r="AD163" s="83">
        <f t="shared" si="16"/>
        <v>5.9301012422909027E-4</v>
      </c>
      <c r="AE163" s="83">
        <f t="shared" si="16"/>
        <v>8.3573075906143422E-6</v>
      </c>
      <c r="AF163" s="83">
        <f t="shared" si="16"/>
        <v>3.5573675022850172E-4</v>
      </c>
      <c r="AG163" s="83">
        <f t="shared" si="16"/>
        <v>3.64222998881393E-4</v>
      </c>
      <c r="AH163" s="83">
        <f t="shared" si="16"/>
        <v>8.8911428229758446E-5</v>
      </c>
      <c r="AI163" s="83">
        <f t="shared" si="16"/>
        <v>4.1039604285117681E-4</v>
      </c>
      <c r="AJ163" s="83">
        <f t="shared" si="16"/>
        <v>6.9324665106863643E-5</v>
      </c>
      <c r="AK163" s="83">
        <f t="shared" si="16"/>
        <v>6.5312755482964469E-3</v>
      </c>
    </row>
    <row r="164" spans="2:37">
      <c r="B164" s="81" t="s">
        <v>113</v>
      </c>
      <c r="C164" s="81" t="s">
        <v>114</v>
      </c>
      <c r="D164" s="83">
        <f t="shared" ref="D164:AK171" si="17">D24/D$84</f>
        <v>1.4899042221877453E-4</v>
      </c>
      <c r="E164" s="83">
        <f t="shared" si="17"/>
        <v>1.1791419671119366E-2</v>
      </c>
      <c r="F164" s="83">
        <f t="shared" si="17"/>
        <v>1.1477580780863174E-2</v>
      </c>
      <c r="G164" s="83">
        <f t="shared" si="17"/>
        <v>1.2669702240100949E-2</v>
      </c>
      <c r="H164" s="83">
        <f t="shared" si="17"/>
        <v>1.2620987453279723E-2</v>
      </c>
      <c r="I164" s="83">
        <f t="shared" si="17"/>
        <v>2.5744172464320692E-2</v>
      </c>
      <c r="J164" s="83">
        <f t="shared" si="17"/>
        <v>5.3753585198169689E-2</v>
      </c>
      <c r="K164" s="83">
        <f t="shared" si="17"/>
        <v>2.7999142970688583E-2</v>
      </c>
      <c r="L164" s="83">
        <f t="shared" si="17"/>
        <v>2.7980957288717669E-2</v>
      </c>
      <c r="M164" s="83">
        <f t="shared" si="17"/>
        <v>1.9508381335133419E-2</v>
      </c>
      <c r="N164" s="83">
        <f t="shared" si="17"/>
        <v>1.9347590303490061E-2</v>
      </c>
      <c r="O164" s="83">
        <f t="shared" si="17"/>
        <v>5.380987280280667E-3</v>
      </c>
      <c r="P164" s="83">
        <f t="shared" si="17"/>
        <v>7.0175043639983364E-2</v>
      </c>
      <c r="Q164" s="83">
        <f t="shared" si="17"/>
        <v>6.9574168285129967E-2</v>
      </c>
      <c r="R164" s="83">
        <f t="shared" si="17"/>
        <v>6.9431704368921709E-2</v>
      </c>
      <c r="S164" s="83">
        <f t="shared" si="17"/>
        <v>1.1844455380617321E-2</v>
      </c>
      <c r="T164" s="83">
        <f t="shared" si="17"/>
        <v>2.8599573293665578E-2</v>
      </c>
      <c r="U164" s="83">
        <f t="shared" si="17"/>
        <v>7.3630215184170289E-3</v>
      </c>
      <c r="V164" s="83">
        <f t="shared" si="17"/>
        <v>3.9148276965530471E-3</v>
      </c>
      <c r="W164" s="83">
        <f t="shared" si="17"/>
        <v>7.1077429505050438E-3</v>
      </c>
      <c r="X164" s="83">
        <f t="shared" si="17"/>
        <v>3.2226036092053863E-3</v>
      </c>
      <c r="Y164" s="83">
        <f t="shared" si="17"/>
        <v>2.2737771403041788E-2</v>
      </c>
      <c r="Z164" s="83">
        <f t="shared" si="17"/>
        <v>2.9147509328572695E-3</v>
      </c>
      <c r="AA164" s="83">
        <f t="shared" si="17"/>
        <v>3.0102424914948593E-3</v>
      </c>
      <c r="AB164" s="83">
        <f t="shared" si="17"/>
        <v>2.8968419667207276E-3</v>
      </c>
      <c r="AC164" s="83">
        <f t="shared" si="17"/>
        <v>2.8989948253716835E-3</v>
      </c>
      <c r="AD164" s="83">
        <f t="shared" si="17"/>
        <v>4.2459637560658065E-3</v>
      </c>
      <c r="AE164" s="83">
        <f t="shared" si="17"/>
        <v>5.4075944444250421E-4</v>
      </c>
      <c r="AF164" s="83">
        <f t="shared" si="17"/>
        <v>8.1899863143916826E-3</v>
      </c>
      <c r="AG164" s="83">
        <f t="shared" si="17"/>
        <v>8.3853618562300357E-3</v>
      </c>
      <c r="AH164" s="83">
        <f t="shared" si="17"/>
        <v>1.196631158319343E-2</v>
      </c>
      <c r="AI164" s="83">
        <f t="shared" si="17"/>
        <v>1.2801898733291886E-2</v>
      </c>
      <c r="AJ164" s="83">
        <f t="shared" si="17"/>
        <v>2.0852263336509632E-2</v>
      </c>
      <c r="AK164" s="83">
        <f t="shared" si="17"/>
        <v>1.244645110470975E-2</v>
      </c>
    </row>
    <row r="165" spans="2:37">
      <c r="B165" s="81" t="s">
        <v>115</v>
      </c>
      <c r="C165" s="81" t="s">
        <v>116</v>
      </c>
      <c r="D165" s="83">
        <f t="shared" si="17"/>
        <v>1.3570337517427005E-6</v>
      </c>
      <c r="E165" s="83">
        <f t="shared" si="17"/>
        <v>1.9559775964482693E-4</v>
      </c>
      <c r="F165" s="83">
        <f t="shared" si="17"/>
        <v>3.5498849553100647E-3</v>
      </c>
      <c r="G165" s="83">
        <f t="shared" si="17"/>
        <v>5.8023878387345011E-3</v>
      </c>
      <c r="H165" s="83">
        <f t="shared" si="17"/>
        <v>5.7800777574665198E-3</v>
      </c>
      <c r="I165" s="83">
        <f t="shared" si="17"/>
        <v>0</v>
      </c>
      <c r="J165" s="83">
        <f t="shared" si="17"/>
        <v>1.2052029883955921E-2</v>
      </c>
      <c r="K165" s="83">
        <f t="shared" si="17"/>
        <v>9.8516620880430132E-4</v>
      </c>
      <c r="L165" s="83">
        <f t="shared" si="17"/>
        <v>9.84526334955991E-4</v>
      </c>
      <c r="M165" s="83">
        <f t="shared" si="17"/>
        <v>9.8977389870445361E-3</v>
      </c>
      <c r="N165" s="83">
        <f t="shared" si="17"/>
        <v>9.8161603242469548E-3</v>
      </c>
      <c r="O165" s="83">
        <f t="shared" si="17"/>
        <v>1.6678246336503846E-3</v>
      </c>
      <c r="P165" s="83">
        <f t="shared" si="17"/>
        <v>6.8112634809385127E-4</v>
      </c>
      <c r="Q165" s="83">
        <f t="shared" si="17"/>
        <v>6.7529418875512612E-4</v>
      </c>
      <c r="R165" s="83">
        <f t="shared" si="17"/>
        <v>6.7391141901322117E-4</v>
      </c>
      <c r="S165" s="83">
        <f t="shared" si="17"/>
        <v>5.8542392553441371E-4</v>
      </c>
      <c r="T165" s="83">
        <f t="shared" si="17"/>
        <v>1.8729640683298717E-3</v>
      </c>
      <c r="U165" s="83">
        <f t="shared" si="17"/>
        <v>0.15211228438240518</v>
      </c>
      <c r="V165" s="83">
        <f t="shared" si="17"/>
        <v>0</v>
      </c>
      <c r="W165" s="83">
        <f t="shared" si="17"/>
        <v>1.5743895743697618E-2</v>
      </c>
      <c r="X165" s="83">
        <f t="shared" si="17"/>
        <v>1.8435968943295244E-2</v>
      </c>
      <c r="Y165" s="83">
        <f t="shared" si="17"/>
        <v>8.9639235891531572E-3</v>
      </c>
      <c r="Z165" s="83">
        <f t="shared" si="17"/>
        <v>3.0654864195756898E-3</v>
      </c>
      <c r="AA165" s="83">
        <f t="shared" si="17"/>
        <v>3.1659162960662834E-3</v>
      </c>
      <c r="AB165" s="83">
        <f t="shared" si="17"/>
        <v>3.0466512965257714E-3</v>
      </c>
      <c r="AC165" s="83">
        <f t="shared" si="17"/>
        <v>3.0489154896283063E-3</v>
      </c>
      <c r="AD165" s="83">
        <f t="shared" si="17"/>
        <v>7.4256497317965907E-4</v>
      </c>
      <c r="AE165" s="83">
        <f t="shared" si="17"/>
        <v>1.3337026036647771E-4</v>
      </c>
      <c r="AF165" s="83">
        <f t="shared" si="17"/>
        <v>3.5100774661635366E-2</v>
      </c>
      <c r="AG165" s="83">
        <f t="shared" si="17"/>
        <v>3.5938118291429948E-2</v>
      </c>
      <c r="AH165" s="83">
        <f t="shared" si="17"/>
        <v>0</v>
      </c>
      <c r="AI165" s="83">
        <f t="shared" si="17"/>
        <v>2.621016029085009E-2</v>
      </c>
      <c r="AJ165" s="83">
        <f t="shared" si="17"/>
        <v>2.4228951750712262E-3</v>
      </c>
      <c r="AK165" s="83">
        <f t="shared" si="17"/>
        <v>2.2205393723986291E-2</v>
      </c>
    </row>
    <row r="166" spans="2:37">
      <c r="B166" s="81" t="s">
        <v>117</v>
      </c>
      <c r="C166" s="81" t="s">
        <v>118</v>
      </c>
      <c r="D166" s="83">
        <f t="shared" si="17"/>
        <v>2.5300950118337172E-3</v>
      </c>
      <c r="E166" s="83">
        <f t="shared" si="17"/>
        <v>6.7598433233790672E-3</v>
      </c>
      <c r="F166" s="83">
        <f t="shared" si="17"/>
        <v>3.3785500821949027E-4</v>
      </c>
      <c r="G166" s="83">
        <f t="shared" si="17"/>
        <v>1.8548769782651886E-3</v>
      </c>
      <c r="H166" s="83">
        <f t="shared" si="17"/>
        <v>1.8477450082422719E-3</v>
      </c>
      <c r="I166" s="83">
        <f t="shared" si="17"/>
        <v>3.3504023510016771E-3</v>
      </c>
      <c r="J166" s="83">
        <f t="shared" si="17"/>
        <v>5.2142585007476597E-3</v>
      </c>
      <c r="K166" s="83">
        <f t="shared" si="17"/>
        <v>3.5905704945014749E-3</v>
      </c>
      <c r="L166" s="83">
        <f t="shared" si="17"/>
        <v>3.5882383883660712E-3</v>
      </c>
      <c r="M166" s="83">
        <f t="shared" si="17"/>
        <v>2.656035995663096E-3</v>
      </c>
      <c r="N166" s="83">
        <f t="shared" si="17"/>
        <v>2.6341445449841192E-3</v>
      </c>
      <c r="O166" s="83">
        <f t="shared" si="17"/>
        <v>1.6148288794579725E-4</v>
      </c>
      <c r="P166" s="83">
        <f t="shared" si="17"/>
        <v>2.6590539172449798E-3</v>
      </c>
      <c r="Q166" s="83">
        <f t="shared" si="17"/>
        <v>2.6362857095856558E-3</v>
      </c>
      <c r="R166" s="83">
        <f t="shared" si="17"/>
        <v>2.6308875051127981E-3</v>
      </c>
      <c r="S166" s="83">
        <f t="shared" si="17"/>
        <v>7.3723889033345505E-4</v>
      </c>
      <c r="T166" s="83">
        <f t="shared" si="17"/>
        <v>2.1076227312339805E-3</v>
      </c>
      <c r="U166" s="83">
        <f t="shared" si="17"/>
        <v>9.6784138807389777E-5</v>
      </c>
      <c r="V166" s="83">
        <f t="shared" si="17"/>
        <v>2.9796040911667545E-3</v>
      </c>
      <c r="W166" s="83">
        <f t="shared" si="17"/>
        <v>2.3909752169079057E-3</v>
      </c>
      <c r="X166" s="83">
        <f t="shared" si="17"/>
        <v>2.9535418251809054E-4</v>
      </c>
      <c r="Y166" s="83">
        <f t="shared" si="17"/>
        <v>7.0594211468045869E-4</v>
      </c>
      <c r="Z166" s="83">
        <f t="shared" si="17"/>
        <v>1.9064109744713444E-3</v>
      </c>
      <c r="AA166" s="83">
        <f t="shared" si="17"/>
        <v>1.9688678222602608E-3</v>
      </c>
      <c r="AB166" s="83">
        <f t="shared" si="17"/>
        <v>1.894697503793878E-3</v>
      </c>
      <c r="AC166" s="83">
        <f t="shared" si="17"/>
        <v>1.8961055943831652E-3</v>
      </c>
      <c r="AD166" s="83">
        <f t="shared" si="17"/>
        <v>3.3683161452447426E-3</v>
      </c>
      <c r="AE166" s="83">
        <f t="shared" si="17"/>
        <v>4.318880954498995E-5</v>
      </c>
      <c r="AF166" s="83">
        <f t="shared" si="17"/>
        <v>1.0659574570324303E-3</v>
      </c>
      <c r="AG166" s="83">
        <f t="shared" si="17"/>
        <v>1.091386317075627E-3</v>
      </c>
      <c r="AH166" s="83">
        <f t="shared" si="17"/>
        <v>2.5594574095550147E-3</v>
      </c>
      <c r="AI166" s="83">
        <f t="shared" si="17"/>
        <v>3.0177890695147182E-4</v>
      </c>
      <c r="AJ166" s="83">
        <f t="shared" si="17"/>
        <v>1.3594509242607238E-3</v>
      </c>
      <c r="AK166" s="83">
        <f t="shared" si="17"/>
        <v>2.9143552719012441E-3</v>
      </c>
    </row>
    <row r="167" spans="2:37">
      <c r="B167" s="81" t="s">
        <v>119</v>
      </c>
      <c r="C167" s="81" t="s">
        <v>120</v>
      </c>
      <c r="D167" s="83">
        <f t="shared" si="17"/>
        <v>2.7753576058518258E-2</v>
      </c>
      <c r="E167" s="83">
        <f t="shared" si="17"/>
        <v>4.6351458304004804E-3</v>
      </c>
      <c r="F167" s="83">
        <f t="shared" si="17"/>
        <v>3.0464169144327025E-2</v>
      </c>
      <c r="G167" s="83">
        <f t="shared" si="17"/>
        <v>1.4753070976803747E-2</v>
      </c>
      <c r="H167" s="83">
        <f t="shared" si="17"/>
        <v>1.4696345673085313E-2</v>
      </c>
      <c r="I167" s="83">
        <f t="shared" si="17"/>
        <v>2.5465411048909595E-3</v>
      </c>
      <c r="J167" s="83">
        <f t="shared" si="17"/>
        <v>4.5639262559404826E-3</v>
      </c>
      <c r="K167" s="83">
        <f t="shared" si="17"/>
        <v>1.0743305172309731E-2</v>
      </c>
      <c r="L167" s="83">
        <f t="shared" si="17"/>
        <v>1.0736327304044719E-2</v>
      </c>
      <c r="M167" s="83">
        <f t="shared" si="17"/>
        <v>5.5221184506950953E-3</v>
      </c>
      <c r="N167" s="83">
        <f t="shared" si="17"/>
        <v>5.4766043146275839E-3</v>
      </c>
      <c r="O167" s="83">
        <f t="shared" si="17"/>
        <v>8.5480459337496928E-3</v>
      </c>
      <c r="P167" s="83">
        <f t="shared" si="17"/>
        <v>9.2480062166644776E-3</v>
      </c>
      <c r="Q167" s="83">
        <f t="shared" si="17"/>
        <v>9.1688199599999111E-3</v>
      </c>
      <c r="R167" s="83">
        <f t="shared" si="17"/>
        <v>9.1500453769800469E-3</v>
      </c>
      <c r="S167" s="83">
        <f t="shared" si="17"/>
        <v>5.2627721904126325E-3</v>
      </c>
      <c r="T167" s="83">
        <f t="shared" si="17"/>
        <v>4.7550210246096172E-3</v>
      </c>
      <c r="U167" s="83">
        <f t="shared" si="17"/>
        <v>6.1989569213357224E-3</v>
      </c>
      <c r="V167" s="83">
        <f t="shared" si="17"/>
        <v>1.0901357609010168E-3</v>
      </c>
      <c r="W167" s="83">
        <f t="shared" si="17"/>
        <v>3.5091619083089001E-3</v>
      </c>
      <c r="X167" s="83">
        <f t="shared" si="17"/>
        <v>8.1744453751539502E-3</v>
      </c>
      <c r="Y167" s="83">
        <f t="shared" si="17"/>
        <v>1.9874626308034545E-2</v>
      </c>
      <c r="Z167" s="83">
        <f t="shared" si="17"/>
        <v>3.3279734843451275E-3</v>
      </c>
      <c r="AA167" s="83">
        <f t="shared" si="17"/>
        <v>3.4370028259407765E-3</v>
      </c>
      <c r="AB167" s="83">
        <f t="shared" si="17"/>
        <v>3.3075255744525168E-3</v>
      </c>
      <c r="AC167" s="83">
        <f t="shared" si="17"/>
        <v>3.3099836426274593E-3</v>
      </c>
      <c r="AD167" s="83">
        <f t="shared" si="17"/>
        <v>3.5079400355569079E-3</v>
      </c>
      <c r="AE167" s="83">
        <f t="shared" si="17"/>
        <v>7.3092601009939554E-5</v>
      </c>
      <c r="AF167" s="83">
        <f t="shared" si="17"/>
        <v>4.5528923217364086E-3</v>
      </c>
      <c r="AG167" s="83">
        <f t="shared" si="17"/>
        <v>4.6615034683420743E-3</v>
      </c>
      <c r="AH167" s="83">
        <f t="shared" si="17"/>
        <v>1.0045933420980504E-2</v>
      </c>
      <c r="AI167" s="83">
        <f t="shared" si="17"/>
        <v>5.3296401771672428E-3</v>
      </c>
      <c r="AJ167" s="83">
        <f t="shared" si="17"/>
        <v>7.078967673117542E-3</v>
      </c>
      <c r="AK167" s="83">
        <f t="shared" si="17"/>
        <v>3.9214531757474531E-3</v>
      </c>
    </row>
    <row r="168" spans="2:37">
      <c r="B168" s="81" t="s">
        <v>121</v>
      </c>
      <c r="C168" s="81" t="s">
        <v>122</v>
      </c>
      <c r="D168" s="83">
        <f t="shared" si="17"/>
        <v>0.10597021511460571</v>
      </c>
      <c r="E168" s="83">
        <f t="shared" si="17"/>
        <v>3.3270499462606656E-2</v>
      </c>
      <c r="F168" s="83">
        <f t="shared" si="17"/>
        <v>0.12038989088001362</v>
      </c>
      <c r="G168" s="83">
        <f t="shared" si="17"/>
        <v>8.1797388589402206E-2</v>
      </c>
      <c r="H168" s="83">
        <f t="shared" si="17"/>
        <v>8.14828790396004E-2</v>
      </c>
      <c r="I168" s="83">
        <f t="shared" si="17"/>
        <v>2.0871303457080229E-2</v>
      </c>
      <c r="J168" s="83">
        <f t="shared" si="17"/>
        <v>2.9816188099850365E-2</v>
      </c>
      <c r="K168" s="83">
        <f t="shared" si="17"/>
        <v>6.3425763584170236E-2</v>
      </c>
      <c r="L168" s="83">
        <f t="shared" si="17"/>
        <v>6.3384568010201203E-2</v>
      </c>
      <c r="M168" s="83">
        <f t="shared" si="17"/>
        <v>2.8352099163755601E-2</v>
      </c>
      <c r="N168" s="83">
        <f t="shared" si="17"/>
        <v>2.8118416871233037E-2</v>
      </c>
      <c r="O168" s="83">
        <f t="shared" si="17"/>
        <v>1.6618183089361482E-2</v>
      </c>
      <c r="P168" s="83">
        <f t="shared" si="17"/>
        <v>3.5685415942413395E-2</v>
      </c>
      <c r="Q168" s="83">
        <f t="shared" si="17"/>
        <v>3.537985878341135E-2</v>
      </c>
      <c r="R168" s="83">
        <f t="shared" si="17"/>
        <v>3.5307413027157016E-2</v>
      </c>
      <c r="S168" s="83">
        <f t="shared" si="17"/>
        <v>2.9677566117145338E-2</v>
      </c>
      <c r="T168" s="83">
        <f t="shared" si="17"/>
        <v>2.8913805070811052E-2</v>
      </c>
      <c r="U168" s="83">
        <f t="shared" si="17"/>
        <v>4.1546822986625015E-2</v>
      </c>
      <c r="V168" s="83">
        <f t="shared" si="17"/>
        <v>1.9074906991226211E-2</v>
      </c>
      <c r="W168" s="83">
        <f t="shared" si="17"/>
        <v>2.3859340442123247E-2</v>
      </c>
      <c r="X168" s="83">
        <f t="shared" si="17"/>
        <v>4.3266932025067366E-2</v>
      </c>
      <c r="Y168" s="83">
        <f t="shared" si="17"/>
        <v>7.7629248780305429E-2</v>
      </c>
      <c r="Z168" s="83">
        <f t="shared" si="17"/>
        <v>3.9311173761250047E-2</v>
      </c>
      <c r="AA168" s="83">
        <f t="shared" si="17"/>
        <v>4.8089867973549055E-2</v>
      </c>
      <c r="AB168" s="83">
        <f t="shared" si="17"/>
        <v>4.6278247720387473E-2</v>
      </c>
      <c r="AC168" s="83">
        <f t="shared" si="17"/>
        <v>4.6312640527140583E-2</v>
      </c>
      <c r="AD168" s="83">
        <f t="shared" si="17"/>
        <v>2.6061989924335123E-2</v>
      </c>
      <c r="AE168" s="83">
        <f t="shared" si="17"/>
        <v>3.4001989219770357E-4</v>
      </c>
      <c r="AF168" s="83">
        <f t="shared" si="17"/>
        <v>2.3521128988516847E-2</v>
      </c>
      <c r="AG168" s="83">
        <f t="shared" si="17"/>
        <v>2.4082235337706367E-2</v>
      </c>
      <c r="AH168" s="83">
        <f t="shared" si="17"/>
        <v>4.2901260075723757E-2</v>
      </c>
      <c r="AI168" s="83">
        <f t="shared" si="17"/>
        <v>2.1827213686410964E-2</v>
      </c>
      <c r="AJ168" s="83">
        <f t="shared" si="17"/>
        <v>3.2016056833867615E-2</v>
      </c>
      <c r="AK168" s="83">
        <f t="shared" si="17"/>
        <v>1.7755012550766145E-2</v>
      </c>
    </row>
    <row r="169" spans="2:37">
      <c r="B169" s="81" t="s">
        <v>123</v>
      </c>
      <c r="C169" s="81" t="s">
        <v>124</v>
      </c>
      <c r="D169" s="83">
        <f t="shared" si="17"/>
        <v>7.2752824361161121E-3</v>
      </c>
      <c r="E169" s="83">
        <f t="shared" si="17"/>
        <v>3.3547947641042646E-3</v>
      </c>
      <c r="F169" s="83">
        <f t="shared" si="17"/>
        <v>2.3508332122131149E-2</v>
      </c>
      <c r="G169" s="83">
        <f t="shared" si="17"/>
        <v>6.451073726219763E-3</v>
      </c>
      <c r="H169" s="83">
        <f t="shared" si="17"/>
        <v>6.4262694588909279E-3</v>
      </c>
      <c r="I169" s="83">
        <f t="shared" si="17"/>
        <v>5.1419384843184315E-4</v>
      </c>
      <c r="J169" s="83">
        <f t="shared" si="17"/>
        <v>2.8503711674937406E-3</v>
      </c>
      <c r="K169" s="83">
        <f t="shared" si="17"/>
        <v>5.3770857471815E-3</v>
      </c>
      <c r="L169" s="83">
        <f t="shared" si="17"/>
        <v>5.3735932841645958E-3</v>
      </c>
      <c r="M169" s="83">
        <f t="shared" si="17"/>
        <v>3.171318043014416E-3</v>
      </c>
      <c r="N169" s="83">
        <f t="shared" si="17"/>
        <v>3.145179559710976E-3</v>
      </c>
      <c r="O169" s="83">
        <f t="shared" si="17"/>
        <v>3.1093230380454325E-4</v>
      </c>
      <c r="P169" s="83">
        <f t="shared" si="17"/>
        <v>2.438183414266963E-4</v>
      </c>
      <c r="Q169" s="83">
        <f t="shared" si="17"/>
        <v>2.4173064151480122E-4</v>
      </c>
      <c r="R169" s="83">
        <f t="shared" si="17"/>
        <v>2.4123566047935907E-4</v>
      </c>
      <c r="S169" s="83">
        <f t="shared" si="17"/>
        <v>4.9907782000940836E-4</v>
      </c>
      <c r="T169" s="83">
        <f t="shared" si="17"/>
        <v>1.3644305003124885E-3</v>
      </c>
      <c r="U169" s="83">
        <f t="shared" si="17"/>
        <v>3.9838455431448544E-3</v>
      </c>
      <c r="V169" s="83">
        <f t="shared" si="17"/>
        <v>1.865538673480054E-3</v>
      </c>
      <c r="W169" s="83">
        <f t="shared" si="17"/>
        <v>3.2540107997697473E-3</v>
      </c>
      <c r="X169" s="83">
        <f t="shared" si="17"/>
        <v>8.7838549838824814E-3</v>
      </c>
      <c r="Y169" s="83">
        <f t="shared" si="17"/>
        <v>2.2153323862296168E-2</v>
      </c>
      <c r="Z169" s="83">
        <f t="shared" si="17"/>
        <v>1.4988732713951455E-3</v>
      </c>
      <c r="AA169" s="83">
        <f t="shared" si="17"/>
        <v>1.5479785802818538E-3</v>
      </c>
      <c r="AB169" s="83">
        <f t="shared" si="17"/>
        <v>1.4896638153288396E-3</v>
      </c>
      <c r="AC169" s="83">
        <f t="shared" si="17"/>
        <v>1.4907708952692372E-3</v>
      </c>
      <c r="AD169" s="83">
        <f t="shared" si="17"/>
        <v>2.6436163874052538E-3</v>
      </c>
      <c r="AE169" s="83">
        <f t="shared" si="17"/>
        <v>6.3302873920825862E-4</v>
      </c>
      <c r="AF169" s="83">
        <f t="shared" si="17"/>
        <v>5.1982116161734832E-3</v>
      </c>
      <c r="AG169" s="83">
        <f t="shared" si="17"/>
        <v>5.3222171238890975E-3</v>
      </c>
      <c r="AH169" s="83">
        <f t="shared" si="17"/>
        <v>1.4555085607400049E-2</v>
      </c>
      <c r="AI169" s="83">
        <f t="shared" si="17"/>
        <v>5.2080589869957072E-3</v>
      </c>
      <c r="AJ169" s="83">
        <f t="shared" si="17"/>
        <v>7.1007114861642252E-3</v>
      </c>
      <c r="AK169" s="83">
        <f t="shared" si="17"/>
        <v>4.1400824647779208E-3</v>
      </c>
    </row>
    <row r="170" spans="2:37">
      <c r="B170" s="81" t="s">
        <v>125</v>
      </c>
      <c r="C170" s="81" t="s">
        <v>126</v>
      </c>
      <c r="D170" s="83">
        <f t="shared" si="17"/>
        <v>7.7168809359119579E-3</v>
      </c>
      <c r="E170" s="83">
        <f t="shared" si="17"/>
        <v>2.1309284584817508E-2</v>
      </c>
      <c r="F170" s="83">
        <f t="shared" si="17"/>
        <v>1.3744438790353716E-2</v>
      </c>
      <c r="G170" s="83">
        <f t="shared" si="17"/>
        <v>2.7991194493279414E-2</v>
      </c>
      <c r="H170" s="83">
        <f t="shared" si="17"/>
        <v>2.7883568832725778E-2</v>
      </c>
      <c r="I170" s="83">
        <f t="shared" si="17"/>
        <v>1.0262552022352768E-2</v>
      </c>
      <c r="J170" s="83">
        <f t="shared" si="17"/>
        <v>1.4650245296998949E-2</v>
      </c>
      <c r="K170" s="83">
        <f t="shared" si="17"/>
        <v>1.6956415338145157E-2</v>
      </c>
      <c r="L170" s="83">
        <f t="shared" si="17"/>
        <v>1.6945402001878659E-2</v>
      </c>
      <c r="M170" s="83">
        <f t="shared" si="17"/>
        <v>2.2797325330191163E-2</v>
      </c>
      <c r="N170" s="83">
        <f t="shared" si="17"/>
        <v>2.2609426324344286E-2</v>
      </c>
      <c r="O170" s="83">
        <f t="shared" si="17"/>
        <v>9.3250277100869403E-3</v>
      </c>
      <c r="P170" s="83">
        <f t="shared" si="17"/>
        <v>3.2332098585289197E-3</v>
      </c>
      <c r="Q170" s="83">
        <f t="shared" si="17"/>
        <v>3.2055254279922283E-3</v>
      </c>
      <c r="R170" s="83">
        <f t="shared" si="17"/>
        <v>3.1989616167785125E-3</v>
      </c>
      <c r="S170" s="83">
        <f t="shared" si="17"/>
        <v>1.9457771148134486E-2</v>
      </c>
      <c r="T170" s="83">
        <f t="shared" si="17"/>
        <v>1.8761275765740652E-2</v>
      </c>
      <c r="U170" s="83">
        <f t="shared" si="17"/>
        <v>1.4962073242299891E-2</v>
      </c>
      <c r="V170" s="83">
        <f t="shared" si="17"/>
        <v>7.5256033805200353E-3</v>
      </c>
      <c r="W170" s="83">
        <f t="shared" si="17"/>
        <v>1.1284354499337491E-2</v>
      </c>
      <c r="X170" s="83">
        <f t="shared" si="17"/>
        <v>7.3003913677111773E-3</v>
      </c>
      <c r="Y170" s="83">
        <f t="shared" si="17"/>
        <v>8.157916367227248E-3</v>
      </c>
      <c r="Z170" s="83">
        <f t="shared" si="17"/>
        <v>1.8906076653550069E-2</v>
      </c>
      <c r="AA170" s="83">
        <f t="shared" si="17"/>
        <v>1.9525467733253667E-2</v>
      </c>
      <c r="AB170" s="83">
        <f t="shared" si="17"/>
        <v>1.8789912942014195E-2</v>
      </c>
      <c r="AC170" s="83">
        <f t="shared" si="17"/>
        <v>1.8803877123385822E-2</v>
      </c>
      <c r="AD170" s="83">
        <f t="shared" si="17"/>
        <v>1.039760109586986E-2</v>
      </c>
      <c r="AE170" s="83">
        <f t="shared" si="17"/>
        <v>1.3577604741642942E-4</v>
      </c>
      <c r="AF170" s="83">
        <f t="shared" si="17"/>
        <v>4.8140960307533221E-3</v>
      </c>
      <c r="AG170" s="83">
        <f t="shared" si="17"/>
        <v>4.9289383008579105E-3</v>
      </c>
      <c r="AH170" s="83">
        <f t="shared" si="17"/>
        <v>6.4701455895914148E-3</v>
      </c>
      <c r="AI170" s="83">
        <f t="shared" si="17"/>
        <v>3.4126874078428729E-3</v>
      </c>
      <c r="AJ170" s="83">
        <f t="shared" si="17"/>
        <v>8.4520545401464819E-3</v>
      </c>
      <c r="AK170" s="83">
        <f t="shared" si="17"/>
        <v>9.9942524478127872E-3</v>
      </c>
    </row>
    <row r="171" spans="2:37">
      <c r="B171" s="81" t="s">
        <v>127</v>
      </c>
      <c r="C171" s="81" t="s">
        <v>128</v>
      </c>
      <c r="D171" s="83">
        <f t="shared" si="17"/>
        <v>6.7091272809160569E-5</v>
      </c>
      <c r="E171" s="83">
        <f t="shared" si="17"/>
        <v>1.8526488063264144E-4</v>
      </c>
      <c r="F171" s="83">
        <f t="shared" si="17"/>
        <v>1.1949541533044909E-4</v>
      </c>
      <c r="G171" s="83">
        <f t="shared" si="17"/>
        <v>2.4335802011190956E-4</v>
      </c>
      <c r="H171" s="83">
        <f t="shared" si="17"/>
        <v>2.4242231271750497E-4</v>
      </c>
      <c r="I171" s="83">
        <f t="shared" si="17"/>
        <v>8.9223571436184703E-5</v>
      </c>
      <c r="J171" s="83">
        <f t="shared" si="17"/>
        <v>1.2737058043333906E-4</v>
      </c>
      <c r="K171" s="83">
        <f t="shared" si="17"/>
        <v>1.4742063493849639E-4</v>
      </c>
      <c r="L171" s="83">
        <f t="shared" si="17"/>
        <v>1.4732488397977068E-4</v>
      </c>
      <c r="M171" s="83">
        <f t="shared" si="17"/>
        <v>1.982020437725316E-4</v>
      </c>
      <c r="N171" s="83">
        <f t="shared" si="17"/>
        <v>1.9656843252900788E-4</v>
      </c>
      <c r="O171" s="83">
        <f t="shared" si="17"/>
        <v>8.1072648813194155E-5</v>
      </c>
      <c r="P171" s="83">
        <f t="shared" si="17"/>
        <v>2.8109823965062187E-5</v>
      </c>
      <c r="Q171" s="83">
        <f t="shared" si="17"/>
        <v>2.7869132979011388E-5</v>
      </c>
      <c r="R171" s="83">
        <f t="shared" si="17"/>
        <v>2.7812066600449101E-5</v>
      </c>
      <c r="S171" s="83">
        <f t="shared" si="17"/>
        <v>1.6916765247505141E-4</v>
      </c>
      <c r="T171" s="83">
        <f t="shared" si="17"/>
        <v>1.631122575430076E-4</v>
      </c>
      <c r="U171" s="83">
        <f t="shared" ref="U171:AK171" si="18">U31/U$84</f>
        <v>1.300816412779278E-4</v>
      </c>
      <c r="V171" s="83">
        <f t="shared" si="18"/>
        <v>6.5428288145065247E-5</v>
      </c>
      <c r="W171" s="83">
        <f t="shared" si="18"/>
        <v>1.1927732574527925E-4</v>
      </c>
      <c r="X171" s="83">
        <f t="shared" si="18"/>
        <v>6.3470274186221118E-5</v>
      </c>
      <c r="Y171" s="83">
        <f t="shared" si="18"/>
        <v>7.0925675424234584E-5</v>
      </c>
      <c r="Z171" s="83">
        <f t="shared" si="18"/>
        <v>1.6437116978329058E-4</v>
      </c>
      <c r="AA171" s="83">
        <f t="shared" si="18"/>
        <v>1.6975621281415678E-4</v>
      </c>
      <c r="AB171" s="83">
        <f t="shared" si="18"/>
        <v>1.6336123178814727E-4</v>
      </c>
      <c r="AC171" s="83">
        <f t="shared" si="18"/>
        <v>1.6348263766569532E-4</v>
      </c>
      <c r="AD171" s="83">
        <f t="shared" si="18"/>
        <v>9.0397700505844746E-5</v>
      </c>
      <c r="AE171" s="83">
        <f t="shared" si="18"/>
        <v>1.1804494476224028E-6</v>
      </c>
      <c r="AF171" s="83">
        <f t="shared" si="18"/>
        <v>4.1854193787764979E-5</v>
      </c>
      <c r="AG171" s="83">
        <f t="shared" si="18"/>
        <v>4.285264304953253E-5</v>
      </c>
      <c r="AH171" s="83">
        <f t="shared" si="18"/>
        <v>5.6252041008711437E-5</v>
      </c>
      <c r="AI171" s="83">
        <f t="shared" si="18"/>
        <v>2.9670218290715821E-5</v>
      </c>
      <c r="AJ171" s="83">
        <f t="shared" si="18"/>
        <v>7.3482939760280023E-5</v>
      </c>
      <c r="AK171" s="83">
        <f t="shared" si="18"/>
        <v>8.6890950251597708E-5</v>
      </c>
    </row>
    <row r="172" spans="2:37">
      <c r="B172" s="81" t="s">
        <v>129</v>
      </c>
      <c r="C172" s="81" t="s">
        <v>130</v>
      </c>
      <c r="D172" s="83">
        <f t="shared" ref="D172:AK179" si="19">D32/D$84</f>
        <v>3.9957330322869212E-4</v>
      </c>
      <c r="E172" s="83">
        <f t="shared" si="19"/>
        <v>1.1033760014841527E-3</v>
      </c>
      <c r="F172" s="83">
        <f t="shared" si="19"/>
        <v>7.1167494407339685E-4</v>
      </c>
      <c r="G172" s="83">
        <f t="shared" si="19"/>
        <v>1.4493594157902797E-3</v>
      </c>
      <c r="H172" s="83">
        <f t="shared" si="19"/>
        <v>1.4437866538082275E-3</v>
      </c>
      <c r="I172" s="83">
        <f t="shared" si="19"/>
        <v>5.3138591163752566E-4</v>
      </c>
      <c r="J172" s="83">
        <f t="shared" si="19"/>
        <v>7.5857680778648761E-4</v>
      </c>
      <c r="K172" s="83">
        <f t="shared" si="19"/>
        <v>8.7798826285501598E-4</v>
      </c>
      <c r="L172" s="83">
        <f t="shared" si="19"/>
        <v>8.7741800199598718E-4</v>
      </c>
      <c r="M172" s="83">
        <f t="shared" si="19"/>
        <v>1.1804254416537946E-3</v>
      </c>
      <c r="N172" s="83">
        <f t="shared" si="19"/>
        <v>1.1706961965011055E-3</v>
      </c>
      <c r="O172" s="83">
        <f t="shared" si="19"/>
        <v>4.828417278642646E-4</v>
      </c>
      <c r="P172" s="83">
        <f t="shared" si="19"/>
        <v>1.6741276092415116E-4</v>
      </c>
      <c r="Q172" s="83">
        <f t="shared" si="19"/>
        <v>1.6597928547605251E-4</v>
      </c>
      <c r="R172" s="83">
        <f t="shared" si="19"/>
        <v>1.6563941710821952E-4</v>
      </c>
      <c r="S172" s="83">
        <f t="shared" si="19"/>
        <v>1.0075062652510998E-3</v>
      </c>
      <c r="T172" s="83">
        <f t="shared" si="19"/>
        <v>9.7144234733686629E-4</v>
      </c>
      <c r="U172" s="83">
        <f t="shared" si="19"/>
        <v>7.7472298435415454E-4</v>
      </c>
      <c r="V172" s="83">
        <f t="shared" si="19"/>
        <v>3.8966911975402157E-4</v>
      </c>
      <c r="W172" s="83">
        <f t="shared" si="19"/>
        <v>7.103760750506883E-4</v>
      </c>
      <c r="X172" s="83">
        <f t="shared" si="19"/>
        <v>3.7800783994004674E-4</v>
      </c>
      <c r="Y172" s="83">
        <f t="shared" si="19"/>
        <v>4.2240972970657403E-4</v>
      </c>
      <c r="Z172" s="83">
        <f t="shared" si="19"/>
        <v>9.7894000986826547E-4</v>
      </c>
      <c r="AA172" s="83">
        <f t="shared" si="19"/>
        <v>1.0110115348487517E-3</v>
      </c>
      <c r="AB172" s="83">
        <f t="shared" si="19"/>
        <v>9.7292515512071122E-4</v>
      </c>
      <c r="AC172" s="83">
        <f t="shared" si="19"/>
        <v>9.7364820814224815E-4</v>
      </c>
      <c r="AD172" s="83">
        <f t="shared" si="19"/>
        <v>5.3837863380744549E-4</v>
      </c>
      <c r="AE172" s="83">
        <f t="shared" si="19"/>
        <v>7.0303642386192536E-6</v>
      </c>
      <c r="AF172" s="83">
        <f t="shared" si="19"/>
        <v>2.4926965558279989E-4</v>
      </c>
      <c r="AG172" s="83">
        <f t="shared" si="19"/>
        <v>2.5521608725604468E-4</v>
      </c>
      <c r="AH172" s="83">
        <f t="shared" si="19"/>
        <v>3.3501844424895086E-4</v>
      </c>
      <c r="AI172" s="83">
        <f t="shared" si="19"/>
        <v>1.7670595046929966E-4</v>
      </c>
      <c r="AJ172" s="83">
        <f t="shared" si="19"/>
        <v>4.3763994542910623E-4</v>
      </c>
      <c r="AK172" s="83">
        <f t="shared" si="19"/>
        <v>5.1749359579850282E-4</v>
      </c>
    </row>
    <row r="173" spans="2:37">
      <c r="B173" s="81" t="s">
        <v>131</v>
      </c>
      <c r="C173" s="81" t="s">
        <v>132</v>
      </c>
      <c r="D173" s="83">
        <f t="shared" si="19"/>
        <v>2.3491017441887702E-3</v>
      </c>
      <c r="E173" s="83">
        <f t="shared" si="19"/>
        <v>6.4867759398303864E-3</v>
      </c>
      <c r="F173" s="83">
        <f t="shared" si="19"/>
        <v>4.1839553316238894E-3</v>
      </c>
      <c r="G173" s="83">
        <f t="shared" si="19"/>
        <v>8.520821346366789E-3</v>
      </c>
      <c r="H173" s="83">
        <f t="shared" si="19"/>
        <v>8.4880589350990639E-3</v>
      </c>
      <c r="I173" s="83">
        <f t="shared" si="19"/>
        <v>3.124031465011552E-3</v>
      </c>
      <c r="J173" s="83">
        <f t="shared" si="19"/>
        <v>4.4596925967611009E-3</v>
      </c>
      <c r="K173" s="83">
        <f t="shared" si="19"/>
        <v>5.1617156175960402E-3</v>
      </c>
      <c r="L173" s="83">
        <f t="shared" si="19"/>
        <v>5.1583630393137033E-3</v>
      </c>
      <c r="M173" s="83">
        <f t="shared" si="19"/>
        <v>6.9397515836703708E-3</v>
      </c>
      <c r="N173" s="83">
        <f t="shared" si="19"/>
        <v>6.882553100755839E-3</v>
      </c>
      <c r="O173" s="83">
        <f t="shared" si="19"/>
        <v>2.8386389579282741E-3</v>
      </c>
      <c r="P173" s="83">
        <f t="shared" si="19"/>
        <v>9.8422393465384889E-4</v>
      </c>
      <c r="Q173" s="83">
        <f t="shared" si="19"/>
        <v>9.7579649556276901E-4</v>
      </c>
      <c r="R173" s="83">
        <f t="shared" si="19"/>
        <v>9.7379840067199255E-4</v>
      </c>
      <c r="S173" s="83">
        <f t="shared" si="19"/>
        <v>5.9231552905522145E-3</v>
      </c>
      <c r="T173" s="83">
        <f t="shared" si="19"/>
        <v>5.7111345879926334E-3</v>
      </c>
      <c r="U173" s="83">
        <f t="shared" si="19"/>
        <v>4.5546163847885015E-3</v>
      </c>
      <c r="V173" s="83">
        <f t="shared" si="19"/>
        <v>2.2908747943722403E-3</v>
      </c>
      <c r="W173" s="83">
        <f t="shared" si="19"/>
        <v>4.176319247175579E-3</v>
      </c>
      <c r="X173" s="83">
        <f t="shared" si="19"/>
        <v>2.2223178299075625E-3</v>
      </c>
      <c r="Y173" s="83">
        <f t="shared" si="19"/>
        <v>2.4833576838042526E-3</v>
      </c>
      <c r="Z173" s="83">
        <f t="shared" si="19"/>
        <v>5.7552135391826407E-3</v>
      </c>
      <c r="AA173" s="83">
        <f t="shared" si="19"/>
        <v>5.9437628608256868E-3</v>
      </c>
      <c r="AB173" s="83">
        <f t="shared" si="19"/>
        <v>5.719852053156553E-3</v>
      </c>
      <c r="AC173" s="83">
        <f t="shared" si="19"/>
        <v>5.7241029004986765E-3</v>
      </c>
      <c r="AD173" s="83">
        <f t="shared" si="19"/>
        <v>3.1651418588072799E-3</v>
      </c>
      <c r="AE173" s="83">
        <f t="shared" si="19"/>
        <v>4.1331692487399449E-5</v>
      </c>
      <c r="AF173" s="83">
        <f t="shared" si="19"/>
        <v>1.4654627272927302E-3</v>
      </c>
      <c r="AG173" s="83">
        <f t="shared" si="19"/>
        <v>1.5004219523021241E-3</v>
      </c>
      <c r="AH173" s="83">
        <f t="shared" si="19"/>
        <v>1.9695820650715008E-3</v>
      </c>
      <c r="AI173" s="83">
        <f t="shared" si="19"/>
        <v>1.0388588354172045E-3</v>
      </c>
      <c r="AJ173" s="83">
        <f t="shared" si="19"/>
        <v>2.5728965144244925E-3</v>
      </c>
      <c r="AK173" s="83">
        <f t="shared" si="19"/>
        <v>3.042358182275785E-3</v>
      </c>
    </row>
    <row r="174" spans="2:37">
      <c r="B174" s="81" t="s">
        <v>133</v>
      </c>
      <c r="C174" s="81" t="s">
        <v>134</v>
      </c>
      <c r="D174" s="83">
        <f t="shared" si="19"/>
        <v>3.6847626982182266E-3</v>
      </c>
      <c r="E174" s="83">
        <f t="shared" si="19"/>
        <v>1.1975121358227451E-2</v>
      </c>
      <c r="F174" s="83">
        <f t="shared" si="19"/>
        <v>1.5604794382208248E-2</v>
      </c>
      <c r="G174" s="83">
        <f t="shared" si="19"/>
        <v>2.5766867388406764E-2</v>
      </c>
      <c r="H174" s="83">
        <f t="shared" si="19"/>
        <v>2.5667794227247371E-2</v>
      </c>
      <c r="I174" s="83">
        <f t="shared" si="19"/>
        <v>4.9600436211892258E-3</v>
      </c>
      <c r="J174" s="83">
        <f t="shared" si="19"/>
        <v>9.6770104913533241E-3</v>
      </c>
      <c r="K174" s="83">
        <f t="shared" si="19"/>
        <v>2.0876822922645803E-2</v>
      </c>
      <c r="L174" s="83">
        <f t="shared" si="19"/>
        <v>2.0863263248243214E-2</v>
      </c>
      <c r="M174" s="83">
        <f t="shared" si="19"/>
        <v>5.059022467564523E-2</v>
      </c>
      <c r="N174" s="83">
        <f t="shared" si="19"/>
        <v>4.0660253987378776E-2</v>
      </c>
      <c r="O174" s="83">
        <f t="shared" si="19"/>
        <v>4.2746848695024752E-3</v>
      </c>
      <c r="P174" s="83">
        <f t="shared" si="19"/>
        <v>3.820873627024502E-3</v>
      </c>
      <c r="Q174" s="83">
        <f t="shared" si="19"/>
        <v>3.7881573125428804E-3</v>
      </c>
      <c r="R174" s="83">
        <f t="shared" si="19"/>
        <v>3.7804004720479018E-3</v>
      </c>
      <c r="S174" s="83">
        <f t="shared" si="19"/>
        <v>1.0720848378623759E-2</v>
      </c>
      <c r="T174" s="83">
        <f t="shared" si="19"/>
        <v>9.8784178117116619E-3</v>
      </c>
      <c r="U174" s="83">
        <f t="shared" si="19"/>
        <v>1.6952128423847152E-2</v>
      </c>
      <c r="V174" s="83">
        <f t="shared" si="19"/>
        <v>3.9827269669996685E-3</v>
      </c>
      <c r="W174" s="83">
        <f t="shared" si="19"/>
        <v>1.3550654182434417E-2</v>
      </c>
      <c r="X174" s="83">
        <f t="shared" si="19"/>
        <v>6.9133502876014942E-3</v>
      </c>
      <c r="Y174" s="83">
        <f t="shared" si="19"/>
        <v>9.1824556282843646E-3</v>
      </c>
      <c r="Z174" s="83">
        <f t="shared" si="19"/>
        <v>1.3094769342210081E-2</v>
      </c>
      <c r="AA174" s="83">
        <f t="shared" si="19"/>
        <v>1.352377338519427E-2</v>
      </c>
      <c r="AB174" s="83">
        <f t="shared" si="19"/>
        <v>1.3014311771008452E-2</v>
      </c>
      <c r="AC174" s="83">
        <f t="shared" si="19"/>
        <v>1.3023983673723358E-2</v>
      </c>
      <c r="AD174" s="83">
        <f t="shared" si="19"/>
        <v>3.7245050009399601E-2</v>
      </c>
      <c r="AE174" s="83">
        <f t="shared" si="19"/>
        <v>3.2879706762553015E-4</v>
      </c>
      <c r="AF174" s="83">
        <f t="shared" si="19"/>
        <v>2.9414063926136456E-2</v>
      </c>
      <c r="AG174" s="83">
        <f t="shared" si="19"/>
        <v>3.0115748697836016E-2</v>
      </c>
      <c r="AH174" s="83">
        <f t="shared" si="19"/>
        <v>2.8306586033692401E-2</v>
      </c>
      <c r="AI174" s="83">
        <f t="shared" si="19"/>
        <v>2.6019081981154234E-3</v>
      </c>
      <c r="AJ174" s="83">
        <f t="shared" si="19"/>
        <v>6.15863464357202E-3</v>
      </c>
      <c r="AK174" s="83">
        <f t="shared" si="19"/>
        <v>3.582415534793397E-2</v>
      </c>
    </row>
    <row r="175" spans="2:37">
      <c r="B175" s="81" t="s">
        <v>135</v>
      </c>
      <c r="C175" s="81" t="s">
        <v>136</v>
      </c>
      <c r="D175" s="83">
        <f t="shared" si="19"/>
        <v>8.7141476836268412E-5</v>
      </c>
      <c r="E175" s="83">
        <f t="shared" si="19"/>
        <v>2.6982388962783856E-3</v>
      </c>
      <c r="F175" s="83">
        <f t="shared" si="19"/>
        <v>1.7976712134810068E-2</v>
      </c>
      <c r="G175" s="83">
        <f t="shared" si="19"/>
        <v>1.4927821717334929E-3</v>
      </c>
      <c r="H175" s="83">
        <f t="shared" si="19"/>
        <v>1.4870424500029913E-3</v>
      </c>
      <c r="I175" s="83">
        <f t="shared" si="19"/>
        <v>2.3339007357221107E-3</v>
      </c>
      <c r="J175" s="83">
        <f t="shared" si="19"/>
        <v>1.2113363587644622E-2</v>
      </c>
      <c r="K175" s="83">
        <f t="shared" si="19"/>
        <v>3.2173752122562605E-3</v>
      </c>
      <c r="L175" s="83">
        <f t="shared" si="19"/>
        <v>3.2152854996370934E-3</v>
      </c>
      <c r="M175" s="83">
        <f t="shared" si="19"/>
        <v>3.376360551493476E-3</v>
      </c>
      <c r="N175" s="83">
        <f t="shared" si="19"/>
        <v>3.3485320768010599E-3</v>
      </c>
      <c r="O175" s="83">
        <f t="shared" si="19"/>
        <v>1.0090968399617607E-4</v>
      </c>
      <c r="P175" s="83">
        <f t="shared" si="19"/>
        <v>5.9228954443990489E-3</v>
      </c>
      <c r="Q175" s="83">
        <f t="shared" si="19"/>
        <v>5.8721805218666448E-3</v>
      </c>
      <c r="R175" s="83">
        <f t="shared" si="19"/>
        <v>5.8601563201485614E-3</v>
      </c>
      <c r="S175" s="83">
        <f t="shared" si="19"/>
        <v>9.5939971542601775E-3</v>
      </c>
      <c r="T175" s="83">
        <f t="shared" si="19"/>
        <v>9.1623971259828657E-3</v>
      </c>
      <c r="U175" s="83">
        <f t="shared" si="19"/>
        <v>4.7211292251616034E-5</v>
      </c>
      <c r="V175" s="83">
        <f t="shared" si="19"/>
        <v>1.4619358520488771E-2</v>
      </c>
      <c r="W175" s="83">
        <f t="shared" si="19"/>
        <v>1.0763647234823816E-2</v>
      </c>
      <c r="X175" s="83">
        <f t="shared" si="19"/>
        <v>2.470030132012105E-3</v>
      </c>
      <c r="Y175" s="83">
        <f t="shared" si="19"/>
        <v>1.536582682390436E-2</v>
      </c>
      <c r="Z175" s="83">
        <f t="shared" si="19"/>
        <v>1.6675705128523493E-2</v>
      </c>
      <c r="AA175" s="83">
        <f t="shared" si="19"/>
        <v>1.7222025932868399E-2</v>
      </c>
      <c r="AB175" s="83">
        <f t="shared" si="19"/>
        <v>1.657324538313559E-2</v>
      </c>
      <c r="AC175" s="83">
        <f t="shared" si="19"/>
        <v>1.6585562194030894E-2</v>
      </c>
      <c r="AD175" s="83">
        <f t="shared" si="19"/>
        <v>1.1211048842203508E-2</v>
      </c>
      <c r="AE175" s="83">
        <f t="shared" si="19"/>
        <v>0.820445222435774</v>
      </c>
      <c r="AF175" s="83">
        <f t="shared" si="19"/>
        <v>9.6692105071722045E-3</v>
      </c>
      <c r="AG175" s="83">
        <f t="shared" si="19"/>
        <v>9.8998735595228551E-3</v>
      </c>
      <c r="AH175" s="83">
        <f t="shared" si="19"/>
        <v>6.4533392517077707E-3</v>
      </c>
      <c r="AI175" s="83">
        <f t="shared" si="19"/>
        <v>5.0377752237353362E-3</v>
      </c>
      <c r="AJ175" s="83">
        <f t="shared" si="19"/>
        <v>0</v>
      </c>
      <c r="AK175" s="83">
        <f t="shared" si="19"/>
        <v>3.0656818425255621E-2</v>
      </c>
    </row>
    <row r="176" spans="2:37">
      <c r="B176" s="81" t="s">
        <v>137</v>
      </c>
      <c r="C176" s="81" t="s">
        <v>138</v>
      </c>
      <c r="D176" s="83">
        <f t="shared" si="19"/>
        <v>3.5327480869639451E-4</v>
      </c>
      <c r="E176" s="83">
        <f t="shared" si="19"/>
        <v>6.6937488564741923E-2</v>
      </c>
      <c r="F176" s="83">
        <f t="shared" si="19"/>
        <v>1.0576998050700281E-2</v>
      </c>
      <c r="G176" s="83">
        <f t="shared" si="19"/>
        <v>1.8626592841687183E-2</v>
      </c>
      <c r="H176" s="83">
        <f t="shared" si="19"/>
        <v>1.855497391313695E-2</v>
      </c>
      <c r="I176" s="83">
        <f t="shared" si="19"/>
        <v>2.9211759298919883E-3</v>
      </c>
      <c r="J176" s="83">
        <f t="shared" si="19"/>
        <v>4.6706730235239705E-2</v>
      </c>
      <c r="K176" s="83">
        <f t="shared" si="19"/>
        <v>7.0035897616246325E-3</v>
      </c>
      <c r="L176" s="83">
        <f t="shared" si="19"/>
        <v>6.9990408703891286E-3</v>
      </c>
      <c r="M176" s="83">
        <f t="shared" si="19"/>
        <v>2.5179089097491579E-2</v>
      </c>
      <c r="N176" s="83">
        <f t="shared" si="19"/>
        <v>2.4971559234184221E-2</v>
      </c>
      <c r="O176" s="83">
        <f t="shared" si="19"/>
        <v>1.7820989327626722E-3</v>
      </c>
      <c r="P176" s="83">
        <f t="shared" si="19"/>
        <v>6.2664943742536897E-3</v>
      </c>
      <c r="Q176" s="83">
        <f t="shared" si="19"/>
        <v>6.2128373783260828E-3</v>
      </c>
      <c r="R176" s="83">
        <f t="shared" si="19"/>
        <v>6.2001156287816821E-3</v>
      </c>
      <c r="S176" s="83">
        <f t="shared" si="19"/>
        <v>5.0843967854064176E-3</v>
      </c>
      <c r="T176" s="83">
        <f t="shared" si="19"/>
        <v>1.8408009473496148E-3</v>
      </c>
      <c r="U176" s="83">
        <f t="shared" si="19"/>
        <v>2.5275645227947389E-3</v>
      </c>
      <c r="V176" s="83">
        <f t="shared" si="19"/>
        <v>2.6564292346435334E-3</v>
      </c>
      <c r="W176" s="83">
        <f t="shared" si="19"/>
        <v>1.7057416937128117E-2</v>
      </c>
      <c r="X176" s="83">
        <f t="shared" si="19"/>
        <v>5.1969782423943378E-3</v>
      </c>
      <c r="Y176" s="83">
        <f t="shared" si="19"/>
        <v>2.2819378976319679E-2</v>
      </c>
      <c r="Z176" s="83">
        <f t="shared" si="19"/>
        <v>2.0228187853133073E-2</v>
      </c>
      <c r="AA176" s="83">
        <f t="shared" si="19"/>
        <v>2.0890893254385267E-2</v>
      </c>
      <c r="AB176" s="83">
        <f t="shared" si="19"/>
        <v>2.0103900756358525E-2</v>
      </c>
      <c r="AC176" s="83">
        <f t="shared" si="19"/>
        <v>2.0118841459772299E-2</v>
      </c>
      <c r="AD176" s="83">
        <f t="shared" si="19"/>
        <v>8.3494607691066442E-3</v>
      </c>
      <c r="AE176" s="83">
        <f t="shared" si="19"/>
        <v>0</v>
      </c>
      <c r="AF176" s="83">
        <f t="shared" si="19"/>
        <v>3.2244142679931906E-2</v>
      </c>
      <c r="AG176" s="83">
        <f t="shared" si="19"/>
        <v>3.3013340161511869E-2</v>
      </c>
      <c r="AH176" s="83">
        <f t="shared" si="19"/>
        <v>9.9171381988220507E-4</v>
      </c>
      <c r="AI176" s="83">
        <f t="shared" si="19"/>
        <v>7.1441737971614447E-3</v>
      </c>
      <c r="AJ176" s="83">
        <f t="shared" si="19"/>
        <v>1.6766442268730926E-2</v>
      </c>
      <c r="AK176" s="83">
        <f t="shared" si="19"/>
        <v>3.3980345033571717E-2</v>
      </c>
    </row>
    <row r="177" spans="2:37">
      <c r="B177" s="81" t="s">
        <v>139</v>
      </c>
      <c r="C177" s="81" t="s">
        <v>140</v>
      </c>
      <c r="D177" s="83">
        <f t="shared" si="19"/>
        <v>2.6523001217544293E-4</v>
      </c>
      <c r="E177" s="83">
        <f t="shared" si="19"/>
        <v>5.5755295491403012E-2</v>
      </c>
      <c r="F177" s="83">
        <f t="shared" si="19"/>
        <v>7.9409492347295892E-3</v>
      </c>
      <c r="G177" s="83">
        <f t="shared" si="19"/>
        <v>1.3984386445265794E-2</v>
      </c>
      <c r="H177" s="83">
        <f t="shared" si="19"/>
        <v>1.3930616720327057E-2</v>
      </c>
      <c r="I177" s="83">
        <f t="shared" si="19"/>
        <v>2.1931468318130715E-3</v>
      </c>
      <c r="J177" s="83">
        <f t="shared" si="19"/>
        <v>3.5066260950449395E-2</v>
      </c>
      <c r="K177" s="83">
        <f t="shared" si="19"/>
        <v>5.258122436190775E-3</v>
      </c>
      <c r="L177" s="83">
        <f t="shared" si="19"/>
        <v>5.2547072408581806E-3</v>
      </c>
      <c r="M177" s="83">
        <f t="shared" si="19"/>
        <v>1.8903839004364417E-2</v>
      </c>
      <c r="N177" s="83">
        <f t="shared" si="19"/>
        <v>1.8748030702111305E-2</v>
      </c>
      <c r="O177" s="83">
        <f t="shared" si="19"/>
        <v>1.3379559198649249E-3</v>
      </c>
      <c r="P177" s="83">
        <f t="shared" si="19"/>
        <v>4.7047294012097143E-3</v>
      </c>
      <c r="Q177" s="83">
        <f t="shared" si="19"/>
        <v>4.6644450522189034E-3</v>
      </c>
      <c r="R177" s="83">
        <f t="shared" si="19"/>
        <v>4.6548938764670901E-3</v>
      </c>
      <c r="S177" s="83">
        <f t="shared" si="19"/>
        <v>3.8172396901842635E-3</v>
      </c>
      <c r="T177" s="83">
        <f t="shared" si="19"/>
        <v>1.382027944420176E-3</v>
      </c>
      <c r="U177" s="83">
        <f t="shared" si="19"/>
        <v>1.8976330965370406E-3</v>
      </c>
      <c r="V177" s="83">
        <f t="shared" si="19"/>
        <v>1.9943815435003523E-3</v>
      </c>
      <c r="W177" s="83">
        <f t="shared" si="19"/>
        <v>1.2806287882825408E-2</v>
      </c>
      <c r="X177" s="83">
        <f t="shared" si="19"/>
        <v>3.9017630710554523E-3</v>
      </c>
      <c r="Y177" s="83">
        <f t="shared" si="19"/>
        <v>1.7132226852118397E-2</v>
      </c>
      <c r="Z177" s="83">
        <f t="shared" si="19"/>
        <v>1.5186824473477904E-2</v>
      </c>
      <c r="AA177" s="83">
        <f t="shared" si="19"/>
        <v>1.5684367341851392E-2</v>
      </c>
      <c r="AB177" s="83">
        <f t="shared" si="19"/>
        <v>1.5093512786996853E-2</v>
      </c>
      <c r="AC177" s="83">
        <f t="shared" si="19"/>
        <v>1.5104729898579141E-2</v>
      </c>
      <c r="AD177" s="83">
        <f t="shared" si="19"/>
        <v>6.2685691901449014E-3</v>
      </c>
      <c r="AE177" s="83">
        <f t="shared" si="19"/>
        <v>0</v>
      </c>
      <c r="AF177" s="83">
        <f t="shared" si="19"/>
        <v>2.778548024227363E-2</v>
      </c>
      <c r="AG177" s="83">
        <f t="shared" si="19"/>
        <v>2.8448314470461845E-2</v>
      </c>
      <c r="AH177" s="83">
        <f t="shared" si="19"/>
        <v>7.445542734635383E-4</v>
      </c>
      <c r="AI177" s="83">
        <f t="shared" si="19"/>
        <v>5.3636694622996904E-3</v>
      </c>
      <c r="AJ177" s="83">
        <f t="shared" si="19"/>
        <v>1.258783127923551E-2</v>
      </c>
      <c r="AK177" s="83">
        <f t="shared" si="19"/>
        <v>2.5511604861487642E-2</v>
      </c>
    </row>
    <row r="178" spans="2:37">
      <c r="B178" s="81" t="s">
        <v>141</v>
      </c>
      <c r="C178" s="81" t="s">
        <v>142</v>
      </c>
      <c r="D178" s="83">
        <f t="shared" si="19"/>
        <v>0</v>
      </c>
      <c r="E178" s="83">
        <f t="shared" si="19"/>
        <v>0</v>
      </c>
      <c r="F178" s="83">
        <f t="shared" si="19"/>
        <v>0</v>
      </c>
      <c r="G178" s="83">
        <f t="shared" si="19"/>
        <v>0</v>
      </c>
      <c r="H178" s="83">
        <f t="shared" si="19"/>
        <v>0</v>
      </c>
      <c r="I178" s="83">
        <f t="shared" si="19"/>
        <v>0</v>
      </c>
      <c r="J178" s="83">
        <f t="shared" si="19"/>
        <v>0</v>
      </c>
      <c r="K178" s="83">
        <f t="shared" si="19"/>
        <v>0</v>
      </c>
      <c r="L178" s="83">
        <f t="shared" si="19"/>
        <v>0</v>
      </c>
      <c r="M178" s="83">
        <f t="shared" si="19"/>
        <v>5.6557811455286598E-3</v>
      </c>
      <c r="N178" s="83">
        <f t="shared" si="19"/>
        <v>5.6091653412998843E-3</v>
      </c>
      <c r="O178" s="83">
        <f t="shared" si="19"/>
        <v>0</v>
      </c>
      <c r="P178" s="83">
        <f t="shared" si="19"/>
        <v>0</v>
      </c>
      <c r="Q178" s="83">
        <f t="shared" si="19"/>
        <v>0</v>
      </c>
      <c r="R178" s="83">
        <f t="shared" si="19"/>
        <v>0</v>
      </c>
      <c r="S178" s="83">
        <f t="shared" si="19"/>
        <v>0</v>
      </c>
      <c r="T178" s="83">
        <f t="shared" si="19"/>
        <v>0</v>
      </c>
      <c r="U178" s="83">
        <f t="shared" si="19"/>
        <v>0</v>
      </c>
      <c r="V178" s="83">
        <f t="shared" si="19"/>
        <v>0</v>
      </c>
      <c r="W178" s="83">
        <f t="shared" si="19"/>
        <v>0</v>
      </c>
      <c r="X178" s="83">
        <f t="shared" si="19"/>
        <v>0</v>
      </c>
      <c r="Y178" s="83">
        <f t="shared" si="19"/>
        <v>4.2820852920065017E-4</v>
      </c>
      <c r="Z178" s="83">
        <f t="shared" si="19"/>
        <v>3.4142665101174584E-6</v>
      </c>
      <c r="AA178" s="83">
        <f t="shared" si="19"/>
        <v>3.526122939076783E-6</v>
      </c>
      <c r="AB178" s="83">
        <f t="shared" si="19"/>
        <v>3.3932883940727807E-6</v>
      </c>
      <c r="AC178" s="83">
        <f t="shared" si="19"/>
        <v>3.3958101989756063E-6</v>
      </c>
      <c r="AD178" s="83">
        <f t="shared" si="19"/>
        <v>6.3902626906750808E-5</v>
      </c>
      <c r="AE178" s="83">
        <f t="shared" si="19"/>
        <v>0</v>
      </c>
      <c r="AF178" s="83">
        <f t="shared" si="19"/>
        <v>3.2048127956258478E-3</v>
      </c>
      <c r="AG178" s="83">
        <f t="shared" si="19"/>
        <v>3.281264942479308E-3</v>
      </c>
      <c r="AH178" s="83">
        <f t="shared" si="19"/>
        <v>1.789613326098773E-3</v>
      </c>
      <c r="AI178" s="83">
        <f t="shared" si="19"/>
        <v>0</v>
      </c>
      <c r="AJ178" s="83">
        <f t="shared" si="19"/>
        <v>0</v>
      </c>
      <c r="AK178" s="83">
        <f t="shared" si="19"/>
        <v>4.8345385268578104E-4</v>
      </c>
    </row>
    <row r="179" spans="2:37">
      <c r="B179" s="81" t="s">
        <v>143</v>
      </c>
      <c r="C179" s="81" t="s">
        <v>144</v>
      </c>
      <c r="D179" s="83">
        <f t="shared" si="19"/>
        <v>0</v>
      </c>
      <c r="E179" s="83">
        <f t="shared" si="19"/>
        <v>0</v>
      </c>
      <c r="F179" s="83">
        <f t="shared" si="19"/>
        <v>1.9660628479384818E-3</v>
      </c>
      <c r="G179" s="83">
        <f t="shared" si="19"/>
        <v>0</v>
      </c>
      <c r="H179" s="83">
        <f t="shared" si="19"/>
        <v>0</v>
      </c>
      <c r="I179" s="83">
        <f t="shared" si="19"/>
        <v>0</v>
      </c>
      <c r="J179" s="83">
        <f t="shared" si="19"/>
        <v>0</v>
      </c>
      <c r="K179" s="83">
        <f t="shared" si="19"/>
        <v>9.9059430172859959E-4</v>
      </c>
      <c r="L179" s="83">
        <f t="shared" si="19"/>
        <v>9.8995090228767217E-4</v>
      </c>
      <c r="M179" s="83">
        <f t="shared" si="19"/>
        <v>0</v>
      </c>
      <c r="N179" s="83">
        <f t="shared" si="19"/>
        <v>0</v>
      </c>
      <c r="O179" s="83">
        <f t="shared" si="19"/>
        <v>0</v>
      </c>
      <c r="P179" s="83">
        <f t="shared" si="19"/>
        <v>7.9876031679725068E-3</v>
      </c>
      <c r="Q179" s="83">
        <f t="shared" si="19"/>
        <v>7.9192091401382413E-3</v>
      </c>
      <c r="R179" s="83">
        <f t="shared" si="19"/>
        <v>7.9029933293684636E-3</v>
      </c>
      <c r="S179" s="83">
        <f t="shared" si="19"/>
        <v>3.490828481401045E-4</v>
      </c>
      <c r="T179" s="83">
        <f t="shared" si="19"/>
        <v>2.4267706499053678E-3</v>
      </c>
      <c r="U179" s="83">
        <f t="shared" ref="U179:AK179" si="20">U39/U$84</f>
        <v>1.2470019153149216E-4</v>
      </c>
      <c r="V179" s="83">
        <f t="shared" si="20"/>
        <v>0</v>
      </c>
      <c r="W179" s="83">
        <f t="shared" si="20"/>
        <v>2.5015443999035284E-4</v>
      </c>
      <c r="X179" s="83">
        <f t="shared" si="20"/>
        <v>5.2851227482216695E-4</v>
      </c>
      <c r="Y179" s="83">
        <f t="shared" si="20"/>
        <v>6.6229427205176112E-4</v>
      </c>
      <c r="Z179" s="83">
        <f t="shared" si="20"/>
        <v>3.8073987977091969E-4</v>
      </c>
      <c r="AA179" s="83">
        <f t="shared" si="20"/>
        <v>3.9321348228184706E-4</v>
      </c>
      <c r="AB179" s="83">
        <f t="shared" si="20"/>
        <v>3.7840051775655815E-4</v>
      </c>
      <c r="AC179" s="83">
        <f t="shared" si="20"/>
        <v>3.7868173531607372E-4</v>
      </c>
      <c r="AD179" s="83">
        <f t="shared" si="20"/>
        <v>1.0201640980933922E-3</v>
      </c>
      <c r="AE179" s="83">
        <f t="shared" si="20"/>
        <v>1.1361063890195941E-4</v>
      </c>
      <c r="AF179" s="83">
        <f t="shared" si="20"/>
        <v>3.1318500656415437E-3</v>
      </c>
      <c r="AG179" s="83">
        <f t="shared" si="20"/>
        <v>3.2065616561182944E-3</v>
      </c>
      <c r="AH179" s="83">
        <f t="shared" si="20"/>
        <v>4.0496541652982644E-3</v>
      </c>
      <c r="AI179" s="83">
        <f t="shared" si="20"/>
        <v>1.2734697025040294E-2</v>
      </c>
      <c r="AJ179" s="83">
        <f t="shared" si="20"/>
        <v>2.1552044472969794E-3</v>
      </c>
      <c r="AK179" s="83">
        <f t="shared" si="20"/>
        <v>3.8930823037157361E-3</v>
      </c>
    </row>
    <row r="180" spans="2:37">
      <c r="B180" s="81" t="s">
        <v>145</v>
      </c>
      <c r="C180" s="81" t="s">
        <v>146</v>
      </c>
      <c r="D180" s="83">
        <f t="shared" ref="D180:AK181" si="21">D40/D$84</f>
        <v>7.5786554267655679E-7</v>
      </c>
      <c r="E180" s="83">
        <f t="shared" si="21"/>
        <v>4.0956819866904478E-4</v>
      </c>
      <c r="F180" s="83">
        <f t="shared" si="21"/>
        <v>3.1268532947143602E-4</v>
      </c>
      <c r="G180" s="83">
        <f t="shared" si="21"/>
        <v>4.9853414621017181E-4</v>
      </c>
      <c r="H180" s="83">
        <f t="shared" si="21"/>
        <v>4.9661729100746301E-4</v>
      </c>
      <c r="I180" s="83">
        <f t="shared" si="21"/>
        <v>0</v>
      </c>
      <c r="J180" s="83">
        <f t="shared" si="21"/>
        <v>4.1805732387073779E-4</v>
      </c>
      <c r="K180" s="83">
        <f t="shared" si="21"/>
        <v>9.9249578419714855E-4</v>
      </c>
      <c r="L180" s="83">
        <f t="shared" si="21"/>
        <v>9.9185114972715946E-4</v>
      </c>
      <c r="M180" s="83">
        <f t="shared" si="21"/>
        <v>3.7056613193747165E-4</v>
      </c>
      <c r="N180" s="83">
        <f t="shared" si="21"/>
        <v>3.6751186979123052E-4</v>
      </c>
      <c r="O180" s="83">
        <f t="shared" si="21"/>
        <v>0</v>
      </c>
      <c r="P180" s="83">
        <f t="shared" si="21"/>
        <v>6.3398348145545565E-4</v>
      </c>
      <c r="Q180" s="83">
        <f t="shared" si="21"/>
        <v>6.2855498394935442E-4</v>
      </c>
      <c r="R180" s="83">
        <f t="shared" si="21"/>
        <v>6.2726791998907617E-4</v>
      </c>
      <c r="S180" s="83">
        <f t="shared" si="21"/>
        <v>0</v>
      </c>
      <c r="T180" s="83">
        <f t="shared" si="21"/>
        <v>4.5461429316272516E-4</v>
      </c>
      <c r="U180" s="83">
        <f t="shared" si="21"/>
        <v>2.525612427243835E-4</v>
      </c>
      <c r="V180" s="83">
        <f t="shared" si="21"/>
        <v>6.7187974401559838E-4</v>
      </c>
      <c r="W180" s="83">
        <f t="shared" si="21"/>
        <v>2.3428888457426177E-4</v>
      </c>
      <c r="X180" s="83">
        <f t="shared" si="21"/>
        <v>3.7157607853834307E-5</v>
      </c>
      <c r="Y180" s="83">
        <f t="shared" si="21"/>
        <v>2.3352077364111455E-4</v>
      </c>
      <c r="Z180" s="83">
        <f t="shared" si="21"/>
        <v>1.8002712938779329E-4</v>
      </c>
      <c r="AA180" s="83">
        <f t="shared" si="21"/>
        <v>1.8592508484892786E-4</v>
      </c>
      <c r="AB180" s="83">
        <f t="shared" si="21"/>
        <v>1.7892099722139734E-4</v>
      </c>
      <c r="AC180" s="83">
        <f t="shared" si="21"/>
        <v>1.7905396671753622E-4</v>
      </c>
      <c r="AD180" s="83">
        <f t="shared" si="21"/>
        <v>4.3608687891026733E-5</v>
      </c>
      <c r="AE180" s="83">
        <f t="shared" si="21"/>
        <v>5.3202553320934301E-6</v>
      </c>
      <c r="AF180" s="83">
        <f t="shared" si="21"/>
        <v>2.7498924460475757E-4</v>
      </c>
      <c r="AG180" s="83">
        <f t="shared" si="21"/>
        <v>2.8154922780887438E-4</v>
      </c>
      <c r="AH180" s="83">
        <f t="shared" si="21"/>
        <v>2.8586224410931888E-3</v>
      </c>
      <c r="AI180" s="83">
        <f t="shared" si="21"/>
        <v>8.4758833389476165E-3</v>
      </c>
      <c r="AJ180" s="83">
        <f t="shared" si="21"/>
        <v>6.5557074447273704E-3</v>
      </c>
      <c r="AK180" s="83">
        <f t="shared" si="21"/>
        <v>3.3588209632126175E-3</v>
      </c>
    </row>
    <row r="181" spans="2:37">
      <c r="B181" s="81" t="s">
        <v>147</v>
      </c>
      <c r="C181" s="81" t="s">
        <v>148</v>
      </c>
      <c r="D181" s="83">
        <f t="shared" si="21"/>
        <v>6.3087058136087264E-7</v>
      </c>
      <c r="E181" s="83">
        <f t="shared" si="21"/>
        <v>3.6556253285246389E-3</v>
      </c>
      <c r="F181" s="83">
        <f t="shared" si="21"/>
        <v>1.4505107526118705E-3</v>
      </c>
      <c r="G181" s="83">
        <f t="shared" si="21"/>
        <v>5.5859470117126291E-4</v>
      </c>
      <c r="H181" s="83">
        <f t="shared" si="21"/>
        <v>5.5644691416954024E-4</v>
      </c>
      <c r="I181" s="83">
        <f t="shared" si="21"/>
        <v>3.7848246128765971E-3</v>
      </c>
      <c r="J181" s="83">
        <f t="shared" si="21"/>
        <v>3.705346124466448E-3</v>
      </c>
      <c r="K181" s="83">
        <f t="shared" si="21"/>
        <v>7.9150729127594483E-3</v>
      </c>
      <c r="L181" s="83">
        <f t="shared" si="21"/>
        <v>7.9099320054495086E-3</v>
      </c>
      <c r="M181" s="83">
        <f t="shared" si="21"/>
        <v>2.3285462106284825E-3</v>
      </c>
      <c r="N181" s="83">
        <f t="shared" si="21"/>
        <v>2.3093539803247798E-3</v>
      </c>
      <c r="O181" s="83">
        <f t="shared" si="21"/>
        <v>0</v>
      </c>
      <c r="P181" s="83">
        <f t="shared" si="21"/>
        <v>3.0143369900661305E-3</v>
      </c>
      <c r="Q181" s="83">
        <f t="shared" si="21"/>
        <v>2.9885266632803538E-3</v>
      </c>
      <c r="R181" s="83">
        <f t="shared" si="21"/>
        <v>2.9824071907428133E-3</v>
      </c>
      <c r="S181" s="83">
        <f t="shared" si="21"/>
        <v>9.0719122195788752E-4</v>
      </c>
      <c r="T181" s="83">
        <f t="shared" si="21"/>
        <v>1.3688739064326642E-3</v>
      </c>
      <c r="U181" s="83">
        <f t="shared" si="21"/>
        <v>4.4536875838859635E-3</v>
      </c>
      <c r="V181" s="83">
        <f t="shared" si="21"/>
        <v>9.9429930413301396E-3</v>
      </c>
      <c r="W181" s="83">
        <f t="shared" si="21"/>
        <v>5.2794868965373972E-3</v>
      </c>
      <c r="X181" s="83">
        <f t="shared" si="21"/>
        <v>1.7811763656380962E-3</v>
      </c>
      <c r="Y181" s="83">
        <f t="shared" si="21"/>
        <v>1.4977339330500456E-2</v>
      </c>
      <c r="Z181" s="83">
        <f t="shared" si="21"/>
        <v>2.678254985947448E-3</v>
      </c>
      <c r="AA181" s="83">
        <f t="shared" si="21"/>
        <v>2.7659985870057877E-3</v>
      </c>
      <c r="AB181" s="83">
        <f t="shared" si="21"/>
        <v>2.6617991106588786E-3</v>
      </c>
      <c r="AC181" s="83">
        <f t="shared" si="21"/>
        <v>2.6637772914876404E-3</v>
      </c>
      <c r="AD181" s="83">
        <f t="shared" si="21"/>
        <v>4.4968703996874975E-3</v>
      </c>
      <c r="AE181" s="83">
        <f t="shared" si="21"/>
        <v>1.2204964933824643E-4</v>
      </c>
      <c r="AF181" s="83">
        <f t="shared" si="21"/>
        <v>2.5209600212702209E-2</v>
      </c>
      <c r="AG181" s="83">
        <f t="shared" si="21"/>
        <v>2.581098574767305E-2</v>
      </c>
      <c r="AH181" s="83">
        <f t="shared" si="21"/>
        <v>1.52395216388478E-3</v>
      </c>
      <c r="AI181" s="83">
        <f t="shared" si="21"/>
        <v>4.8232536246154648E-3</v>
      </c>
      <c r="AJ181" s="83">
        <f t="shared" si="21"/>
        <v>6.8892948178525927E-3</v>
      </c>
      <c r="AK181" s="83">
        <f t="shared" si="21"/>
        <v>5.5288277597203575E-2</v>
      </c>
    </row>
    <row r="183" spans="2:37">
      <c r="B183" s="24" t="s">
        <v>313</v>
      </c>
    </row>
    <row r="185" spans="2:37" ht="112">
      <c r="B185" s="81"/>
      <c r="C185" s="81"/>
      <c r="D185" s="82" t="s">
        <v>177</v>
      </c>
      <c r="E185" s="82" t="s">
        <v>178</v>
      </c>
      <c r="F185" s="82" t="s">
        <v>179</v>
      </c>
      <c r="G185" s="82" t="s">
        <v>180</v>
      </c>
      <c r="H185" s="82" t="s">
        <v>181</v>
      </c>
      <c r="I185" s="82" t="s">
        <v>182</v>
      </c>
      <c r="J185" s="82" t="s">
        <v>183</v>
      </c>
      <c r="K185" s="82" t="s">
        <v>184</v>
      </c>
      <c r="L185" s="82" t="s">
        <v>185</v>
      </c>
      <c r="M185" s="82" t="s">
        <v>186</v>
      </c>
      <c r="N185" s="82" t="s">
        <v>187</v>
      </c>
      <c r="O185" s="82" t="s">
        <v>188</v>
      </c>
      <c r="P185" s="82" t="s">
        <v>105</v>
      </c>
      <c r="Q185" s="82" t="s">
        <v>189</v>
      </c>
      <c r="R185" s="82" t="s">
        <v>190</v>
      </c>
      <c r="S185" s="82" t="s">
        <v>191</v>
      </c>
      <c r="T185" s="82" t="s">
        <v>192</v>
      </c>
      <c r="U185" s="82" t="s">
        <v>115</v>
      </c>
      <c r="V185" s="82" t="s">
        <v>193</v>
      </c>
      <c r="W185" s="82" t="s">
        <v>194</v>
      </c>
      <c r="X185" s="82" t="s">
        <v>195</v>
      </c>
      <c r="Y185" s="82" t="s">
        <v>196</v>
      </c>
      <c r="Z185" s="82" t="s">
        <v>197</v>
      </c>
      <c r="AA185" s="82" t="s">
        <v>198</v>
      </c>
      <c r="AB185" s="82" t="s">
        <v>199</v>
      </c>
      <c r="AC185" s="82" t="s">
        <v>200</v>
      </c>
      <c r="AD185" s="82" t="s">
        <v>201</v>
      </c>
      <c r="AE185" s="82" t="s">
        <v>202</v>
      </c>
      <c r="AF185" s="82" t="s">
        <v>203</v>
      </c>
      <c r="AG185" s="82" t="s">
        <v>204</v>
      </c>
      <c r="AH185" s="82" t="s">
        <v>205</v>
      </c>
      <c r="AI185" s="82" t="s">
        <v>143</v>
      </c>
      <c r="AJ185" s="82" t="s">
        <v>206</v>
      </c>
      <c r="AK185" s="82" t="s">
        <v>207</v>
      </c>
    </row>
    <row r="186" spans="2:37">
      <c r="B186" s="81"/>
      <c r="C186" s="81"/>
      <c r="D186" s="81" t="s">
        <v>82</v>
      </c>
      <c r="E186" s="81" t="s">
        <v>84</v>
      </c>
      <c r="F186" s="81" t="s">
        <v>86</v>
      </c>
      <c r="G186" s="81" t="s">
        <v>88</v>
      </c>
      <c r="H186" s="81" t="s">
        <v>90</v>
      </c>
      <c r="I186" s="81" t="s">
        <v>92</v>
      </c>
      <c r="J186" s="81" t="s">
        <v>94</v>
      </c>
      <c r="K186" s="81" t="s">
        <v>96</v>
      </c>
      <c r="L186" s="81" t="s">
        <v>98</v>
      </c>
      <c r="M186" s="81" t="s">
        <v>100</v>
      </c>
      <c r="N186" s="81" t="s">
        <v>102</v>
      </c>
      <c r="O186" s="81" t="s">
        <v>104</v>
      </c>
      <c r="P186" s="81" t="s">
        <v>106</v>
      </c>
      <c r="Q186" s="81" t="s">
        <v>108</v>
      </c>
      <c r="R186" s="81" t="s">
        <v>110</v>
      </c>
      <c r="S186" s="81" t="s">
        <v>112</v>
      </c>
      <c r="T186" s="81" t="s">
        <v>114</v>
      </c>
      <c r="U186" s="81" t="s">
        <v>116</v>
      </c>
      <c r="V186" s="81" t="s">
        <v>118</v>
      </c>
      <c r="W186" s="81" t="s">
        <v>120</v>
      </c>
      <c r="X186" s="81" t="s">
        <v>122</v>
      </c>
      <c r="Y186" s="81" t="s">
        <v>124</v>
      </c>
      <c r="Z186" s="81" t="s">
        <v>126</v>
      </c>
      <c r="AA186" s="81" t="s">
        <v>128</v>
      </c>
      <c r="AB186" s="81" t="s">
        <v>130</v>
      </c>
      <c r="AC186" s="81" t="s">
        <v>132</v>
      </c>
      <c r="AD186" s="81" t="s">
        <v>134</v>
      </c>
      <c r="AE186" s="81" t="s">
        <v>136</v>
      </c>
      <c r="AF186" s="81" t="s">
        <v>138</v>
      </c>
      <c r="AG186" s="81" t="s">
        <v>140</v>
      </c>
      <c r="AH186" s="81" t="s">
        <v>142</v>
      </c>
      <c r="AI186" s="81" t="s">
        <v>144</v>
      </c>
      <c r="AJ186" s="81" t="s">
        <v>146</v>
      </c>
      <c r="AK186" s="81" t="s">
        <v>148</v>
      </c>
    </row>
    <row r="187" spans="2:37">
      <c r="B187" s="81" t="s">
        <v>81</v>
      </c>
      <c r="C187" s="81" t="s">
        <v>82</v>
      </c>
      <c r="D187" s="84">
        <f t="array" ref="D187:AK220">_xlfn.MUNIT(34)</f>
        <v>1</v>
      </c>
      <c r="E187" s="84">
        <v>0</v>
      </c>
      <c r="F187" s="84">
        <v>0</v>
      </c>
      <c r="G187" s="84">
        <v>0</v>
      </c>
      <c r="H187" s="84">
        <v>0</v>
      </c>
      <c r="I187" s="84">
        <v>0</v>
      </c>
      <c r="J187" s="84">
        <v>0</v>
      </c>
      <c r="K187" s="84">
        <v>0</v>
      </c>
      <c r="L187" s="84">
        <v>0</v>
      </c>
      <c r="M187" s="84">
        <v>0</v>
      </c>
      <c r="N187" s="84">
        <v>0</v>
      </c>
      <c r="O187" s="84">
        <v>0</v>
      </c>
      <c r="P187" s="84">
        <v>0</v>
      </c>
      <c r="Q187" s="84">
        <v>0</v>
      </c>
      <c r="R187" s="84">
        <v>0</v>
      </c>
      <c r="S187" s="84">
        <v>0</v>
      </c>
      <c r="T187" s="84">
        <v>0</v>
      </c>
      <c r="U187" s="84">
        <v>0</v>
      </c>
      <c r="V187" s="84">
        <v>0</v>
      </c>
      <c r="W187" s="84">
        <v>0</v>
      </c>
      <c r="X187" s="84">
        <v>0</v>
      </c>
      <c r="Y187" s="84">
        <v>0</v>
      </c>
      <c r="Z187" s="84">
        <v>0</v>
      </c>
      <c r="AA187" s="84">
        <v>0</v>
      </c>
      <c r="AB187" s="84">
        <v>0</v>
      </c>
      <c r="AC187" s="84">
        <v>0</v>
      </c>
      <c r="AD187" s="84">
        <v>0</v>
      </c>
      <c r="AE187" s="84">
        <v>0</v>
      </c>
      <c r="AF187" s="84">
        <v>0</v>
      </c>
      <c r="AG187" s="84">
        <v>0</v>
      </c>
      <c r="AH187" s="84">
        <v>0</v>
      </c>
      <c r="AI187" s="84">
        <v>0</v>
      </c>
      <c r="AJ187" s="84">
        <v>0</v>
      </c>
      <c r="AK187" s="84">
        <v>0</v>
      </c>
    </row>
    <row r="188" spans="2:37">
      <c r="B188" s="81" t="s">
        <v>83</v>
      </c>
      <c r="C188" s="81" t="s">
        <v>84</v>
      </c>
      <c r="D188" s="84">
        <v>0</v>
      </c>
      <c r="E188" s="84">
        <v>1</v>
      </c>
      <c r="F188" s="84">
        <v>0</v>
      </c>
      <c r="G188" s="84">
        <v>0</v>
      </c>
      <c r="H188" s="84">
        <v>0</v>
      </c>
      <c r="I188" s="84">
        <v>0</v>
      </c>
      <c r="J188" s="84">
        <v>0</v>
      </c>
      <c r="K188" s="84">
        <v>0</v>
      </c>
      <c r="L188" s="84">
        <v>0</v>
      </c>
      <c r="M188" s="84">
        <v>0</v>
      </c>
      <c r="N188" s="84">
        <v>0</v>
      </c>
      <c r="O188" s="84">
        <v>0</v>
      </c>
      <c r="P188" s="84">
        <v>0</v>
      </c>
      <c r="Q188" s="84">
        <v>0</v>
      </c>
      <c r="R188" s="84">
        <v>0</v>
      </c>
      <c r="S188" s="84">
        <v>0</v>
      </c>
      <c r="T188" s="84">
        <v>0</v>
      </c>
      <c r="U188" s="84">
        <v>0</v>
      </c>
      <c r="V188" s="84">
        <v>0</v>
      </c>
      <c r="W188" s="84">
        <v>0</v>
      </c>
      <c r="X188" s="84">
        <v>0</v>
      </c>
      <c r="Y188" s="84">
        <v>0</v>
      </c>
      <c r="Z188" s="84">
        <v>0</v>
      </c>
      <c r="AA188" s="84">
        <v>0</v>
      </c>
      <c r="AB188" s="84">
        <v>0</v>
      </c>
      <c r="AC188" s="84">
        <v>0</v>
      </c>
      <c r="AD188" s="84">
        <v>0</v>
      </c>
      <c r="AE188" s="84">
        <v>0</v>
      </c>
      <c r="AF188" s="84">
        <v>0</v>
      </c>
      <c r="AG188" s="84">
        <v>0</v>
      </c>
      <c r="AH188" s="84">
        <v>0</v>
      </c>
      <c r="AI188" s="84">
        <v>0</v>
      </c>
      <c r="AJ188" s="84">
        <v>0</v>
      </c>
      <c r="AK188" s="84">
        <v>0</v>
      </c>
    </row>
    <row r="189" spans="2:37">
      <c r="B189" s="81" t="s">
        <v>85</v>
      </c>
      <c r="C189" s="81" t="s">
        <v>86</v>
      </c>
      <c r="D189" s="84">
        <v>0</v>
      </c>
      <c r="E189" s="84">
        <v>0</v>
      </c>
      <c r="F189" s="84">
        <v>1</v>
      </c>
      <c r="G189" s="84">
        <v>0</v>
      </c>
      <c r="H189" s="84">
        <v>0</v>
      </c>
      <c r="I189" s="84">
        <v>0</v>
      </c>
      <c r="J189" s="84">
        <v>0</v>
      </c>
      <c r="K189" s="84">
        <v>0</v>
      </c>
      <c r="L189" s="84">
        <v>0</v>
      </c>
      <c r="M189" s="84">
        <v>0</v>
      </c>
      <c r="N189" s="84">
        <v>0</v>
      </c>
      <c r="O189" s="84">
        <v>0</v>
      </c>
      <c r="P189" s="84">
        <v>0</v>
      </c>
      <c r="Q189" s="84">
        <v>0</v>
      </c>
      <c r="R189" s="84">
        <v>0</v>
      </c>
      <c r="S189" s="84">
        <v>0</v>
      </c>
      <c r="T189" s="84">
        <v>0</v>
      </c>
      <c r="U189" s="84">
        <v>0</v>
      </c>
      <c r="V189" s="84">
        <v>0</v>
      </c>
      <c r="W189" s="84">
        <v>0</v>
      </c>
      <c r="X189" s="84">
        <v>0</v>
      </c>
      <c r="Y189" s="84">
        <v>0</v>
      </c>
      <c r="Z189" s="84">
        <v>0</v>
      </c>
      <c r="AA189" s="84">
        <v>0</v>
      </c>
      <c r="AB189" s="84">
        <v>0</v>
      </c>
      <c r="AC189" s="84">
        <v>0</v>
      </c>
      <c r="AD189" s="84">
        <v>0</v>
      </c>
      <c r="AE189" s="84">
        <v>0</v>
      </c>
      <c r="AF189" s="84">
        <v>0</v>
      </c>
      <c r="AG189" s="84">
        <v>0</v>
      </c>
      <c r="AH189" s="84">
        <v>0</v>
      </c>
      <c r="AI189" s="84">
        <v>0</v>
      </c>
      <c r="AJ189" s="84">
        <v>0</v>
      </c>
      <c r="AK189" s="84">
        <v>0</v>
      </c>
    </row>
    <row r="190" spans="2:37">
      <c r="B190" s="81" t="s">
        <v>87</v>
      </c>
      <c r="C190" s="81" t="s">
        <v>88</v>
      </c>
      <c r="D190" s="84">
        <v>0</v>
      </c>
      <c r="E190" s="84">
        <v>0</v>
      </c>
      <c r="F190" s="84">
        <v>0</v>
      </c>
      <c r="G190" s="84">
        <v>1</v>
      </c>
      <c r="H190" s="84">
        <v>0</v>
      </c>
      <c r="I190" s="84">
        <v>0</v>
      </c>
      <c r="J190" s="84">
        <v>0</v>
      </c>
      <c r="K190" s="84">
        <v>0</v>
      </c>
      <c r="L190" s="84">
        <v>0</v>
      </c>
      <c r="M190" s="84">
        <v>0</v>
      </c>
      <c r="N190" s="84">
        <v>0</v>
      </c>
      <c r="O190" s="84">
        <v>0</v>
      </c>
      <c r="P190" s="84">
        <v>0</v>
      </c>
      <c r="Q190" s="84">
        <v>0</v>
      </c>
      <c r="R190" s="84">
        <v>0</v>
      </c>
      <c r="S190" s="84">
        <v>0</v>
      </c>
      <c r="T190" s="84">
        <v>0</v>
      </c>
      <c r="U190" s="84">
        <v>0</v>
      </c>
      <c r="V190" s="84">
        <v>0</v>
      </c>
      <c r="W190" s="84">
        <v>0</v>
      </c>
      <c r="X190" s="84">
        <v>0</v>
      </c>
      <c r="Y190" s="84">
        <v>0</v>
      </c>
      <c r="Z190" s="84">
        <v>0</v>
      </c>
      <c r="AA190" s="84">
        <v>0</v>
      </c>
      <c r="AB190" s="84">
        <v>0</v>
      </c>
      <c r="AC190" s="84">
        <v>0</v>
      </c>
      <c r="AD190" s="84">
        <v>0</v>
      </c>
      <c r="AE190" s="84">
        <v>0</v>
      </c>
      <c r="AF190" s="84">
        <v>0</v>
      </c>
      <c r="AG190" s="84">
        <v>0</v>
      </c>
      <c r="AH190" s="84">
        <v>0</v>
      </c>
      <c r="AI190" s="84">
        <v>0</v>
      </c>
      <c r="AJ190" s="84">
        <v>0</v>
      </c>
      <c r="AK190" s="84">
        <v>0</v>
      </c>
    </row>
    <row r="191" spans="2:37">
      <c r="B191" s="81" t="s">
        <v>89</v>
      </c>
      <c r="C191" s="81" t="s">
        <v>90</v>
      </c>
      <c r="D191" s="84">
        <v>0</v>
      </c>
      <c r="E191" s="84">
        <v>0</v>
      </c>
      <c r="F191" s="84">
        <v>0</v>
      </c>
      <c r="G191" s="84">
        <v>0</v>
      </c>
      <c r="H191" s="84">
        <v>1</v>
      </c>
      <c r="I191" s="84">
        <v>0</v>
      </c>
      <c r="J191" s="84">
        <v>0</v>
      </c>
      <c r="K191" s="84">
        <v>0</v>
      </c>
      <c r="L191" s="84">
        <v>0</v>
      </c>
      <c r="M191" s="84">
        <v>0</v>
      </c>
      <c r="N191" s="84">
        <v>0</v>
      </c>
      <c r="O191" s="84">
        <v>0</v>
      </c>
      <c r="P191" s="84">
        <v>0</v>
      </c>
      <c r="Q191" s="84">
        <v>0</v>
      </c>
      <c r="R191" s="84">
        <v>0</v>
      </c>
      <c r="S191" s="84">
        <v>0</v>
      </c>
      <c r="T191" s="84">
        <v>0</v>
      </c>
      <c r="U191" s="84">
        <v>0</v>
      </c>
      <c r="V191" s="84">
        <v>0</v>
      </c>
      <c r="W191" s="84">
        <v>0</v>
      </c>
      <c r="X191" s="84">
        <v>0</v>
      </c>
      <c r="Y191" s="84">
        <v>0</v>
      </c>
      <c r="Z191" s="84">
        <v>0</v>
      </c>
      <c r="AA191" s="84">
        <v>0</v>
      </c>
      <c r="AB191" s="84">
        <v>0</v>
      </c>
      <c r="AC191" s="84">
        <v>0</v>
      </c>
      <c r="AD191" s="84">
        <v>0</v>
      </c>
      <c r="AE191" s="84">
        <v>0</v>
      </c>
      <c r="AF191" s="84">
        <v>0</v>
      </c>
      <c r="AG191" s="84">
        <v>0</v>
      </c>
      <c r="AH191" s="84">
        <v>0</v>
      </c>
      <c r="AI191" s="84">
        <v>0</v>
      </c>
      <c r="AJ191" s="84">
        <v>0</v>
      </c>
      <c r="AK191" s="84">
        <v>0</v>
      </c>
    </row>
    <row r="192" spans="2:37">
      <c r="B192" s="81" t="s">
        <v>91</v>
      </c>
      <c r="C192" s="81" t="s">
        <v>92</v>
      </c>
      <c r="D192" s="84">
        <v>0</v>
      </c>
      <c r="E192" s="84">
        <v>0</v>
      </c>
      <c r="F192" s="84">
        <v>0</v>
      </c>
      <c r="G192" s="84">
        <v>0</v>
      </c>
      <c r="H192" s="84">
        <v>0</v>
      </c>
      <c r="I192" s="84">
        <v>1</v>
      </c>
      <c r="J192" s="84">
        <v>0</v>
      </c>
      <c r="K192" s="84">
        <v>0</v>
      </c>
      <c r="L192" s="84">
        <v>0</v>
      </c>
      <c r="M192" s="84">
        <v>0</v>
      </c>
      <c r="N192" s="84">
        <v>0</v>
      </c>
      <c r="O192" s="84">
        <v>0</v>
      </c>
      <c r="P192" s="84">
        <v>0</v>
      </c>
      <c r="Q192" s="84">
        <v>0</v>
      </c>
      <c r="R192" s="84">
        <v>0</v>
      </c>
      <c r="S192" s="84">
        <v>0</v>
      </c>
      <c r="T192" s="84">
        <v>0</v>
      </c>
      <c r="U192" s="84">
        <v>0</v>
      </c>
      <c r="V192" s="84">
        <v>0</v>
      </c>
      <c r="W192" s="84">
        <v>0</v>
      </c>
      <c r="X192" s="84">
        <v>0</v>
      </c>
      <c r="Y192" s="84">
        <v>0</v>
      </c>
      <c r="Z192" s="84">
        <v>0</v>
      </c>
      <c r="AA192" s="84">
        <v>0</v>
      </c>
      <c r="AB192" s="84">
        <v>0</v>
      </c>
      <c r="AC192" s="84">
        <v>0</v>
      </c>
      <c r="AD192" s="84">
        <v>0</v>
      </c>
      <c r="AE192" s="84">
        <v>0</v>
      </c>
      <c r="AF192" s="84">
        <v>0</v>
      </c>
      <c r="AG192" s="84">
        <v>0</v>
      </c>
      <c r="AH192" s="84">
        <v>0</v>
      </c>
      <c r="AI192" s="84">
        <v>0</v>
      </c>
      <c r="AJ192" s="84">
        <v>0</v>
      </c>
      <c r="AK192" s="84">
        <v>0</v>
      </c>
    </row>
    <row r="193" spans="2:37">
      <c r="B193" s="81" t="s">
        <v>93</v>
      </c>
      <c r="C193" s="81" t="s">
        <v>94</v>
      </c>
      <c r="D193" s="84">
        <v>0</v>
      </c>
      <c r="E193" s="84">
        <v>0</v>
      </c>
      <c r="F193" s="84">
        <v>0</v>
      </c>
      <c r="G193" s="84">
        <v>0</v>
      </c>
      <c r="H193" s="84">
        <v>0</v>
      </c>
      <c r="I193" s="84">
        <v>0</v>
      </c>
      <c r="J193" s="84">
        <v>1</v>
      </c>
      <c r="K193" s="84">
        <v>0</v>
      </c>
      <c r="L193" s="84">
        <v>0</v>
      </c>
      <c r="M193" s="84">
        <v>0</v>
      </c>
      <c r="N193" s="84">
        <v>0</v>
      </c>
      <c r="O193" s="84">
        <v>0</v>
      </c>
      <c r="P193" s="84">
        <v>0</v>
      </c>
      <c r="Q193" s="84">
        <v>0</v>
      </c>
      <c r="R193" s="84">
        <v>0</v>
      </c>
      <c r="S193" s="84">
        <v>0</v>
      </c>
      <c r="T193" s="84">
        <v>0</v>
      </c>
      <c r="U193" s="84">
        <v>0</v>
      </c>
      <c r="V193" s="84">
        <v>0</v>
      </c>
      <c r="W193" s="84">
        <v>0</v>
      </c>
      <c r="X193" s="84">
        <v>0</v>
      </c>
      <c r="Y193" s="84">
        <v>0</v>
      </c>
      <c r="Z193" s="84">
        <v>0</v>
      </c>
      <c r="AA193" s="84">
        <v>0</v>
      </c>
      <c r="AB193" s="84">
        <v>0</v>
      </c>
      <c r="AC193" s="84">
        <v>0</v>
      </c>
      <c r="AD193" s="84">
        <v>0</v>
      </c>
      <c r="AE193" s="84">
        <v>0</v>
      </c>
      <c r="AF193" s="84">
        <v>0</v>
      </c>
      <c r="AG193" s="84">
        <v>0</v>
      </c>
      <c r="AH193" s="84">
        <v>0</v>
      </c>
      <c r="AI193" s="84">
        <v>0</v>
      </c>
      <c r="AJ193" s="84">
        <v>0</v>
      </c>
      <c r="AK193" s="84">
        <v>0</v>
      </c>
    </row>
    <row r="194" spans="2:37">
      <c r="B194" s="81" t="s">
        <v>95</v>
      </c>
      <c r="C194" s="81" t="s">
        <v>96</v>
      </c>
      <c r="D194" s="84">
        <v>0</v>
      </c>
      <c r="E194" s="84">
        <v>0</v>
      </c>
      <c r="F194" s="84">
        <v>0</v>
      </c>
      <c r="G194" s="84">
        <v>0</v>
      </c>
      <c r="H194" s="84">
        <v>0</v>
      </c>
      <c r="I194" s="84">
        <v>0</v>
      </c>
      <c r="J194" s="84">
        <v>0</v>
      </c>
      <c r="K194" s="84">
        <v>1</v>
      </c>
      <c r="L194" s="84">
        <v>0</v>
      </c>
      <c r="M194" s="84">
        <v>0</v>
      </c>
      <c r="N194" s="84">
        <v>0</v>
      </c>
      <c r="O194" s="84">
        <v>0</v>
      </c>
      <c r="P194" s="84">
        <v>0</v>
      </c>
      <c r="Q194" s="84">
        <v>0</v>
      </c>
      <c r="R194" s="84">
        <v>0</v>
      </c>
      <c r="S194" s="84">
        <v>0</v>
      </c>
      <c r="T194" s="84">
        <v>0</v>
      </c>
      <c r="U194" s="84">
        <v>0</v>
      </c>
      <c r="V194" s="84">
        <v>0</v>
      </c>
      <c r="W194" s="84">
        <v>0</v>
      </c>
      <c r="X194" s="84">
        <v>0</v>
      </c>
      <c r="Y194" s="84">
        <v>0</v>
      </c>
      <c r="Z194" s="84">
        <v>0</v>
      </c>
      <c r="AA194" s="84">
        <v>0</v>
      </c>
      <c r="AB194" s="84">
        <v>0</v>
      </c>
      <c r="AC194" s="84">
        <v>0</v>
      </c>
      <c r="AD194" s="84">
        <v>0</v>
      </c>
      <c r="AE194" s="84">
        <v>0</v>
      </c>
      <c r="AF194" s="84">
        <v>0</v>
      </c>
      <c r="AG194" s="84">
        <v>0</v>
      </c>
      <c r="AH194" s="84">
        <v>0</v>
      </c>
      <c r="AI194" s="84">
        <v>0</v>
      </c>
      <c r="AJ194" s="84">
        <v>0</v>
      </c>
      <c r="AK194" s="84">
        <v>0</v>
      </c>
    </row>
    <row r="195" spans="2:37">
      <c r="B195" s="81" t="s">
        <v>97</v>
      </c>
      <c r="C195" s="81" t="s">
        <v>98</v>
      </c>
      <c r="D195" s="84">
        <v>0</v>
      </c>
      <c r="E195" s="84">
        <v>0</v>
      </c>
      <c r="F195" s="84">
        <v>0</v>
      </c>
      <c r="G195" s="84">
        <v>0</v>
      </c>
      <c r="H195" s="84">
        <v>0</v>
      </c>
      <c r="I195" s="84">
        <v>0</v>
      </c>
      <c r="J195" s="84">
        <v>0</v>
      </c>
      <c r="K195" s="84">
        <v>0</v>
      </c>
      <c r="L195" s="84">
        <v>1</v>
      </c>
      <c r="M195" s="84">
        <v>0</v>
      </c>
      <c r="N195" s="84">
        <v>0</v>
      </c>
      <c r="O195" s="84">
        <v>0</v>
      </c>
      <c r="P195" s="84">
        <v>0</v>
      </c>
      <c r="Q195" s="84">
        <v>0</v>
      </c>
      <c r="R195" s="84">
        <v>0</v>
      </c>
      <c r="S195" s="84">
        <v>0</v>
      </c>
      <c r="T195" s="84">
        <v>0</v>
      </c>
      <c r="U195" s="84">
        <v>0</v>
      </c>
      <c r="V195" s="84">
        <v>0</v>
      </c>
      <c r="W195" s="84">
        <v>0</v>
      </c>
      <c r="X195" s="84">
        <v>0</v>
      </c>
      <c r="Y195" s="84">
        <v>0</v>
      </c>
      <c r="Z195" s="84">
        <v>0</v>
      </c>
      <c r="AA195" s="84">
        <v>0</v>
      </c>
      <c r="AB195" s="84">
        <v>0</v>
      </c>
      <c r="AC195" s="84">
        <v>0</v>
      </c>
      <c r="AD195" s="84">
        <v>0</v>
      </c>
      <c r="AE195" s="84">
        <v>0</v>
      </c>
      <c r="AF195" s="84">
        <v>0</v>
      </c>
      <c r="AG195" s="84">
        <v>0</v>
      </c>
      <c r="AH195" s="84">
        <v>0</v>
      </c>
      <c r="AI195" s="84">
        <v>0</v>
      </c>
      <c r="AJ195" s="84">
        <v>0</v>
      </c>
      <c r="AK195" s="84">
        <v>0</v>
      </c>
    </row>
    <row r="196" spans="2:37">
      <c r="B196" s="81" t="s">
        <v>99</v>
      </c>
      <c r="C196" s="81" t="s">
        <v>100</v>
      </c>
      <c r="D196" s="84">
        <v>0</v>
      </c>
      <c r="E196" s="84">
        <v>0</v>
      </c>
      <c r="F196" s="84">
        <v>0</v>
      </c>
      <c r="G196" s="84">
        <v>0</v>
      </c>
      <c r="H196" s="84">
        <v>0</v>
      </c>
      <c r="I196" s="84">
        <v>0</v>
      </c>
      <c r="J196" s="84">
        <v>0</v>
      </c>
      <c r="K196" s="84">
        <v>0</v>
      </c>
      <c r="L196" s="84">
        <v>0</v>
      </c>
      <c r="M196" s="84">
        <v>1</v>
      </c>
      <c r="N196" s="84">
        <v>0</v>
      </c>
      <c r="O196" s="84">
        <v>0</v>
      </c>
      <c r="P196" s="84">
        <v>0</v>
      </c>
      <c r="Q196" s="84">
        <v>0</v>
      </c>
      <c r="R196" s="84">
        <v>0</v>
      </c>
      <c r="S196" s="84">
        <v>0</v>
      </c>
      <c r="T196" s="84">
        <v>0</v>
      </c>
      <c r="U196" s="84">
        <v>0</v>
      </c>
      <c r="V196" s="84">
        <v>0</v>
      </c>
      <c r="W196" s="84">
        <v>0</v>
      </c>
      <c r="X196" s="84">
        <v>0</v>
      </c>
      <c r="Y196" s="84">
        <v>0</v>
      </c>
      <c r="Z196" s="84">
        <v>0</v>
      </c>
      <c r="AA196" s="84">
        <v>0</v>
      </c>
      <c r="AB196" s="84">
        <v>0</v>
      </c>
      <c r="AC196" s="84">
        <v>0</v>
      </c>
      <c r="AD196" s="84">
        <v>0</v>
      </c>
      <c r="AE196" s="84">
        <v>0</v>
      </c>
      <c r="AF196" s="84">
        <v>0</v>
      </c>
      <c r="AG196" s="84">
        <v>0</v>
      </c>
      <c r="AH196" s="84">
        <v>0</v>
      </c>
      <c r="AI196" s="84">
        <v>0</v>
      </c>
      <c r="AJ196" s="84">
        <v>0</v>
      </c>
      <c r="AK196" s="84">
        <v>0</v>
      </c>
    </row>
    <row r="197" spans="2:37">
      <c r="B197" s="81" t="s">
        <v>101</v>
      </c>
      <c r="C197" s="81" t="s">
        <v>102</v>
      </c>
      <c r="D197" s="84">
        <v>0</v>
      </c>
      <c r="E197" s="84">
        <v>0</v>
      </c>
      <c r="F197" s="84">
        <v>0</v>
      </c>
      <c r="G197" s="84">
        <v>0</v>
      </c>
      <c r="H197" s="84">
        <v>0</v>
      </c>
      <c r="I197" s="84">
        <v>0</v>
      </c>
      <c r="J197" s="84">
        <v>0</v>
      </c>
      <c r="K197" s="84">
        <v>0</v>
      </c>
      <c r="L197" s="84">
        <v>0</v>
      </c>
      <c r="M197" s="84">
        <v>0</v>
      </c>
      <c r="N197" s="84">
        <v>1</v>
      </c>
      <c r="O197" s="84">
        <v>0</v>
      </c>
      <c r="P197" s="84">
        <v>0</v>
      </c>
      <c r="Q197" s="84">
        <v>0</v>
      </c>
      <c r="R197" s="84">
        <v>0</v>
      </c>
      <c r="S197" s="84">
        <v>0</v>
      </c>
      <c r="T197" s="84">
        <v>0</v>
      </c>
      <c r="U197" s="84">
        <v>0</v>
      </c>
      <c r="V197" s="84">
        <v>0</v>
      </c>
      <c r="W197" s="84">
        <v>0</v>
      </c>
      <c r="X197" s="84">
        <v>0</v>
      </c>
      <c r="Y197" s="84">
        <v>0</v>
      </c>
      <c r="Z197" s="84">
        <v>0</v>
      </c>
      <c r="AA197" s="84">
        <v>0</v>
      </c>
      <c r="AB197" s="84">
        <v>0</v>
      </c>
      <c r="AC197" s="84">
        <v>0</v>
      </c>
      <c r="AD197" s="84">
        <v>0</v>
      </c>
      <c r="AE197" s="84">
        <v>0</v>
      </c>
      <c r="AF197" s="84">
        <v>0</v>
      </c>
      <c r="AG197" s="84">
        <v>0</v>
      </c>
      <c r="AH197" s="84">
        <v>0</v>
      </c>
      <c r="AI197" s="84">
        <v>0</v>
      </c>
      <c r="AJ197" s="84">
        <v>0</v>
      </c>
      <c r="AK197" s="84">
        <v>0</v>
      </c>
    </row>
    <row r="198" spans="2:37">
      <c r="B198" s="81" t="s">
        <v>103</v>
      </c>
      <c r="C198" s="81" t="s">
        <v>104</v>
      </c>
      <c r="D198" s="84">
        <v>0</v>
      </c>
      <c r="E198" s="84">
        <v>0</v>
      </c>
      <c r="F198" s="84">
        <v>0</v>
      </c>
      <c r="G198" s="84">
        <v>0</v>
      </c>
      <c r="H198" s="84">
        <v>0</v>
      </c>
      <c r="I198" s="84">
        <v>0</v>
      </c>
      <c r="J198" s="84">
        <v>0</v>
      </c>
      <c r="K198" s="84">
        <v>0</v>
      </c>
      <c r="L198" s="84">
        <v>0</v>
      </c>
      <c r="M198" s="84">
        <v>0</v>
      </c>
      <c r="N198" s="84">
        <v>0</v>
      </c>
      <c r="O198" s="84">
        <v>1</v>
      </c>
      <c r="P198" s="84">
        <v>0</v>
      </c>
      <c r="Q198" s="84">
        <v>0</v>
      </c>
      <c r="R198" s="84">
        <v>0</v>
      </c>
      <c r="S198" s="84">
        <v>0</v>
      </c>
      <c r="T198" s="84">
        <v>0</v>
      </c>
      <c r="U198" s="84">
        <v>0</v>
      </c>
      <c r="V198" s="84">
        <v>0</v>
      </c>
      <c r="W198" s="84">
        <v>0</v>
      </c>
      <c r="X198" s="84">
        <v>0</v>
      </c>
      <c r="Y198" s="84">
        <v>0</v>
      </c>
      <c r="Z198" s="84">
        <v>0</v>
      </c>
      <c r="AA198" s="84">
        <v>0</v>
      </c>
      <c r="AB198" s="84">
        <v>0</v>
      </c>
      <c r="AC198" s="84">
        <v>0</v>
      </c>
      <c r="AD198" s="84">
        <v>0</v>
      </c>
      <c r="AE198" s="84">
        <v>0</v>
      </c>
      <c r="AF198" s="84">
        <v>0</v>
      </c>
      <c r="AG198" s="84">
        <v>0</v>
      </c>
      <c r="AH198" s="84">
        <v>0</v>
      </c>
      <c r="AI198" s="84">
        <v>0</v>
      </c>
      <c r="AJ198" s="84">
        <v>0</v>
      </c>
      <c r="AK198" s="84">
        <v>0</v>
      </c>
    </row>
    <row r="199" spans="2:37">
      <c r="B199" s="81" t="s">
        <v>105</v>
      </c>
      <c r="C199" s="81" t="s">
        <v>106</v>
      </c>
      <c r="D199" s="84">
        <v>0</v>
      </c>
      <c r="E199" s="84">
        <v>0</v>
      </c>
      <c r="F199" s="84">
        <v>0</v>
      </c>
      <c r="G199" s="84">
        <v>0</v>
      </c>
      <c r="H199" s="84">
        <v>0</v>
      </c>
      <c r="I199" s="84">
        <v>0</v>
      </c>
      <c r="J199" s="84">
        <v>0</v>
      </c>
      <c r="K199" s="84">
        <v>0</v>
      </c>
      <c r="L199" s="84">
        <v>0</v>
      </c>
      <c r="M199" s="84">
        <v>0</v>
      </c>
      <c r="N199" s="84">
        <v>0</v>
      </c>
      <c r="O199" s="84">
        <v>0</v>
      </c>
      <c r="P199" s="84">
        <v>1</v>
      </c>
      <c r="Q199" s="84">
        <v>0</v>
      </c>
      <c r="R199" s="84">
        <v>0</v>
      </c>
      <c r="S199" s="84">
        <v>0</v>
      </c>
      <c r="T199" s="84">
        <v>0</v>
      </c>
      <c r="U199" s="84">
        <v>0</v>
      </c>
      <c r="V199" s="84">
        <v>0</v>
      </c>
      <c r="W199" s="84">
        <v>0</v>
      </c>
      <c r="X199" s="84">
        <v>0</v>
      </c>
      <c r="Y199" s="84">
        <v>0</v>
      </c>
      <c r="Z199" s="84">
        <v>0</v>
      </c>
      <c r="AA199" s="84">
        <v>0</v>
      </c>
      <c r="AB199" s="84">
        <v>0</v>
      </c>
      <c r="AC199" s="84">
        <v>0</v>
      </c>
      <c r="AD199" s="84">
        <v>0</v>
      </c>
      <c r="AE199" s="84">
        <v>0</v>
      </c>
      <c r="AF199" s="84">
        <v>0</v>
      </c>
      <c r="AG199" s="84">
        <v>0</v>
      </c>
      <c r="AH199" s="84">
        <v>0</v>
      </c>
      <c r="AI199" s="84">
        <v>0</v>
      </c>
      <c r="AJ199" s="84">
        <v>0</v>
      </c>
      <c r="AK199" s="84">
        <v>0</v>
      </c>
    </row>
    <row r="200" spans="2:37">
      <c r="B200" s="81" t="s">
        <v>107</v>
      </c>
      <c r="C200" s="81" t="s">
        <v>108</v>
      </c>
      <c r="D200" s="84">
        <v>0</v>
      </c>
      <c r="E200" s="84">
        <v>0</v>
      </c>
      <c r="F200" s="84">
        <v>0</v>
      </c>
      <c r="G200" s="84">
        <v>0</v>
      </c>
      <c r="H200" s="84">
        <v>0</v>
      </c>
      <c r="I200" s="84">
        <v>0</v>
      </c>
      <c r="J200" s="84">
        <v>0</v>
      </c>
      <c r="K200" s="84">
        <v>0</v>
      </c>
      <c r="L200" s="84">
        <v>0</v>
      </c>
      <c r="M200" s="84">
        <v>0</v>
      </c>
      <c r="N200" s="84">
        <v>0</v>
      </c>
      <c r="O200" s="84">
        <v>0</v>
      </c>
      <c r="P200" s="84">
        <v>0</v>
      </c>
      <c r="Q200" s="84">
        <v>1</v>
      </c>
      <c r="R200" s="84">
        <v>0</v>
      </c>
      <c r="S200" s="84">
        <v>0</v>
      </c>
      <c r="T200" s="84">
        <v>0</v>
      </c>
      <c r="U200" s="84">
        <v>0</v>
      </c>
      <c r="V200" s="84">
        <v>0</v>
      </c>
      <c r="W200" s="84">
        <v>0</v>
      </c>
      <c r="X200" s="84">
        <v>0</v>
      </c>
      <c r="Y200" s="84">
        <v>0</v>
      </c>
      <c r="Z200" s="84">
        <v>0</v>
      </c>
      <c r="AA200" s="84">
        <v>0</v>
      </c>
      <c r="AB200" s="84">
        <v>0</v>
      </c>
      <c r="AC200" s="84">
        <v>0</v>
      </c>
      <c r="AD200" s="84">
        <v>0</v>
      </c>
      <c r="AE200" s="84">
        <v>0</v>
      </c>
      <c r="AF200" s="84">
        <v>0</v>
      </c>
      <c r="AG200" s="84">
        <v>0</v>
      </c>
      <c r="AH200" s="84">
        <v>0</v>
      </c>
      <c r="AI200" s="84">
        <v>0</v>
      </c>
      <c r="AJ200" s="84">
        <v>0</v>
      </c>
      <c r="AK200" s="84">
        <v>0</v>
      </c>
    </row>
    <row r="201" spans="2:37">
      <c r="B201" s="81" t="s">
        <v>109</v>
      </c>
      <c r="C201" s="81" t="s">
        <v>110</v>
      </c>
      <c r="D201" s="84">
        <v>0</v>
      </c>
      <c r="E201" s="84">
        <v>0</v>
      </c>
      <c r="F201" s="84">
        <v>0</v>
      </c>
      <c r="G201" s="84">
        <v>0</v>
      </c>
      <c r="H201" s="84">
        <v>0</v>
      </c>
      <c r="I201" s="84">
        <v>0</v>
      </c>
      <c r="J201" s="84">
        <v>0</v>
      </c>
      <c r="K201" s="84">
        <v>0</v>
      </c>
      <c r="L201" s="84">
        <v>0</v>
      </c>
      <c r="M201" s="84">
        <v>0</v>
      </c>
      <c r="N201" s="84">
        <v>0</v>
      </c>
      <c r="O201" s="84">
        <v>0</v>
      </c>
      <c r="P201" s="84">
        <v>0</v>
      </c>
      <c r="Q201" s="84">
        <v>0</v>
      </c>
      <c r="R201" s="84">
        <v>1</v>
      </c>
      <c r="S201" s="84">
        <v>0</v>
      </c>
      <c r="T201" s="84">
        <v>0</v>
      </c>
      <c r="U201" s="84">
        <v>0</v>
      </c>
      <c r="V201" s="84">
        <v>0</v>
      </c>
      <c r="W201" s="84">
        <v>0</v>
      </c>
      <c r="X201" s="84">
        <v>0</v>
      </c>
      <c r="Y201" s="84">
        <v>0</v>
      </c>
      <c r="Z201" s="84">
        <v>0</v>
      </c>
      <c r="AA201" s="84">
        <v>0</v>
      </c>
      <c r="AB201" s="84">
        <v>0</v>
      </c>
      <c r="AC201" s="84">
        <v>0</v>
      </c>
      <c r="AD201" s="84">
        <v>0</v>
      </c>
      <c r="AE201" s="84">
        <v>0</v>
      </c>
      <c r="AF201" s="84">
        <v>0</v>
      </c>
      <c r="AG201" s="84">
        <v>0</v>
      </c>
      <c r="AH201" s="84">
        <v>0</v>
      </c>
      <c r="AI201" s="84">
        <v>0</v>
      </c>
      <c r="AJ201" s="84">
        <v>0</v>
      </c>
      <c r="AK201" s="84">
        <v>0</v>
      </c>
    </row>
    <row r="202" spans="2:37">
      <c r="B202" s="81" t="s">
        <v>111</v>
      </c>
      <c r="C202" s="81" t="s">
        <v>112</v>
      </c>
      <c r="D202" s="84">
        <v>0</v>
      </c>
      <c r="E202" s="84">
        <v>0</v>
      </c>
      <c r="F202" s="84">
        <v>0</v>
      </c>
      <c r="G202" s="84">
        <v>0</v>
      </c>
      <c r="H202" s="84">
        <v>0</v>
      </c>
      <c r="I202" s="84">
        <v>0</v>
      </c>
      <c r="J202" s="84">
        <v>0</v>
      </c>
      <c r="K202" s="84">
        <v>0</v>
      </c>
      <c r="L202" s="84">
        <v>0</v>
      </c>
      <c r="M202" s="84">
        <v>0</v>
      </c>
      <c r="N202" s="84">
        <v>0</v>
      </c>
      <c r="O202" s="84">
        <v>0</v>
      </c>
      <c r="P202" s="84">
        <v>0</v>
      </c>
      <c r="Q202" s="84">
        <v>0</v>
      </c>
      <c r="R202" s="84">
        <v>0</v>
      </c>
      <c r="S202" s="84">
        <v>1</v>
      </c>
      <c r="T202" s="84">
        <v>0</v>
      </c>
      <c r="U202" s="84">
        <v>0</v>
      </c>
      <c r="V202" s="84">
        <v>0</v>
      </c>
      <c r="W202" s="84">
        <v>0</v>
      </c>
      <c r="X202" s="84">
        <v>0</v>
      </c>
      <c r="Y202" s="84">
        <v>0</v>
      </c>
      <c r="Z202" s="84">
        <v>0</v>
      </c>
      <c r="AA202" s="84">
        <v>0</v>
      </c>
      <c r="AB202" s="84">
        <v>0</v>
      </c>
      <c r="AC202" s="84">
        <v>0</v>
      </c>
      <c r="AD202" s="84">
        <v>0</v>
      </c>
      <c r="AE202" s="84">
        <v>0</v>
      </c>
      <c r="AF202" s="84">
        <v>0</v>
      </c>
      <c r="AG202" s="84">
        <v>0</v>
      </c>
      <c r="AH202" s="84">
        <v>0</v>
      </c>
      <c r="AI202" s="84">
        <v>0</v>
      </c>
      <c r="AJ202" s="84">
        <v>0</v>
      </c>
      <c r="AK202" s="84">
        <v>0</v>
      </c>
    </row>
    <row r="203" spans="2:37">
      <c r="B203" s="81" t="s">
        <v>113</v>
      </c>
      <c r="C203" s="81" t="s">
        <v>114</v>
      </c>
      <c r="D203" s="84">
        <v>0</v>
      </c>
      <c r="E203" s="84">
        <v>0</v>
      </c>
      <c r="F203" s="84">
        <v>0</v>
      </c>
      <c r="G203" s="84">
        <v>0</v>
      </c>
      <c r="H203" s="84">
        <v>0</v>
      </c>
      <c r="I203" s="84">
        <v>0</v>
      </c>
      <c r="J203" s="84">
        <v>0</v>
      </c>
      <c r="K203" s="84">
        <v>0</v>
      </c>
      <c r="L203" s="84">
        <v>0</v>
      </c>
      <c r="M203" s="84">
        <v>0</v>
      </c>
      <c r="N203" s="84">
        <v>0</v>
      </c>
      <c r="O203" s="84">
        <v>0</v>
      </c>
      <c r="P203" s="84">
        <v>0</v>
      </c>
      <c r="Q203" s="84">
        <v>0</v>
      </c>
      <c r="R203" s="84">
        <v>0</v>
      </c>
      <c r="S203" s="84">
        <v>0</v>
      </c>
      <c r="T203" s="84">
        <v>1</v>
      </c>
      <c r="U203" s="84">
        <v>0</v>
      </c>
      <c r="V203" s="84">
        <v>0</v>
      </c>
      <c r="W203" s="84">
        <v>0</v>
      </c>
      <c r="X203" s="84">
        <v>0</v>
      </c>
      <c r="Y203" s="84">
        <v>0</v>
      </c>
      <c r="Z203" s="84">
        <v>0</v>
      </c>
      <c r="AA203" s="84">
        <v>0</v>
      </c>
      <c r="AB203" s="84">
        <v>0</v>
      </c>
      <c r="AC203" s="84">
        <v>0</v>
      </c>
      <c r="AD203" s="84">
        <v>0</v>
      </c>
      <c r="AE203" s="84">
        <v>0</v>
      </c>
      <c r="AF203" s="84">
        <v>0</v>
      </c>
      <c r="AG203" s="84">
        <v>0</v>
      </c>
      <c r="AH203" s="84">
        <v>0</v>
      </c>
      <c r="AI203" s="84">
        <v>0</v>
      </c>
      <c r="AJ203" s="84">
        <v>0</v>
      </c>
      <c r="AK203" s="84">
        <v>0</v>
      </c>
    </row>
    <row r="204" spans="2:37">
      <c r="B204" s="81" t="s">
        <v>115</v>
      </c>
      <c r="C204" s="81" t="s">
        <v>116</v>
      </c>
      <c r="D204" s="84">
        <v>0</v>
      </c>
      <c r="E204" s="84">
        <v>0</v>
      </c>
      <c r="F204" s="84">
        <v>0</v>
      </c>
      <c r="G204" s="84">
        <v>0</v>
      </c>
      <c r="H204" s="84">
        <v>0</v>
      </c>
      <c r="I204" s="84">
        <v>0</v>
      </c>
      <c r="J204" s="84">
        <v>0</v>
      </c>
      <c r="K204" s="84">
        <v>0</v>
      </c>
      <c r="L204" s="84">
        <v>0</v>
      </c>
      <c r="M204" s="84">
        <v>0</v>
      </c>
      <c r="N204" s="84">
        <v>0</v>
      </c>
      <c r="O204" s="84">
        <v>0</v>
      </c>
      <c r="P204" s="84">
        <v>0</v>
      </c>
      <c r="Q204" s="84">
        <v>0</v>
      </c>
      <c r="R204" s="84">
        <v>0</v>
      </c>
      <c r="S204" s="84">
        <v>0</v>
      </c>
      <c r="T204" s="84">
        <v>0</v>
      </c>
      <c r="U204" s="84">
        <v>1</v>
      </c>
      <c r="V204" s="84">
        <v>0</v>
      </c>
      <c r="W204" s="84">
        <v>0</v>
      </c>
      <c r="X204" s="84">
        <v>0</v>
      </c>
      <c r="Y204" s="84">
        <v>0</v>
      </c>
      <c r="Z204" s="84">
        <v>0</v>
      </c>
      <c r="AA204" s="84">
        <v>0</v>
      </c>
      <c r="AB204" s="84">
        <v>0</v>
      </c>
      <c r="AC204" s="84">
        <v>0</v>
      </c>
      <c r="AD204" s="84">
        <v>0</v>
      </c>
      <c r="AE204" s="84">
        <v>0</v>
      </c>
      <c r="AF204" s="84">
        <v>0</v>
      </c>
      <c r="AG204" s="84">
        <v>0</v>
      </c>
      <c r="AH204" s="84">
        <v>0</v>
      </c>
      <c r="AI204" s="84">
        <v>0</v>
      </c>
      <c r="AJ204" s="84">
        <v>0</v>
      </c>
      <c r="AK204" s="84">
        <v>0</v>
      </c>
    </row>
    <row r="205" spans="2:37">
      <c r="B205" s="81" t="s">
        <v>117</v>
      </c>
      <c r="C205" s="81" t="s">
        <v>118</v>
      </c>
      <c r="D205" s="84">
        <v>0</v>
      </c>
      <c r="E205" s="84">
        <v>0</v>
      </c>
      <c r="F205" s="84">
        <v>0</v>
      </c>
      <c r="G205" s="84">
        <v>0</v>
      </c>
      <c r="H205" s="84">
        <v>0</v>
      </c>
      <c r="I205" s="84">
        <v>0</v>
      </c>
      <c r="J205" s="84">
        <v>0</v>
      </c>
      <c r="K205" s="84">
        <v>0</v>
      </c>
      <c r="L205" s="84">
        <v>0</v>
      </c>
      <c r="M205" s="84">
        <v>0</v>
      </c>
      <c r="N205" s="84">
        <v>0</v>
      </c>
      <c r="O205" s="84">
        <v>0</v>
      </c>
      <c r="P205" s="84">
        <v>0</v>
      </c>
      <c r="Q205" s="84">
        <v>0</v>
      </c>
      <c r="R205" s="84">
        <v>0</v>
      </c>
      <c r="S205" s="84">
        <v>0</v>
      </c>
      <c r="T205" s="84">
        <v>0</v>
      </c>
      <c r="U205" s="84">
        <v>0</v>
      </c>
      <c r="V205" s="84">
        <v>1</v>
      </c>
      <c r="W205" s="84">
        <v>0</v>
      </c>
      <c r="X205" s="84">
        <v>0</v>
      </c>
      <c r="Y205" s="84">
        <v>0</v>
      </c>
      <c r="Z205" s="84">
        <v>0</v>
      </c>
      <c r="AA205" s="84">
        <v>0</v>
      </c>
      <c r="AB205" s="84">
        <v>0</v>
      </c>
      <c r="AC205" s="84">
        <v>0</v>
      </c>
      <c r="AD205" s="84">
        <v>0</v>
      </c>
      <c r="AE205" s="84">
        <v>0</v>
      </c>
      <c r="AF205" s="84">
        <v>0</v>
      </c>
      <c r="AG205" s="84">
        <v>0</v>
      </c>
      <c r="AH205" s="84">
        <v>0</v>
      </c>
      <c r="AI205" s="84">
        <v>0</v>
      </c>
      <c r="AJ205" s="84">
        <v>0</v>
      </c>
      <c r="AK205" s="84">
        <v>0</v>
      </c>
    </row>
    <row r="206" spans="2:37">
      <c r="B206" s="81" t="s">
        <v>119</v>
      </c>
      <c r="C206" s="81" t="s">
        <v>120</v>
      </c>
      <c r="D206" s="84">
        <v>0</v>
      </c>
      <c r="E206" s="84">
        <v>0</v>
      </c>
      <c r="F206" s="84">
        <v>0</v>
      </c>
      <c r="G206" s="84">
        <v>0</v>
      </c>
      <c r="H206" s="84">
        <v>0</v>
      </c>
      <c r="I206" s="84">
        <v>0</v>
      </c>
      <c r="J206" s="84">
        <v>0</v>
      </c>
      <c r="K206" s="84">
        <v>0</v>
      </c>
      <c r="L206" s="84">
        <v>0</v>
      </c>
      <c r="M206" s="84">
        <v>0</v>
      </c>
      <c r="N206" s="84">
        <v>0</v>
      </c>
      <c r="O206" s="84">
        <v>0</v>
      </c>
      <c r="P206" s="84">
        <v>0</v>
      </c>
      <c r="Q206" s="84">
        <v>0</v>
      </c>
      <c r="R206" s="84">
        <v>0</v>
      </c>
      <c r="S206" s="84">
        <v>0</v>
      </c>
      <c r="T206" s="84">
        <v>0</v>
      </c>
      <c r="U206" s="84">
        <v>0</v>
      </c>
      <c r="V206" s="84">
        <v>0</v>
      </c>
      <c r="W206" s="84">
        <v>1</v>
      </c>
      <c r="X206" s="84">
        <v>0</v>
      </c>
      <c r="Y206" s="84">
        <v>0</v>
      </c>
      <c r="Z206" s="84">
        <v>0</v>
      </c>
      <c r="AA206" s="84">
        <v>0</v>
      </c>
      <c r="AB206" s="84">
        <v>0</v>
      </c>
      <c r="AC206" s="84">
        <v>0</v>
      </c>
      <c r="AD206" s="84">
        <v>0</v>
      </c>
      <c r="AE206" s="84">
        <v>0</v>
      </c>
      <c r="AF206" s="84">
        <v>0</v>
      </c>
      <c r="AG206" s="84">
        <v>0</v>
      </c>
      <c r="AH206" s="84">
        <v>0</v>
      </c>
      <c r="AI206" s="84">
        <v>0</v>
      </c>
      <c r="AJ206" s="84">
        <v>0</v>
      </c>
      <c r="AK206" s="84">
        <v>0</v>
      </c>
    </row>
    <row r="207" spans="2:37">
      <c r="B207" s="81" t="s">
        <v>121</v>
      </c>
      <c r="C207" s="81" t="s">
        <v>122</v>
      </c>
      <c r="D207" s="84">
        <v>0</v>
      </c>
      <c r="E207" s="84">
        <v>0</v>
      </c>
      <c r="F207" s="84">
        <v>0</v>
      </c>
      <c r="G207" s="84">
        <v>0</v>
      </c>
      <c r="H207" s="84">
        <v>0</v>
      </c>
      <c r="I207" s="84">
        <v>0</v>
      </c>
      <c r="J207" s="84">
        <v>0</v>
      </c>
      <c r="K207" s="84">
        <v>0</v>
      </c>
      <c r="L207" s="84">
        <v>0</v>
      </c>
      <c r="M207" s="84">
        <v>0</v>
      </c>
      <c r="N207" s="84">
        <v>0</v>
      </c>
      <c r="O207" s="84">
        <v>0</v>
      </c>
      <c r="P207" s="84">
        <v>0</v>
      </c>
      <c r="Q207" s="84">
        <v>0</v>
      </c>
      <c r="R207" s="84">
        <v>0</v>
      </c>
      <c r="S207" s="84">
        <v>0</v>
      </c>
      <c r="T207" s="84">
        <v>0</v>
      </c>
      <c r="U207" s="84">
        <v>0</v>
      </c>
      <c r="V207" s="84">
        <v>0</v>
      </c>
      <c r="W207" s="84">
        <v>0</v>
      </c>
      <c r="X207" s="84">
        <v>1</v>
      </c>
      <c r="Y207" s="84">
        <v>0</v>
      </c>
      <c r="Z207" s="84">
        <v>0</v>
      </c>
      <c r="AA207" s="84">
        <v>0</v>
      </c>
      <c r="AB207" s="84">
        <v>0</v>
      </c>
      <c r="AC207" s="84">
        <v>0</v>
      </c>
      <c r="AD207" s="84">
        <v>0</v>
      </c>
      <c r="AE207" s="84">
        <v>0</v>
      </c>
      <c r="AF207" s="84">
        <v>0</v>
      </c>
      <c r="AG207" s="84">
        <v>0</v>
      </c>
      <c r="AH207" s="84">
        <v>0</v>
      </c>
      <c r="AI207" s="84">
        <v>0</v>
      </c>
      <c r="AJ207" s="84">
        <v>0</v>
      </c>
      <c r="AK207" s="84">
        <v>0</v>
      </c>
    </row>
    <row r="208" spans="2:37">
      <c r="B208" s="81" t="s">
        <v>123</v>
      </c>
      <c r="C208" s="81" t="s">
        <v>124</v>
      </c>
      <c r="D208" s="84">
        <v>0</v>
      </c>
      <c r="E208" s="84">
        <v>0</v>
      </c>
      <c r="F208" s="84">
        <v>0</v>
      </c>
      <c r="G208" s="84">
        <v>0</v>
      </c>
      <c r="H208" s="84">
        <v>0</v>
      </c>
      <c r="I208" s="84">
        <v>0</v>
      </c>
      <c r="J208" s="84">
        <v>0</v>
      </c>
      <c r="K208" s="84">
        <v>0</v>
      </c>
      <c r="L208" s="84">
        <v>0</v>
      </c>
      <c r="M208" s="84">
        <v>0</v>
      </c>
      <c r="N208" s="84">
        <v>0</v>
      </c>
      <c r="O208" s="84">
        <v>0</v>
      </c>
      <c r="P208" s="84">
        <v>0</v>
      </c>
      <c r="Q208" s="84">
        <v>0</v>
      </c>
      <c r="R208" s="84">
        <v>0</v>
      </c>
      <c r="S208" s="84">
        <v>0</v>
      </c>
      <c r="T208" s="84">
        <v>0</v>
      </c>
      <c r="U208" s="84">
        <v>0</v>
      </c>
      <c r="V208" s="84">
        <v>0</v>
      </c>
      <c r="W208" s="84">
        <v>0</v>
      </c>
      <c r="X208" s="84">
        <v>0</v>
      </c>
      <c r="Y208" s="84">
        <v>1</v>
      </c>
      <c r="Z208" s="84">
        <v>0</v>
      </c>
      <c r="AA208" s="84">
        <v>0</v>
      </c>
      <c r="AB208" s="84">
        <v>0</v>
      </c>
      <c r="AC208" s="84">
        <v>0</v>
      </c>
      <c r="AD208" s="84">
        <v>0</v>
      </c>
      <c r="AE208" s="84">
        <v>0</v>
      </c>
      <c r="AF208" s="84">
        <v>0</v>
      </c>
      <c r="AG208" s="84">
        <v>0</v>
      </c>
      <c r="AH208" s="84">
        <v>0</v>
      </c>
      <c r="AI208" s="84">
        <v>0</v>
      </c>
      <c r="AJ208" s="84">
        <v>0</v>
      </c>
      <c r="AK208" s="84">
        <v>0</v>
      </c>
    </row>
    <row r="209" spans="2:37">
      <c r="B209" s="81" t="s">
        <v>125</v>
      </c>
      <c r="C209" s="81" t="s">
        <v>126</v>
      </c>
      <c r="D209" s="84">
        <v>0</v>
      </c>
      <c r="E209" s="84">
        <v>0</v>
      </c>
      <c r="F209" s="84">
        <v>0</v>
      </c>
      <c r="G209" s="84">
        <v>0</v>
      </c>
      <c r="H209" s="84">
        <v>0</v>
      </c>
      <c r="I209" s="84">
        <v>0</v>
      </c>
      <c r="J209" s="84">
        <v>0</v>
      </c>
      <c r="K209" s="84">
        <v>0</v>
      </c>
      <c r="L209" s="84">
        <v>0</v>
      </c>
      <c r="M209" s="84">
        <v>0</v>
      </c>
      <c r="N209" s="84">
        <v>0</v>
      </c>
      <c r="O209" s="84">
        <v>0</v>
      </c>
      <c r="P209" s="84">
        <v>0</v>
      </c>
      <c r="Q209" s="84">
        <v>0</v>
      </c>
      <c r="R209" s="84">
        <v>0</v>
      </c>
      <c r="S209" s="84">
        <v>0</v>
      </c>
      <c r="T209" s="84">
        <v>0</v>
      </c>
      <c r="U209" s="84">
        <v>0</v>
      </c>
      <c r="V209" s="84">
        <v>0</v>
      </c>
      <c r="W209" s="84">
        <v>0</v>
      </c>
      <c r="X209" s="84">
        <v>0</v>
      </c>
      <c r="Y209" s="84">
        <v>0</v>
      </c>
      <c r="Z209" s="84">
        <v>1</v>
      </c>
      <c r="AA209" s="84">
        <v>0</v>
      </c>
      <c r="AB209" s="84">
        <v>0</v>
      </c>
      <c r="AC209" s="84">
        <v>0</v>
      </c>
      <c r="AD209" s="84">
        <v>0</v>
      </c>
      <c r="AE209" s="84">
        <v>0</v>
      </c>
      <c r="AF209" s="84">
        <v>0</v>
      </c>
      <c r="AG209" s="84">
        <v>0</v>
      </c>
      <c r="AH209" s="84">
        <v>0</v>
      </c>
      <c r="AI209" s="84">
        <v>0</v>
      </c>
      <c r="AJ209" s="84">
        <v>0</v>
      </c>
      <c r="AK209" s="84">
        <v>0</v>
      </c>
    </row>
    <row r="210" spans="2:37">
      <c r="B210" s="81" t="s">
        <v>127</v>
      </c>
      <c r="C210" s="81" t="s">
        <v>128</v>
      </c>
      <c r="D210" s="84">
        <v>0</v>
      </c>
      <c r="E210" s="84">
        <v>0</v>
      </c>
      <c r="F210" s="84">
        <v>0</v>
      </c>
      <c r="G210" s="84">
        <v>0</v>
      </c>
      <c r="H210" s="84">
        <v>0</v>
      </c>
      <c r="I210" s="84">
        <v>0</v>
      </c>
      <c r="J210" s="84">
        <v>0</v>
      </c>
      <c r="K210" s="84">
        <v>0</v>
      </c>
      <c r="L210" s="84">
        <v>0</v>
      </c>
      <c r="M210" s="84">
        <v>0</v>
      </c>
      <c r="N210" s="84">
        <v>0</v>
      </c>
      <c r="O210" s="84">
        <v>0</v>
      </c>
      <c r="P210" s="84">
        <v>0</v>
      </c>
      <c r="Q210" s="84">
        <v>0</v>
      </c>
      <c r="R210" s="84">
        <v>0</v>
      </c>
      <c r="S210" s="84">
        <v>0</v>
      </c>
      <c r="T210" s="84">
        <v>0</v>
      </c>
      <c r="U210" s="84">
        <v>0</v>
      </c>
      <c r="V210" s="84">
        <v>0</v>
      </c>
      <c r="W210" s="84">
        <v>0</v>
      </c>
      <c r="X210" s="84">
        <v>0</v>
      </c>
      <c r="Y210" s="84">
        <v>0</v>
      </c>
      <c r="Z210" s="84">
        <v>0</v>
      </c>
      <c r="AA210" s="84">
        <v>1</v>
      </c>
      <c r="AB210" s="84">
        <v>0</v>
      </c>
      <c r="AC210" s="84">
        <v>0</v>
      </c>
      <c r="AD210" s="84">
        <v>0</v>
      </c>
      <c r="AE210" s="84">
        <v>0</v>
      </c>
      <c r="AF210" s="84">
        <v>0</v>
      </c>
      <c r="AG210" s="84">
        <v>0</v>
      </c>
      <c r="AH210" s="84">
        <v>0</v>
      </c>
      <c r="AI210" s="84">
        <v>0</v>
      </c>
      <c r="AJ210" s="84">
        <v>0</v>
      </c>
      <c r="AK210" s="84">
        <v>0</v>
      </c>
    </row>
    <row r="211" spans="2:37">
      <c r="B211" s="81" t="s">
        <v>129</v>
      </c>
      <c r="C211" s="81" t="s">
        <v>130</v>
      </c>
      <c r="D211" s="84">
        <v>0</v>
      </c>
      <c r="E211" s="84">
        <v>0</v>
      </c>
      <c r="F211" s="84">
        <v>0</v>
      </c>
      <c r="G211" s="84">
        <v>0</v>
      </c>
      <c r="H211" s="84">
        <v>0</v>
      </c>
      <c r="I211" s="84">
        <v>0</v>
      </c>
      <c r="J211" s="84">
        <v>0</v>
      </c>
      <c r="K211" s="84">
        <v>0</v>
      </c>
      <c r="L211" s="84">
        <v>0</v>
      </c>
      <c r="M211" s="84">
        <v>0</v>
      </c>
      <c r="N211" s="84">
        <v>0</v>
      </c>
      <c r="O211" s="84">
        <v>0</v>
      </c>
      <c r="P211" s="84">
        <v>0</v>
      </c>
      <c r="Q211" s="84">
        <v>0</v>
      </c>
      <c r="R211" s="84">
        <v>0</v>
      </c>
      <c r="S211" s="84">
        <v>0</v>
      </c>
      <c r="T211" s="84">
        <v>0</v>
      </c>
      <c r="U211" s="84">
        <v>0</v>
      </c>
      <c r="V211" s="84">
        <v>0</v>
      </c>
      <c r="W211" s="84">
        <v>0</v>
      </c>
      <c r="X211" s="84">
        <v>0</v>
      </c>
      <c r="Y211" s="84">
        <v>0</v>
      </c>
      <c r="Z211" s="84">
        <v>0</v>
      </c>
      <c r="AA211" s="84">
        <v>0</v>
      </c>
      <c r="AB211" s="84">
        <v>1</v>
      </c>
      <c r="AC211" s="84">
        <v>0</v>
      </c>
      <c r="AD211" s="84">
        <v>0</v>
      </c>
      <c r="AE211" s="84">
        <v>0</v>
      </c>
      <c r="AF211" s="84">
        <v>0</v>
      </c>
      <c r="AG211" s="84">
        <v>0</v>
      </c>
      <c r="AH211" s="84">
        <v>0</v>
      </c>
      <c r="AI211" s="84">
        <v>0</v>
      </c>
      <c r="AJ211" s="84">
        <v>0</v>
      </c>
      <c r="AK211" s="84">
        <v>0</v>
      </c>
    </row>
    <row r="212" spans="2:37">
      <c r="B212" s="81" t="s">
        <v>131</v>
      </c>
      <c r="C212" s="81" t="s">
        <v>132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0</v>
      </c>
      <c r="N212" s="84">
        <v>0</v>
      </c>
      <c r="O212" s="84">
        <v>0</v>
      </c>
      <c r="P212" s="84">
        <v>0</v>
      </c>
      <c r="Q212" s="84">
        <v>0</v>
      </c>
      <c r="R212" s="84">
        <v>0</v>
      </c>
      <c r="S212" s="84">
        <v>0</v>
      </c>
      <c r="T212" s="84">
        <v>0</v>
      </c>
      <c r="U212" s="84">
        <v>0</v>
      </c>
      <c r="V212" s="84">
        <v>0</v>
      </c>
      <c r="W212" s="84">
        <v>0</v>
      </c>
      <c r="X212" s="84">
        <v>0</v>
      </c>
      <c r="Y212" s="84">
        <v>0</v>
      </c>
      <c r="Z212" s="84">
        <v>0</v>
      </c>
      <c r="AA212" s="84">
        <v>0</v>
      </c>
      <c r="AB212" s="84">
        <v>0</v>
      </c>
      <c r="AC212" s="84">
        <v>1</v>
      </c>
      <c r="AD212" s="84">
        <v>0</v>
      </c>
      <c r="AE212" s="84">
        <v>0</v>
      </c>
      <c r="AF212" s="84">
        <v>0</v>
      </c>
      <c r="AG212" s="84">
        <v>0</v>
      </c>
      <c r="AH212" s="84">
        <v>0</v>
      </c>
      <c r="AI212" s="84">
        <v>0</v>
      </c>
      <c r="AJ212" s="84">
        <v>0</v>
      </c>
      <c r="AK212" s="84">
        <v>0</v>
      </c>
    </row>
    <row r="213" spans="2:37">
      <c r="B213" s="81" t="s">
        <v>133</v>
      </c>
      <c r="C213" s="81" t="s">
        <v>134</v>
      </c>
      <c r="D213" s="84">
        <v>0</v>
      </c>
      <c r="E213" s="84">
        <v>0</v>
      </c>
      <c r="F213" s="84">
        <v>0</v>
      </c>
      <c r="G213" s="84">
        <v>0</v>
      </c>
      <c r="H213" s="84">
        <v>0</v>
      </c>
      <c r="I213" s="84">
        <v>0</v>
      </c>
      <c r="J213" s="84">
        <v>0</v>
      </c>
      <c r="K213" s="84">
        <v>0</v>
      </c>
      <c r="L213" s="84">
        <v>0</v>
      </c>
      <c r="M213" s="84">
        <v>0</v>
      </c>
      <c r="N213" s="84">
        <v>0</v>
      </c>
      <c r="O213" s="84">
        <v>0</v>
      </c>
      <c r="P213" s="84">
        <v>0</v>
      </c>
      <c r="Q213" s="84">
        <v>0</v>
      </c>
      <c r="R213" s="84">
        <v>0</v>
      </c>
      <c r="S213" s="84">
        <v>0</v>
      </c>
      <c r="T213" s="84">
        <v>0</v>
      </c>
      <c r="U213" s="84">
        <v>0</v>
      </c>
      <c r="V213" s="84">
        <v>0</v>
      </c>
      <c r="W213" s="84">
        <v>0</v>
      </c>
      <c r="X213" s="84">
        <v>0</v>
      </c>
      <c r="Y213" s="84">
        <v>0</v>
      </c>
      <c r="Z213" s="84">
        <v>0</v>
      </c>
      <c r="AA213" s="84">
        <v>0</v>
      </c>
      <c r="AB213" s="84">
        <v>0</v>
      </c>
      <c r="AC213" s="84">
        <v>0</v>
      </c>
      <c r="AD213" s="84">
        <v>1</v>
      </c>
      <c r="AE213" s="84">
        <v>0</v>
      </c>
      <c r="AF213" s="84">
        <v>0</v>
      </c>
      <c r="AG213" s="84">
        <v>0</v>
      </c>
      <c r="AH213" s="84">
        <v>0</v>
      </c>
      <c r="AI213" s="84">
        <v>0</v>
      </c>
      <c r="AJ213" s="84">
        <v>0</v>
      </c>
      <c r="AK213" s="84">
        <v>0</v>
      </c>
    </row>
    <row r="214" spans="2:37">
      <c r="B214" s="81" t="s">
        <v>135</v>
      </c>
      <c r="C214" s="81" t="s">
        <v>136</v>
      </c>
      <c r="D214" s="84">
        <v>0</v>
      </c>
      <c r="E214" s="84">
        <v>0</v>
      </c>
      <c r="F214" s="84">
        <v>0</v>
      </c>
      <c r="G214" s="84">
        <v>0</v>
      </c>
      <c r="H214" s="84">
        <v>0</v>
      </c>
      <c r="I214" s="84">
        <v>0</v>
      </c>
      <c r="J214" s="84">
        <v>0</v>
      </c>
      <c r="K214" s="84">
        <v>0</v>
      </c>
      <c r="L214" s="84">
        <v>0</v>
      </c>
      <c r="M214" s="84">
        <v>0</v>
      </c>
      <c r="N214" s="84">
        <v>0</v>
      </c>
      <c r="O214" s="84">
        <v>0</v>
      </c>
      <c r="P214" s="84">
        <v>0</v>
      </c>
      <c r="Q214" s="84">
        <v>0</v>
      </c>
      <c r="R214" s="84">
        <v>0</v>
      </c>
      <c r="S214" s="84">
        <v>0</v>
      </c>
      <c r="T214" s="84">
        <v>0</v>
      </c>
      <c r="U214" s="84">
        <v>0</v>
      </c>
      <c r="V214" s="84">
        <v>0</v>
      </c>
      <c r="W214" s="84">
        <v>0</v>
      </c>
      <c r="X214" s="84">
        <v>0</v>
      </c>
      <c r="Y214" s="84">
        <v>0</v>
      </c>
      <c r="Z214" s="84">
        <v>0</v>
      </c>
      <c r="AA214" s="84">
        <v>0</v>
      </c>
      <c r="AB214" s="84">
        <v>0</v>
      </c>
      <c r="AC214" s="84">
        <v>0</v>
      </c>
      <c r="AD214" s="84">
        <v>0</v>
      </c>
      <c r="AE214" s="84">
        <v>1</v>
      </c>
      <c r="AF214" s="84">
        <v>0</v>
      </c>
      <c r="AG214" s="84">
        <v>0</v>
      </c>
      <c r="AH214" s="84">
        <v>0</v>
      </c>
      <c r="AI214" s="84">
        <v>0</v>
      </c>
      <c r="AJ214" s="84">
        <v>0</v>
      </c>
      <c r="AK214" s="84">
        <v>0</v>
      </c>
    </row>
    <row r="215" spans="2:37">
      <c r="B215" s="81" t="s">
        <v>137</v>
      </c>
      <c r="C215" s="81" t="s">
        <v>138</v>
      </c>
      <c r="D215" s="84">
        <v>0</v>
      </c>
      <c r="E215" s="84">
        <v>0</v>
      </c>
      <c r="F215" s="84">
        <v>0</v>
      </c>
      <c r="G215" s="84">
        <v>0</v>
      </c>
      <c r="H215" s="84">
        <v>0</v>
      </c>
      <c r="I215" s="84">
        <v>0</v>
      </c>
      <c r="J215" s="84">
        <v>0</v>
      </c>
      <c r="K215" s="84">
        <v>0</v>
      </c>
      <c r="L215" s="84">
        <v>0</v>
      </c>
      <c r="M215" s="84">
        <v>0</v>
      </c>
      <c r="N215" s="84">
        <v>0</v>
      </c>
      <c r="O215" s="84">
        <v>0</v>
      </c>
      <c r="P215" s="84">
        <v>0</v>
      </c>
      <c r="Q215" s="84">
        <v>0</v>
      </c>
      <c r="R215" s="84">
        <v>0</v>
      </c>
      <c r="S215" s="84">
        <v>0</v>
      </c>
      <c r="T215" s="84">
        <v>0</v>
      </c>
      <c r="U215" s="84">
        <v>0</v>
      </c>
      <c r="V215" s="84">
        <v>0</v>
      </c>
      <c r="W215" s="84">
        <v>0</v>
      </c>
      <c r="X215" s="84">
        <v>0</v>
      </c>
      <c r="Y215" s="84">
        <v>0</v>
      </c>
      <c r="Z215" s="84">
        <v>0</v>
      </c>
      <c r="AA215" s="84">
        <v>0</v>
      </c>
      <c r="AB215" s="84">
        <v>0</v>
      </c>
      <c r="AC215" s="84">
        <v>0</v>
      </c>
      <c r="AD215" s="84">
        <v>0</v>
      </c>
      <c r="AE215" s="84">
        <v>0</v>
      </c>
      <c r="AF215" s="84">
        <v>1</v>
      </c>
      <c r="AG215" s="84">
        <v>0</v>
      </c>
      <c r="AH215" s="84">
        <v>0</v>
      </c>
      <c r="AI215" s="84">
        <v>0</v>
      </c>
      <c r="AJ215" s="84">
        <v>0</v>
      </c>
      <c r="AK215" s="84">
        <v>0</v>
      </c>
    </row>
    <row r="216" spans="2:37">
      <c r="B216" s="81" t="s">
        <v>139</v>
      </c>
      <c r="C216" s="81" t="s">
        <v>140</v>
      </c>
      <c r="D216" s="84">
        <v>0</v>
      </c>
      <c r="E216" s="84">
        <v>0</v>
      </c>
      <c r="F216" s="84">
        <v>0</v>
      </c>
      <c r="G216" s="84">
        <v>0</v>
      </c>
      <c r="H216" s="84">
        <v>0</v>
      </c>
      <c r="I216" s="84">
        <v>0</v>
      </c>
      <c r="J216" s="84">
        <v>0</v>
      </c>
      <c r="K216" s="84">
        <v>0</v>
      </c>
      <c r="L216" s="84">
        <v>0</v>
      </c>
      <c r="M216" s="84">
        <v>0</v>
      </c>
      <c r="N216" s="84">
        <v>0</v>
      </c>
      <c r="O216" s="84">
        <v>0</v>
      </c>
      <c r="P216" s="84">
        <v>0</v>
      </c>
      <c r="Q216" s="84">
        <v>0</v>
      </c>
      <c r="R216" s="84">
        <v>0</v>
      </c>
      <c r="S216" s="84">
        <v>0</v>
      </c>
      <c r="T216" s="84">
        <v>0</v>
      </c>
      <c r="U216" s="84">
        <v>0</v>
      </c>
      <c r="V216" s="84">
        <v>0</v>
      </c>
      <c r="W216" s="84">
        <v>0</v>
      </c>
      <c r="X216" s="84">
        <v>0</v>
      </c>
      <c r="Y216" s="84">
        <v>0</v>
      </c>
      <c r="Z216" s="84">
        <v>0</v>
      </c>
      <c r="AA216" s="84">
        <v>0</v>
      </c>
      <c r="AB216" s="84">
        <v>0</v>
      </c>
      <c r="AC216" s="84">
        <v>0</v>
      </c>
      <c r="AD216" s="84">
        <v>0</v>
      </c>
      <c r="AE216" s="84">
        <v>0</v>
      </c>
      <c r="AF216" s="84">
        <v>0</v>
      </c>
      <c r="AG216" s="84">
        <v>1</v>
      </c>
      <c r="AH216" s="84">
        <v>0</v>
      </c>
      <c r="AI216" s="84">
        <v>0</v>
      </c>
      <c r="AJ216" s="84">
        <v>0</v>
      </c>
      <c r="AK216" s="84">
        <v>0</v>
      </c>
    </row>
    <row r="217" spans="2:37">
      <c r="B217" s="81" t="s">
        <v>141</v>
      </c>
      <c r="C217" s="81" t="s">
        <v>142</v>
      </c>
      <c r="D217" s="84">
        <v>0</v>
      </c>
      <c r="E217" s="84">
        <v>0</v>
      </c>
      <c r="F217" s="84">
        <v>0</v>
      </c>
      <c r="G217" s="84">
        <v>0</v>
      </c>
      <c r="H217" s="84">
        <v>0</v>
      </c>
      <c r="I217" s="84">
        <v>0</v>
      </c>
      <c r="J217" s="84">
        <v>0</v>
      </c>
      <c r="K217" s="84">
        <v>0</v>
      </c>
      <c r="L217" s="84">
        <v>0</v>
      </c>
      <c r="M217" s="84">
        <v>0</v>
      </c>
      <c r="N217" s="84">
        <v>0</v>
      </c>
      <c r="O217" s="84">
        <v>0</v>
      </c>
      <c r="P217" s="84">
        <v>0</v>
      </c>
      <c r="Q217" s="84">
        <v>0</v>
      </c>
      <c r="R217" s="84">
        <v>0</v>
      </c>
      <c r="S217" s="84">
        <v>0</v>
      </c>
      <c r="T217" s="84">
        <v>0</v>
      </c>
      <c r="U217" s="84">
        <v>0</v>
      </c>
      <c r="V217" s="84">
        <v>0</v>
      </c>
      <c r="W217" s="84">
        <v>0</v>
      </c>
      <c r="X217" s="84">
        <v>0</v>
      </c>
      <c r="Y217" s="84">
        <v>0</v>
      </c>
      <c r="Z217" s="84">
        <v>0</v>
      </c>
      <c r="AA217" s="84">
        <v>0</v>
      </c>
      <c r="AB217" s="84">
        <v>0</v>
      </c>
      <c r="AC217" s="84">
        <v>0</v>
      </c>
      <c r="AD217" s="84">
        <v>0</v>
      </c>
      <c r="AE217" s="84">
        <v>0</v>
      </c>
      <c r="AF217" s="84">
        <v>0</v>
      </c>
      <c r="AG217" s="84">
        <v>0</v>
      </c>
      <c r="AH217" s="84">
        <v>1</v>
      </c>
      <c r="AI217" s="84">
        <v>0</v>
      </c>
      <c r="AJ217" s="84">
        <v>0</v>
      </c>
      <c r="AK217" s="84">
        <v>0</v>
      </c>
    </row>
    <row r="218" spans="2:37">
      <c r="B218" s="81" t="s">
        <v>143</v>
      </c>
      <c r="C218" s="81" t="s">
        <v>144</v>
      </c>
      <c r="D218" s="84">
        <v>0</v>
      </c>
      <c r="E218" s="84">
        <v>0</v>
      </c>
      <c r="F218" s="84">
        <v>0</v>
      </c>
      <c r="G218" s="84">
        <v>0</v>
      </c>
      <c r="H218" s="84">
        <v>0</v>
      </c>
      <c r="I218" s="84">
        <v>0</v>
      </c>
      <c r="J218" s="84">
        <v>0</v>
      </c>
      <c r="K218" s="84">
        <v>0</v>
      </c>
      <c r="L218" s="84">
        <v>0</v>
      </c>
      <c r="M218" s="84">
        <v>0</v>
      </c>
      <c r="N218" s="84">
        <v>0</v>
      </c>
      <c r="O218" s="84">
        <v>0</v>
      </c>
      <c r="P218" s="84">
        <v>0</v>
      </c>
      <c r="Q218" s="84">
        <v>0</v>
      </c>
      <c r="R218" s="84">
        <v>0</v>
      </c>
      <c r="S218" s="84">
        <v>0</v>
      </c>
      <c r="T218" s="84">
        <v>0</v>
      </c>
      <c r="U218" s="84">
        <v>0</v>
      </c>
      <c r="V218" s="84">
        <v>0</v>
      </c>
      <c r="W218" s="84">
        <v>0</v>
      </c>
      <c r="X218" s="84">
        <v>0</v>
      </c>
      <c r="Y218" s="84">
        <v>0</v>
      </c>
      <c r="Z218" s="84">
        <v>0</v>
      </c>
      <c r="AA218" s="84">
        <v>0</v>
      </c>
      <c r="AB218" s="84">
        <v>0</v>
      </c>
      <c r="AC218" s="84">
        <v>0</v>
      </c>
      <c r="AD218" s="84">
        <v>0</v>
      </c>
      <c r="AE218" s="84">
        <v>0</v>
      </c>
      <c r="AF218" s="84">
        <v>0</v>
      </c>
      <c r="AG218" s="84">
        <v>0</v>
      </c>
      <c r="AH218" s="84">
        <v>0</v>
      </c>
      <c r="AI218" s="84">
        <v>1</v>
      </c>
      <c r="AJ218" s="84">
        <v>0</v>
      </c>
      <c r="AK218" s="84">
        <v>0</v>
      </c>
    </row>
    <row r="219" spans="2:37">
      <c r="B219" s="81" t="s">
        <v>145</v>
      </c>
      <c r="C219" s="81" t="s">
        <v>146</v>
      </c>
      <c r="D219" s="84">
        <v>0</v>
      </c>
      <c r="E219" s="84">
        <v>0</v>
      </c>
      <c r="F219" s="84">
        <v>0</v>
      </c>
      <c r="G219" s="84">
        <v>0</v>
      </c>
      <c r="H219" s="84">
        <v>0</v>
      </c>
      <c r="I219" s="84">
        <v>0</v>
      </c>
      <c r="J219" s="84">
        <v>0</v>
      </c>
      <c r="K219" s="84">
        <v>0</v>
      </c>
      <c r="L219" s="84">
        <v>0</v>
      </c>
      <c r="M219" s="84">
        <v>0</v>
      </c>
      <c r="N219" s="84">
        <v>0</v>
      </c>
      <c r="O219" s="84">
        <v>0</v>
      </c>
      <c r="P219" s="84">
        <v>0</v>
      </c>
      <c r="Q219" s="84">
        <v>0</v>
      </c>
      <c r="R219" s="84">
        <v>0</v>
      </c>
      <c r="S219" s="84">
        <v>0</v>
      </c>
      <c r="T219" s="84">
        <v>0</v>
      </c>
      <c r="U219" s="84">
        <v>0</v>
      </c>
      <c r="V219" s="84">
        <v>0</v>
      </c>
      <c r="W219" s="84">
        <v>0</v>
      </c>
      <c r="X219" s="84">
        <v>0</v>
      </c>
      <c r="Y219" s="84">
        <v>0</v>
      </c>
      <c r="Z219" s="84">
        <v>0</v>
      </c>
      <c r="AA219" s="84">
        <v>0</v>
      </c>
      <c r="AB219" s="84">
        <v>0</v>
      </c>
      <c r="AC219" s="84">
        <v>0</v>
      </c>
      <c r="AD219" s="84">
        <v>0</v>
      </c>
      <c r="AE219" s="84">
        <v>0</v>
      </c>
      <c r="AF219" s="84">
        <v>0</v>
      </c>
      <c r="AG219" s="84">
        <v>0</v>
      </c>
      <c r="AH219" s="84">
        <v>0</v>
      </c>
      <c r="AI219" s="84">
        <v>0</v>
      </c>
      <c r="AJ219" s="84">
        <v>1</v>
      </c>
      <c r="AK219" s="84">
        <v>0</v>
      </c>
    </row>
    <row r="220" spans="2:37">
      <c r="B220" s="81" t="s">
        <v>147</v>
      </c>
      <c r="C220" s="81" t="s">
        <v>148</v>
      </c>
      <c r="D220" s="84">
        <v>0</v>
      </c>
      <c r="E220" s="84">
        <v>0</v>
      </c>
      <c r="F220" s="84">
        <v>0</v>
      </c>
      <c r="G220" s="84">
        <v>0</v>
      </c>
      <c r="H220" s="84">
        <v>0</v>
      </c>
      <c r="I220" s="84">
        <v>0</v>
      </c>
      <c r="J220" s="84">
        <v>0</v>
      </c>
      <c r="K220" s="84">
        <v>0</v>
      </c>
      <c r="L220" s="84">
        <v>0</v>
      </c>
      <c r="M220" s="84">
        <v>0</v>
      </c>
      <c r="N220" s="84">
        <v>0</v>
      </c>
      <c r="O220" s="84">
        <v>0</v>
      </c>
      <c r="P220" s="84">
        <v>0</v>
      </c>
      <c r="Q220" s="84">
        <v>0</v>
      </c>
      <c r="R220" s="84">
        <v>0</v>
      </c>
      <c r="S220" s="84">
        <v>0</v>
      </c>
      <c r="T220" s="84">
        <v>0</v>
      </c>
      <c r="U220" s="84">
        <v>0</v>
      </c>
      <c r="V220" s="84">
        <v>0</v>
      </c>
      <c r="W220" s="84">
        <v>0</v>
      </c>
      <c r="X220" s="84">
        <v>0</v>
      </c>
      <c r="Y220" s="84">
        <v>0</v>
      </c>
      <c r="Z220" s="84">
        <v>0</v>
      </c>
      <c r="AA220" s="84">
        <v>0</v>
      </c>
      <c r="AB220" s="84">
        <v>0</v>
      </c>
      <c r="AC220" s="84">
        <v>0</v>
      </c>
      <c r="AD220" s="84">
        <v>0</v>
      </c>
      <c r="AE220" s="84">
        <v>0</v>
      </c>
      <c r="AF220" s="84">
        <v>0</v>
      </c>
      <c r="AG220" s="84">
        <v>0</v>
      </c>
      <c r="AH220" s="84">
        <v>0</v>
      </c>
      <c r="AI220" s="84">
        <v>0</v>
      </c>
      <c r="AJ220" s="84">
        <v>0</v>
      </c>
      <c r="AK220" s="84">
        <v>1</v>
      </c>
    </row>
    <row r="222" spans="2:37">
      <c r="B222" s="24" t="s">
        <v>314</v>
      </c>
    </row>
    <row r="224" spans="2:37" ht="112">
      <c r="B224" s="81"/>
      <c r="C224" s="81"/>
      <c r="D224" s="82" t="s">
        <v>177</v>
      </c>
      <c r="E224" s="82" t="s">
        <v>178</v>
      </c>
      <c r="F224" s="82" t="s">
        <v>179</v>
      </c>
      <c r="G224" s="82" t="s">
        <v>180</v>
      </c>
      <c r="H224" s="82" t="s">
        <v>181</v>
      </c>
      <c r="I224" s="82" t="s">
        <v>182</v>
      </c>
      <c r="J224" s="82" t="s">
        <v>183</v>
      </c>
      <c r="K224" s="82" t="s">
        <v>184</v>
      </c>
      <c r="L224" s="82" t="s">
        <v>185</v>
      </c>
      <c r="M224" s="82" t="s">
        <v>186</v>
      </c>
      <c r="N224" s="82" t="s">
        <v>187</v>
      </c>
      <c r="O224" s="82" t="s">
        <v>188</v>
      </c>
      <c r="P224" s="82" t="s">
        <v>105</v>
      </c>
      <c r="Q224" s="82" t="s">
        <v>189</v>
      </c>
      <c r="R224" s="82" t="s">
        <v>190</v>
      </c>
      <c r="S224" s="82" t="s">
        <v>191</v>
      </c>
      <c r="T224" s="82" t="s">
        <v>192</v>
      </c>
      <c r="U224" s="82" t="s">
        <v>115</v>
      </c>
      <c r="V224" s="82" t="s">
        <v>193</v>
      </c>
      <c r="W224" s="82" t="s">
        <v>194</v>
      </c>
      <c r="X224" s="82" t="s">
        <v>195</v>
      </c>
      <c r="Y224" s="82" t="s">
        <v>196</v>
      </c>
      <c r="Z224" s="82" t="s">
        <v>197</v>
      </c>
      <c r="AA224" s="82" t="s">
        <v>198</v>
      </c>
      <c r="AB224" s="82" t="s">
        <v>199</v>
      </c>
      <c r="AC224" s="82" t="s">
        <v>200</v>
      </c>
      <c r="AD224" s="82" t="s">
        <v>201</v>
      </c>
      <c r="AE224" s="82" t="s">
        <v>202</v>
      </c>
      <c r="AF224" s="82" t="s">
        <v>203</v>
      </c>
      <c r="AG224" s="82" t="s">
        <v>204</v>
      </c>
      <c r="AH224" s="82" t="s">
        <v>205</v>
      </c>
      <c r="AI224" s="82" t="s">
        <v>143</v>
      </c>
      <c r="AJ224" s="82" t="s">
        <v>206</v>
      </c>
      <c r="AK224" s="82" t="s">
        <v>207</v>
      </c>
    </row>
    <row r="225" spans="2:37">
      <c r="B225" s="81"/>
      <c r="C225" s="81"/>
      <c r="D225" s="84" t="s">
        <v>82</v>
      </c>
      <c r="E225" s="84" t="s">
        <v>84</v>
      </c>
      <c r="F225" s="84" t="s">
        <v>86</v>
      </c>
      <c r="G225" s="84" t="s">
        <v>88</v>
      </c>
      <c r="H225" s="84" t="s">
        <v>90</v>
      </c>
      <c r="I225" s="84" t="s">
        <v>92</v>
      </c>
      <c r="J225" s="84" t="s">
        <v>94</v>
      </c>
      <c r="K225" s="84" t="s">
        <v>96</v>
      </c>
      <c r="L225" s="84" t="s">
        <v>98</v>
      </c>
      <c r="M225" s="84" t="s">
        <v>100</v>
      </c>
      <c r="N225" s="84" t="s">
        <v>102</v>
      </c>
      <c r="O225" s="84" t="s">
        <v>104</v>
      </c>
      <c r="P225" s="84" t="s">
        <v>106</v>
      </c>
      <c r="Q225" s="84" t="s">
        <v>108</v>
      </c>
      <c r="R225" s="84" t="s">
        <v>110</v>
      </c>
      <c r="S225" s="84" t="s">
        <v>112</v>
      </c>
      <c r="T225" s="84" t="s">
        <v>114</v>
      </c>
      <c r="U225" s="84" t="s">
        <v>116</v>
      </c>
      <c r="V225" s="84" t="s">
        <v>118</v>
      </c>
      <c r="W225" s="84" t="s">
        <v>120</v>
      </c>
      <c r="X225" s="84" t="s">
        <v>122</v>
      </c>
      <c r="Y225" s="84" t="s">
        <v>124</v>
      </c>
      <c r="Z225" s="84" t="s">
        <v>126</v>
      </c>
      <c r="AA225" s="84" t="s">
        <v>128</v>
      </c>
      <c r="AB225" s="84" t="s">
        <v>130</v>
      </c>
      <c r="AC225" s="84" t="s">
        <v>132</v>
      </c>
      <c r="AD225" s="84" t="s">
        <v>134</v>
      </c>
      <c r="AE225" s="84" t="s">
        <v>136</v>
      </c>
      <c r="AF225" s="84" t="s">
        <v>138</v>
      </c>
      <c r="AG225" s="84" t="s">
        <v>140</v>
      </c>
      <c r="AH225" s="84" t="s">
        <v>142</v>
      </c>
      <c r="AI225" s="84" t="s">
        <v>144</v>
      </c>
      <c r="AJ225" s="84" t="s">
        <v>146</v>
      </c>
      <c r="AK225" s="84" t="s">
        <v>148</v>
      </c>
    </row>
    <row r="226" spans="2:37">
      <c r="B226" s="81" t="s">
        <v>81</v>
      </c>
      <c r="C226" s="81" t="s">
        <v>82</v>
      </c>
      <c r="D226" s="83">
        <f>D187-D148</f>
        <v>0.54874783713550102</v>
      </c>
      <c r="E226" s="83">
        <f t="shared" ref="E226:AK226" si="22">E187-E148</f>
        <v>-2.2161741354171896E-3</v>
      </c>
      <c r="F226" s="83">
        <f t="shared" si="22"/>
        <v>-0.17924521776424096</v>
      </c>
      <c r="G226" s="83">
        <f t="shared" si="22"/>
        <v>-0.13314738616556884</v>
      </c>
      <c r="H226" s="83">
        <f t="shared" si="22"/>
        <v>-0.12146327771202031</v>
      </c>
      <c r="I226" s="83">
        <f t="shared" si="22"/>
        <v>-2.2652573474447892E-3</v>
      </c>
      <c r="J226" s="83">
        <f t="shared" si="22"/>
        <v>-1.9276059427764021E-3</v>
      </c>
      <c r="K226" s="83">
        <f t="shared" si="22"/>
        <v>-2.8785370761972248E-3</v>
      </c>
      <c r="L226" s="83">
        <f t="shared" si="22"/>
        <v>-3.0392634587225009E-3</v>
      </c>
      <c r="M226" s="83">
        <f t="shared" si="22"/>
        <v>-7.2058887027036584E-4</v>
      </c>
      <c r="N226" s="83">
        <f t="shared" si="22"/>
        <v>-7.1464966773730396E-4</v>
      </c>
      <c r="O226" s="83">
        <f t="shared" si="22"/>
        <v>-2.6117809222648001E-5</v>
      </c>
      <c r="P226" s="83">
        <f t="shared" si="22"/>
        <v>0</v>
      </c>
      <c r="Q226" s="83">
        <f t="shared" si="22"/>
        <v>0</v>
      </c>
      <c r="R226" s="83">
        <f t="shared" si="22"/>
        <v>0</v>
      </c>
      <c r="S226" s="83">
        <f t="shared" si="22"/>
        <v>0</v>
      </c>
      <c r="T226" s="83">
        <f t="shared" si="22"/>
        <v>0</v>
      </c>
      <c r="U226" s="83">
        <f t="shared" si="22"/>
        <v>-8.8127774753671135E-5</v>
      </c>
      <c r="V226" s="83">
        <f t="shared" si="22"/>
        <v>0</v>
      </c>
      <c r="W226" s="83">
        <f t="shared" si="22"/>
        <v>-2.6350605660378609E-3</v>
      </c>
      <c r="X226" s="83">
        <f t="shared" si="22"/>
        <v>-8.0782297735874434E-5</v>
      </c>
      <c r="Y226" s="83">
        <f t="shared" si="22"/>
        <v>-3.9928334808990468E-2</v>
      </c>
      <c r="Z226" s="83">
        <f t="shared" si="22"/>
        <v>0</v>
      </c>
      <c r="AA226" s="83">
        <f t="shared" si="22"/>
        <v>0</v>
      </c>
      <c r="AB226" s="83">
        <f t="shared" si="22"/>
        <v>0</v>
      </c>
      <c r="AC226" s="83">
        <f t="shared" si="22"/>
        <v>0</v>
      </c>
      <c r="AD226" s="83">
        <f t="shared" si="22"/>
        <v>0</v>
      </c>
      <c r="AE226" s="83">
        <f t="shared" si="22"/>
        <v>0</v>
      </c>
      <c r="AF226" s="83">
        <f t="shared" si="22"/>
        <v>-1.0052550223284284E-3</v>
      </c>
      <c r="AG226" s="83">
        <f t="shared" si="22"/>
        <v>-1.0292358004559826E-3</v>
      </c>
      <c r="AH226" s="83">
        <f t="shared" si="22"/>
        <v>-3.4275251531073636E-2</v>
      </c>
      <c r="AI226" s="83">
        <f t="shared" si="22"/>
        <v>-1.7941122276997016E-2</v>
      </c>
      <c r="AJ226" s="83">
        <f t="shared" si="22"/>
        <v>-3.6041032751335481E-2</v>
      </c>
      <c r="AK226" s="83">
        <f t="shared" si="22"/>
        <v>-3.1022956416850664E-4</v>
      </c>
    </row>
    <row r="227" spans="2:37">
      <c r="B227" s="81" t="s">
        <v>83</v>
      </c>
      <c r="C227" s="81" t="s">
        <v>84</v>
      </c>
      <c r="D227" s="83">
        <f t="shared" ref="D227:AK234" si="23">D188-D149</f>
        <v>-9.3332748948937774E-7</v>
      </c>
      <c r="E227" s="83">
        <f t="shared" si="23"/>
        <v>0.96826960071953727</v>
      </c>
      <c r="F227" s="83">
        <f t="shared" si="23"/>
        <v>-4.4888515352312598E-3</v>
      </c>
      <c r="G227" s="83">
        <f t="shared" si="23"/>
        <v>-2.3705499183736202E-3</v>
      </c>
      <c r="H227" s="83">
        <f t="shared" si="23"/>
        <v>-2.3614351947807552E-3</v>
      </c>
      <c r="I227" s="83">
        <f t="shared" si="23"/>
        <v>-7.2293542997369192E-4</v>
      </c>
      <c r="J227" s="83">
        <f t="shared" si="23"/>
        <v>-5.8810501424998813E-4</v>
      </c>
      <c r="K227" s="83">
        <f t="shared" si="23"/>
        <v>-9.9058529025316935E-2</v>
      </c>
      <c r="L227" s="83">
        <f t="shared" si="23"/>
        <v>-9.9012674497133288E-2</v>
      </c>
      <c r="M227" s="83">
        <f t="shared" si="23"/>
        <v>-2.4660954872181267E-2</v>
      </c>
      <c r="N227" s="83">
        <f t="shared" si="23"/>
        <v>-2.4457695549580837E-2</v>
      </c>
      <c r="O227" s="83">
        <f t="shared" si="23"/>
        <v>-8.0766766285307063E-3</v>
      </c>
      <c r="P227" s="83">
        <f t="shared" si="23"/>
        <v>-2.8797003359989151E-2</v>
      </c>
      <c r="Q227" s="83">
        <f t="shared" si="23"/>
        <v>-2.8550428385253047E-2</v>
      </c>
      <c r="R227" s="83">
        <f t="shared" si="23"/>
        <v>-2.8491966948523767E-2</v>
      </c>
      <c r="S227" s="83">
        <f t="shared" si="23"/>
        <v>-3.4528312348092123E-2</v>
      </c>
      <c r="T227" s="83">
        <f t="shared" si="23"/>
        <v>-6.1718204953460351E-2</v>
      </c>
      <c r="U227" s="83">
        <f t="shared" si="23"/>
        <v>-7.0773585722702275E-3</v>
      </c>
      <c r="V227" s="83">
        <f t="shared" si="23"/>
        <v>-8.6413636603470331E-3</v>
      </c>
      <c r="W227" s="83">
        <f t="shared" si="23"/>
        <v>-2.5893075510433717E-4</v>
      </c>
      <c r="X227" s="83">
        <f t="shared" si="23"/>
        <v>-2.7193647973575987E-4</v>
      </c>
      <c r="Y227" s="83">
        <f t="shared" si="23"/>
        <v>-5.6318882996863728E-4</v>
      </c>
      <c r="Z227" s="83">
        <f t="shared" si="23"/>
        <v>-1.3501401708981555E-3</v>
      </c>
      <c r="AA227" s="83">
        <f t="shared" si="23"/>
        <v>-1.3943727630709368E-3</v>
      </c>
      <c r="AB227" s="83">
        <f t="shared" si="23"/>
        <v>-1.3418445685783749E-3</v>
      </c>
      <c r="AC227" s="83">
        <f t="shared" si="23"/>
        <v>-1.3428417930458735E-3</v>
      </c>
      <c r="AD227" s="83">
        <f t="shared" si="23"/>
        <v>-9.8652433195428927E-4</v>
      </c>
      <c r="AE227" s="83">
        <f t="shared" si="23"/>
        <v>0</v>
      </c>
      <c r="AF227" s="83">
        <f t="shared" si="23"/>
        <v>-3.6630569329340894E-5</v>
      </c>
      <c r="AG227" s="83">
        <f t="shared" si="23"/>
        <v>-3.7504406849433997E-5</v>
      </c>
      <c r="AH227" s="83">
        <f t="shared" si="23"/>
        <v>-2.7919959413852729E-3</v>
      </c>
      <c r="AI227" s="83">
        <f t="shared" si="23"/>
        <v>-9.7178263467009862E-3</v>
      </c>
      <c r="AJ227" s="83">
        <f t="shared" si="23"/>
        <v>-1.2855763336816185E-4</v>
      </c>
      <c r="AK227" s="83">
        <f t="shared" si="23"/>
        <v>-6.4768251209758874E-4</v>
      </c>
    </row>
    <row r="228" spans="2:37">
      <c r="B228" s="81" t="s">
        <v>85</v>
      </c>
      <c r="C228" s="81" t="s">
        <v>86</v>
      </c>
      <c r="D228" s="83">
        <f t="shared" si="23"/>
        <v>-2.4405577095699296E-3</v>
      </c>
      <c r="E228" s="83">
        <f t="shared" si="23"/>
        <v>-1.2053178500205769E-3</v>
      </c>
      <c r="F228" s="83">
        <f t="shared" si="23"/>
        <v>0.90656880623142011</v>
      </c>
      <c r="G228" s="83">
        <f t="shared" si="23"/>
        <v>-7.4258731426056776E-3</v>
      </c>
      <c r="H228" s="83">
        <f t="shared" si="23"/>
        <v>-7.3973207883160398E-3</v>
      </c>
      <c r="I228" s="83">
        <f t="shared" si="23"/>
        <v>-1.1751045895924628E-4</v>
      </c>
      <c r="J228" s="83">
        <f t="shared" si="23"/>
        <v>-5.7964706740492092E-4</v>
      </c>
      <c r="K228" s="83">
        <f t="shared" si="23"/>
        <v>-2.6506975043519489E-2</v>
      </c>
      <c r="L228" s="83">
        <f t="shared" si="23"/>
        <v>-2.6489758537333409E-2</v>
      </c>
      <c r="M228" s="83">
        <f t="shared" si="23"/>
        <v>-6.3848888681860795E-3</v>
      </c>
      <c r="N228" s="83">
        <f t="shared" si="23"/>
        <v>-6.3322636477535351E-3</v>
      </c>
      <c r="O228" s="83">
        <f t="shared" si="23"/>
        <v>-7.7227250968546143E-4</v>
      </c>
      <c r="P228" s="83">
        <f t="shared" si="23"/>
        <v>-1.0705122378968716E-4</v>
      </c>
      <c r="Q228" s="83">
        <f t="shared" si="23"/>
        <v>-1.0613459533111336E-4</v>
      </c>
      <c r="R228" s="83">
        <f t="shared" si="23"/>
        <v>-1.0591726826176024E-4</v>
      </c>
      <c r="S228" s="83">
        <f t="shared" si="23"/>
        <v>-1.8401974270883844E-4</v>
      </c>
      <c r="T228" s="83">
        <f t="shared" si="23"/>
        <v>-3.8362897662122079E-3</v>
      </c>
      <c r="U228" s="83">
        <f t="shared" si="23"/>
        <v>-1.7055312965257332E-2</v>
      </c>
      <c r="V228" s="83">
        <f t="shared" si="23"/>
        <v>-1.6207170542688096E-4</v>
      </c>
      <c r="W228" s="83">
        <f t="shared" si="23"/>
        <v>-1.2110457719679651E-2</v>
      </c>
      <c r="X228" s="83">
        <f t="shared" si="23"/>
        <v>-3.3619285924172286E-2</v>
      </c>
      <c r="Y228" s="83">
        <f t="shared" si="23"/>
        <v>-7.8573302000499112E-2</v>
      </c>
      <c r="Z228" s="83">
        <f t="shared" si="23"/>
        <v>-5.9886645812761907E-3</v>
      </c>
      <c r="AA228" s="83">
        <f t="shared" si="23"/>
        <v>-6.184862104905796E-3</v>
      </c>
      <c r="AB228" s="83">
        <f t="shared" si="23"/>
        <v>-5.9518687130665467E-3</v>
      </c>
      <c r="AC228" s="83">
        <f t="shared" si="23"/>
        <v>-5.9562919892395634E-3</v>
      </c>
      <c r="AD228" s="83">
        <f t="shared" si="23"/>
        <v>-7.8106891975472399E-3</v>
      </c>
      <c r="AE228" s="83">
        <f t="shared" si="23"/>
        <v>-1.912204773788926E-4</v>
      </c>
      <c r="AF228" s="83">
        <f t="shared" si="23"/>
        <v>-1.9334566837094846E-2</v>
      </c>
      <c r="AG228" s="83">
        <f t="shared" si="23"/>
        <v>-1.9795800998789154E-2</v>
      </c>
      <c r="AH228" s="83">
        <f t="shared" si="23"/>
        <v>-3.4898218170728926E-2</v>
      </c>
      <c r="AI228" s="83">
        <f t="shared" si="23"/>
        <v>-1.6878467608009356E-2</v>
      </c>
      <c r="AJ228" s="83">
        <f t="shared" si="23"/>
        <v>-1.8606511253588334E-2</v>
      </c>
      <c r="AK228" s="83">
        <f t="shared" si="23"/>
        <v>-1.0154405807217449E-2</v>
      </c>
    </row>
    <row r="229" spans="2:37">
      <c r="B229" s="81" t="s">
        <v>87</v>
      </c>
      <c r="C229" s="81" t="s">
        <v>88</v>
      </c>
      <c r="D229" s="83">
        <f t="shared" si="23"/>
        <v>-6.2791831551491483E-7</v>
      </c>
      <c r="E229" s="83">
        <f t="shared" si="23"/>
        <v>-2.4509916738324673E-4</v>
      </c>
      <c r="F229" s="83">
        <f t="shared" si="23"/>
        <v>-4.3898110669644282E-4</v>
      </c>
      <c r="G229" s="83">
        <f t="shared" si="23"/>
        <v>0.97391375999079766</v>
      </c>
      <c r="H229" s="83">
        <f t="shared" si="23"/>
        <v>-2.7836745504614981E-2</v>
      </c>
      <c r="I229" s="83">
        <f t="shared" si="23"/>
        <v>-1.6705351779061413E-3</v>
      </c>
      <c r="J229" s="83">
        <f t="shared" si="23"/>
        <v>-2.1325448757769632E-3</v>
      </c>
      <c r="K229" s="83">
        <f t="shared" si="23"/>
        <v>-9.1706304584310717E-3</v>
      </c>
      <c r="L229" s="83">
        <f t="shared" si="23"/>
        <v>-9.1646740557952532E-3</v>
      </c>
      <c r="M229" s="83">
        <f t="shared" si="23"/>
        <v>-8.8574882234209004E-4</v>
      </c>
      <c r="N229" s="83">
        <f t="shared" si="23"/>
        <v>-8.7844834648637463E-4</v>
      </c>
      <c r="O229" s="83">
        <f t="shared" si="23"/>
        <v>-1.3319582939283852E-4</v>
      </c>
      <c r="P229" s="83">
        <f t="shared" si="23"/>
        <v>-2.9240456471897472E-3</v>
      </c>
      <c r="Q229" s="83">
        <f t="shared" si="23"/>
        <v>-2.8990084420135731E-3</v>
      </c>
      <c r="R229" s="83">
        <f t="shared" si="23"/>
        <v>-2.8930722719385286E-3</v>
      </c>
      <c r="S229" s="83">
        <f t="shared" si="23"/>
        <v>-8.7886731037707146E-3</v>
      </c>
      <c r="T229" s="83">
        <f t="shared" si="23"/>
        <v>-3.5789086007760308E-4</v>
      </c>
      <c r="U229" s="83">
        <f t="shared" si="23"/>
        <v>-1.2297311568146777E-5</v>
      </c>
      <c r="V229" s="83">
        <f t="shared" si="23"/>
        <v>-1.3401460474481015E-4</v>
      </c>
      <c r="W229" s="83">
        <f t="shared" si="23"/>
        <v>-7.0251721591609235E-5</v>
      </c>
      <c r="X229" s="83">
        <f t="shared" si="23"/>
        <v>-1.3120865296376081E-4</v>
      </c>
      <c r="Y229" s="83">
        <f t="shared" si="23"/>
        <v>-3.1813383678335944E-3</v>
      </c>
      <c r="Z229" s="83">
        <f t="shared" si="23"/>
        <v>-1.4150965195668195E-4</v>
      </c>
      <c r="AA229" s="83">
        <f t="shared" si="23"/>
        <v>-1.4614571779520007E-4</v>
      </c>
      <c r="AB229" s="83">
        <f t="shared" si="23"/>
        <v>-1.4064018090297458E-4</v>
      </c>
      <c r="AC229" s="83">
        <f t="shared" si="23"/>
        <v>-1.4074470107825753E-4</v>
      </c>
      <c r="AD229" s="83">
        <f t="shared" si="23"/>
        <v>-1.4857467853718353E-4</v>
      </c>
      <c r="AE229" s="83">
        <f t="shared" si="23"/>
        <v>-7.3466984535710339E-7</v>
      </c>
      <c r="AF229" s="83">
        <f t="shared" si="23"/>
        <v>-1.6635811069222781E-4</v>
      </c>
      <c r="AG229" s="83">
        <f t="shared" si="23"/>
        <v>-1.7032665285677097E-4</v>
      </c>
      <c r="AH229" s="83">
        <f t="shared" si="23"/>
        <v>-1.2951761065352957E-3</v>
      </c>
      <c r="AI229" s="83">
        <f t="shared" si="23"/>
        <v>-7.46664027472587E-4</v>
      </c>
      <c r="AJ229" s="83">
        <f t="shared" si="23"/>
        <v>-1.6933774832320627E-3</v>
      </c>
      <c r="AK229" s="83">
        <f t="shared" si="23"/>
        <v>-1.7144043798966134E-3</v>
      </c>
    </row>
    <row r="230" spans="2:37">
      <c r="B230" s="81" t="s">
        <v>89</v>
      </c>
      <c r="C230" s="81" t="s">
        <v>90</v>
      </c>
      <c r="D230" s="83">
        <f t="shared" si="23"/>
        <v>-6.6412056394421319E-8</v>
      </c>
      <c r="E230" s="83">
        <f t="shared" si="23"/>
        <v>-2.5923021075016399E-5</v>
      </c>
      <c r="F230" s="83">
        <f t="shared" si="23"/>
        <v>-4.6429029530859826E-5</v>
      </c>
      <c r="G230" s="83">
        <f t="shared" si="23"/>
        <v>-2.9555295732515779E-3</v>
      </c>
      <c r="H230" s="83">
        <f t="shared" si="23"/>
        <v>0.99705583438703549</v>
      </c>
      <c r="I230" s="83">
        <f t="shared" si="23"/>
        <v>-1.7668488671649917E-4</v>
      </c>
      <c r="J230" s="83">
        <f t="shared" si="23"/>
        <v>-2.2554954530605716E-4</v>
      </c>
      <c r="K230" s="83">
        <f t="shared" si="23"/>
        <v>-9.699357577717568E-4</v>
      </c>
      <c r="L230" s="83">
        <f t="shared" si="23"/>
        <v>-9.6930577623118995E-4</v>
      </c>
      <c r="M230" s="83">
        <f t="shared" si="23"/>
        <v>-9.3681613176767296E-5</v>
      </c>
      <c r="N230" s="83">
        <f t="shared" si="23"/>
        <v>-9.2909475141840031E-5</v>
      </c>
      <c r="O230" s="83">
        <f t="shared" si="23"/>
        <v>-1.4087515389458156E-5</v>
      </c>
      <c r="P230" s="83">
        <f t="shared" si="23"/>
        <v>-3.092629719867054E-4</v>
      </c>
      <c r="Q230" s="83">
        <f t="shared" si="23"/>
        <v>-3.0661490098601369E-4</v>
      </c>
      <c r="R230" s="83">
        <f t="shared" si="23"/>
        <v>-3.0598705935112186E-4</v>
      </c>
      <c r="S230" s="83">
        <f t="shared" si="23"/>
        <v>-9.2953787041730608E-4</v>
      </c>
      <c r="T230" s="83">
        <f t="shared" si="23"/>
        <v>-3.785248398596398E-5</v>
      </c>
      <c r="U230" s="83">
        <f t="shared" si="23"/>
        <v>-1.3006305584410551E-6</v>
      </c>
      <c r="V230" s="83">
        <f t="shared" si="23"/>
        <v>-1.4174113524129244E-5</v>
      </c>
      <c r="W230" s="83">
        <f t="shared" si="23"/>
        <v>-7.4302041855893993E-6</v>
      </c>
      <c r="X230" s="83">
        <f t="shared" si="23"/>
        <v>-1.3877340801756578E-5</v>
      </c>
      <c r="Y230" s="83">
        <f t="shared" si="23"/>
        <v>-3.3647564957719719E-4</v>
      </c>
      <c r="Z230" s="83">
        <f t="shared" si="23"/>
        <v>-1.4966830483986551E-5</v>
      </c>
      <c r="AA230" s="83">
        <f t="shared" si="23"/>
        <v>-1.545716602335267E-5</v>
      </c>
      <c r="AB230" s="83">
        <f t="shared" si="23"/>
        <v>-1.487487049615787E-5</v>
      </c>
      <c r="AC230" s="83">
        <f t="shared" si="23"/>
        <v>-1.4885925118397414E-5</v>
      </c>
      <c r="AD230" s="83">
        <f t="shared" si="23"/>
        <v>-1.5714066122920916E-5</v>
      </c>
      <c r="AE230" s="83">
        <f t="shared" si="23"/>
        <v>-7.7702678828737156E-8</v>
      </c>
      <c r="AF230" s="83">
        <f t="shared" si="23"/>
        <v>-1.7594938634497003E-5</v>
      </c>
      <c r="AG230" s="83">
        <f t="shared" si="23"/>
        <v>-1.8014673239338275E-5</v>
      </c>
      <c r="AH230" s="83">
        <f t="shared" si="23"/>
        <v>-1.3698486969183907E-4</v>
      </c>
      <c r="AI230" s="83">
        <f t="shared" si="23"/>
        <v>-7.8971248767495712E-5</v>
      </c>
      <c r="AJ230" s="83">
        <f t="shared" si="23"/>
        <v>-1.7910081317062599E-4</v>
      </c>
      <c r="AK230" s="83">
        <f t="shared" si="23"/>
        <v>-1.8132473213043762E-4</v>
      </c>
    </row>
    <row r="231" spans="2:37">
      <c r="B231" s="81" t="s">
        <v>91</v>
      </c>
      <c r="C231" s="81" t="s">
        <v>92</v>
      </c>
      <c r="D231" s="83">
        <f t="shared" si="23"/>
        <v>-1.2610222094741228E-7</v>
      </c>
      <c r="E231" s="83">
        <f t="shared" si="23"/>
        <v>-2.1202803245506379E-5</v>
      </c>
      <c r="F231" s="83">
        <f t="shared" si="23"/>
        <v>-3.719046634676264E-5</v>
      </c>
      <c r="G231" s="83">
        <f t="shared" si="23"/>
        <v>-2.3042149121861903E-6</v>
      </c>
      <c r="H231" s="83">
        <f t="shared" si="23"/>
        <v>-2.2953552455491868E-6</v>
      </c>
      <c r="I231" s="83">
        <f t="shared" si="23"/>
        <v>0.99579043091893582</v>
      </c>
      <c r="J231" s="83">
        <f t="shared" si="23"/>
        <v>-3.8585284560588057E-3</v>
      </c>
      <c r="K231" s="83">
        <f t="shared" si="23"/>
        <v>-1.5915921888060201E-4</v>
      </c>
      <c r="L231" s="83">
        <f t="shared" si="23"/>
        <v>-1.5905584361156723E-4</v>
      </c>
      <c r="M231" s="83">
        <f t="shared" si="23"/>
        <v>-1.7685359857150533E-4</v>
      </c>
      <c r="N231" s="83">
        <f t="shared" si="23"/>
        <v>-1.7539594444450951E-4</v>
      </c>
      <c r="O231" s="83">
        <f t="shared" si="23"/>
        <v>-4.2189088696822062E-5</v>
      </c>
      <c r="P231" s="83">
        <f t="shared" si="23"/>
        <v>-1.9269383491470502E-4</v>
      </c>
      <c r="Q231" s="83">
        <f t="shared" si="23"/>
        <v>-1.9104388971443758E-4</v>
      </c>
      <c r="R231" s="83">
        <f t="shared" si="23"/>
        <v>-1.9065269767625309E-4</v>
      </c>
      <c r="S231" s="83">
        <f t="shared" si="23"/>
        <v>-3.5517454381111735E-3</v>
      </c>
      <c r="T231" s="83">
        <f t="shared" si="23"/>
        <v>-4.5133335716090408E-5</v>
      </c>
      <c r="U231" s="83">
        <f t="shared" si="23"/>
        <v>-1.7744002054411367E-4</v>
      </c>
      <c r="V231" s="83">
        <f t="shared" si="23"/>
        <v>-4.057742029997372E-5</v>
      </c>
      <c r="W231" s="83">
        <f t="shared" si="23"/>
        <v>-1.2274273854251061E-4</v>
      </c>
      <c r="X231" s="83">
        <f t="shared" si="23"/>
        <v>-3.6684032407058187E-5</v>
      </c>
      <c r="Y231" s="83">
        <f t="shared" si="23"/>
        <v>-1.9597904933298235E-4</v>
      </c>
      <c r="Z231" s="83">
        <f t="shared" si="23"/>
        <v>-1.4939068854862605E-5</v>
      </c>
      <c r="AA231" s="83">
        <f t="shared" si="23"/>
        <v>-1.5428494882131038E-5</v>
      </c>
      <c r="AB231" s="83">
        <f t="shared" si="23"/>
        <v>-1.4847279441497272E-5</v>
      </c>
      <c r="AC231" s="83">
        <f t="shared" si="23"/>
        <v>-1.4858313558772531E-5</v>
      </c>
      <c r="AD231" s="83">
        <f t="shared" si="23"/>
        <v>-2.0354037788080992E-5</v>
      </c>
      <c r="AE231" s="83">
        <f t="shared" si="23"/>
        <v>-2.95081372444557E-8</v>
      </c>
      <c r="AF231" s="83">
        <f t="shared" si="23"/>
        <v>-2.4015749767594045E-5</v>
      </c>
      <c r="AG231" s="83">
        <f t="shared" si="23"/>
        <v>-2.4588655501911617E-5</v>
      </c>
      <c r="AH231" s="83">
        <f t="shared" si="23"/>
        <v>-3.9637488267253493E-5</v>
      </c>
      <c r="AI231" s="83">
        <f t="shared" si="23"/>
        <v>-4.469933987888836E-5</v>
      </c>
      <c r="AJ231" s="83">
        <f t="shared" si="23"/>
        <v>-8.3222758223801887E-6</v>
      </c>
      <c r="AK231" s="83">
        <f t="shared" si="23"/>
        <v>-1.9251091861186684E-4</v>
      </c>
    </row>
    <row r="232" spans="2:37">
      <c r="B232" s="81" t="s">
        <v>93</v>
      </c>
      <c r="C232" s="81" t="s">
        <v>94</v>
      </c>
      <c r="D232" s="83">
        <f t="shared" si="23"/>
        <v>-3.6768181082055695E-6</v>
      </c>
      <c r="E232" s="83">
        <f t="shared" si="23"/>
        <v>-6.0243614749738706E-4</v>
      </c>
      <c r="F232" s="83">
        <f t="shared" si="23"/>
        <v>-5.3362152522709193E-4</v>
      </c>
      <c r="G232" s="83">
        <f t="shared" si="23"/>
        <v>-1.8078493523474218E-4</v>
      </c>
      <c r="H232" s="83">
        <f t="shared" si="23"/>
        <v>-1.8008982027358994E-4</v>
      </c>
      <c r="I232" s="83">
        <f t="shared" si="23"/>
        <v>-5.2109738406833139E-2</v>
      </c>
      <c r="J232" s="83">
        <f t="shared" si="23"/>
        <v>0.96572275240875505</v>
      </c>
      <c r="K232" s="83">
        <f t="shared" si="23"/>
        <v>-2.1565611276361299E-3</v>
      </c>
      <c r="L232" s="83">
        <f t="shared" si="23"/>
        <v>-2.1551604228052862E-3</v>
      </c>
      <c r="M232" s="83">
        <f t="shared" si="23"/>
        <v>-1.7241391802348741E-3</v>
      </c>
      <c r="N232" s="83">
        <f t="shared" si="23"/>
        <v>-1.7099285641553302E-3</v>
      </c>
      <c r="O232" s="83">
        <f t="shared" si="23"/>
        <v>-5.4618650803202502E-4</v>
      </c>
      <c r="P232" s="83">
        <f t="shared" si="23"/>
        <v>-2.9140841496102191E-3</v>
      </c>
      <c r="Q232" s="83">
        <f t="shared" si="23"/>
        <v>-2.8891322399762082E-3</v>
      </c>
      <c r="R232" s="83">
        <f t="shared" si="23"/>
        <v>-2.8832162929588643E-3</v>
      </c>
      <c r="S232" s="83">
        <f t="shared" si="23"/>
        <v>-3.1151829008304727E-2</v>
      </c>
      <c r="T232" s="83">
        <f t="shared" si="23"/>
        <v>-7.8567559791311854E-4</v>
      </c>
      <c r="U232" s="83">
        <f t="shared" si="23"/>
        <v>-1.5567391042529332E-3</v>
      </c>
      <c r="V232" s="83">
        <f t="shared" si="23"/>
        <v>-5.9150590986788523E-4</v>
      </c>
      <c r="W232" s="83">
        <f t="shared" si="23"/>
        <v>-1.3013222556980794E-3</v>
      </c>
      <c r="X232" s="83">
        <f t="shared" si="23"/>
        <v>-7.6406111948542461E-4</v>
      </c>
      <c r="Y232" s="83">
        <f t="shared" si="23"/>
        <v>-2.3791226593942861E-3</v>
      </c>
      <c r="Z232" s="83">
        <f t="shared" si="23"/>
        <v>-1.5072014828556009E-4</v>
      </c>
      <c r="AA232" s="83">
        <f t="shared" si="23"/>
        <v>-1.5565796362876323E-4</v>
      </c>
      <c r="AB232" s="83">
        <f t="shared" si="23"/>
        <v>-1.497940856153978E-4</v>
      </c>
      <c r="AC232" s="83">
        <f t="shared" si="23"/>
        <v>-1.499054087378819E-4</v>
      </c>
      <c r="AD232" s="83">
        <f t="shared" si="23"/>
        <v>-2.449338917903761E-4</v>
      </c>
      <c r="AE232" s="83">
        <f t="shared" si="23"/>
        <v>-5.0271803542228138E-5</v>
      </c>
      <c r="AF232" s="83">
        <f t="shared" si="23"/>
        <v>-2.3898423658683893E-4</v>
      </c>
      <c r="AG232" s="83">
        <f t="shared" si="23"/>
        <v>-2.4468530529704087E-4</v>
      </c>
      <c r="AH232" s="83">
        <f t="shared" si="23"/>
        <v>-7.2460595601720953E-4</v>
      </c>
      <c r="AI232" s="83">
        <f t="shared" si="23"/>
        <v>-1.331162352615365E-3</v>
      </c>
      <c r="AJ232" s="83">
        <f t="shared" si="23"/>
        <v>-3.8953328462631786E-4</v>
      </c>
      <c r="AK232" s="83">
        <f t="shared" si="23"/>
        <v>-2.4035686387488429E-3</v>
      </c>
    </row>
    <row r="233" spans="2:37">
      <c r="B233" s="81" t="s">
        <v>95</v>
      </c>
      <c r="C233" s="81" t="s">
        <v>96</v>
      </c>
      <c r="D233" s="83">
        <f t="shared" si="23"/>
        <v>-7.2451740822838874E-4</v>
      </c>
      <c r="E233" s="83">
        <f t="shared" si="23"/>
        <v>-6.5519290524074904E-3</v>
      </c>
      <c r="F233" s="83">
        <f t="shared" si="23"/>
        <v>-2.9701281151708452E-4</v>
      </c>
      <c r="G233" s="83">
        <f t="shared" si="23"/>
        <v>-1.0998911285530113E-3</v>
      </c>
      <c r="H233" s="83">
        <f t="shared" si="23"/>
        <v>-1.095662066114242E-3</v>
      </c>
      <c r="I233" s="83">
        <f t="shared" si="23"/>
        <v>-2.7626226170055957E-3</v>
      </c>
      <c r="J233" s="83">
        <f t="shared" si="23"/>
        <v>-4.2625696753636434E-3</v>
      </c>
      <c r="K233" s="83">
        <f t="shared" si="23"/>
        <v>0.99469007201641235</v>
      </c>
      <c r="L233" s="83">
        <f t="shared" si="23"/>
        <v>-5.3064791401104955E-3</v>
      </c>
      <c r="M233" s="83">
        <f t="shared" si="23"/>
        <v>-5.9063492835263124E-4</v>
      </c>
      <c r="N233" s="83">
        <f t="shared" si="23"/>
        <v>-5.8576682587796155E-4</v>
      </c>
      <c r="O233" s="83">
        <f t="shared" si="23"/>
        <v>-8.9998271611380412E-4</v>
      </c>
      <c r="P233" s="83">
        <f t="shared" si="23"/>
        <v>-3.5660192453606091E-3</v>
      </c>
      <c r="Q233" s="83">
        <f t="shared" si="23"/>
        <v>-3.5354851271281965E-3</v>
      </c>
      <c r="R233" s="83">
        <f t="shared" si="23"/>
        <v>-3.5282456721793154E-3</v>
      </c>
      <c r="S233" s="83">
        <f t="shared" si="23"/>
        <v>-7.0200447842595738E-4</v>
      </c>
      <c r="T233" s="83">
        <f t="shared" si="23"/>
        <v>-4.5750155692653605E-3</v>
      </c>
      <c r="U233" s="83">
        <f t="shared" si="23"/>
        <v>-4.3913241130918938E-3</v>
      </c>
      <c r="V233" s="83">
        <f t="shared" si="23"/>
        <v>-4.0909449090555262E-3</v>
      </c>
      <c r="W233" s="83">
        <f t="shared" si="23"/>
        <v>-2.5447233210421356E-3</v>
      </c>
      <c r="X233" s="83">
        <f t="shared" si="23"/>
        <v>-3.9089617139893736E-3</v>
      </c>
      <c r="Y233" s="83">
        <f t="shared" si="23"/>
        <v>-5.2180279233244964E-5</v>
      </c>
      <c r="Z233" s="83">
        <f t="shared" si="23"/>
        <v>-1.0307856161206023E-2</v>
      </c>
      <c r="AA233" s="83">
        <f t="shared" si="23"/>
        <v>-8.9066356372389712E-3</v>
      </c>
      <c r="AB233" s="83">
        <f t="shared" si="23"/>
        <v>-8.5711087957673019E-3</v>
      </c>
      <c r="AC233" s="83">
        <f t="shared" si="23"/>
        <v>-1.0066062562451137E-2</v>
      </c>
      <c r="AD233" s="83">
        <f t="shared" si="23"/>
        <v>-4.2729459602718987E-3</v>
      </c>
      <c r="AE233" s="83">
        <f t="shared" si="23"/>
        <v>-2.951534420100421E-5</v>
      </c>
      <c r="AF233" s="83">
        <f t="shared" si="23"/>
        <v>-1.3774491425491071E-3</v>
      </c>
      <c r="AG233" s="83">
        <f t="shared" si="23"/>
        <v>-1.410308766759634E-3</v>
      </c>
      <c r="AH233" s="83">
        <f t="shared" si="23"/>
        <v>-1.1757386734940003E-3</v>
      </c>
      <c r="AI233" s="83">
        <f t="shared" si="23"/>
        <v>-5.4392040240486152E-5</v>
      </c>
      <c r="AJ233" s="83">
        <f t="shared" si="23"/>
        <v>-1.2205682391175914E-3</v>
      </c>
      <c r="AK233" s="83">
        <f t="shared" si="23"/>
        <v>-8.6328472922942063E-4</v>
      </c>
    </row>
    <row r="234" spans="2:37">
      <c r="B234" s="81" t="s">
        <v>97</v>
      </c>
      <c r="C234" s="81" t="s">
        <v>98</v>
      </c>
      <c r="D234" s="83">
        <f t="shared" si="23"/>
        <v>-3.3139256841776242E-4</v>
      </c>
      <c r="E234" s="83">
        <f t="shared" si="23"/>
        <v>-3.3320249710198924E-3</v>
      </c>
      <c r="F234" s="83">
        <f t="shared" si="23"/>
        <v>-1.3585296549644801E-4</v>
      </c>
      <c r="G234" s="83">
        <f t="shared" si="23"/>
        <v>-5.0308763037504962E-4</v>
      </c>
      <c r="H234" s="83">
        <f t="shared" si="23"/>
        <v>-5.011532671041803E-4</v>
      </c>
      <c r="I234" s="83">
        <f t="shared" si="23"/>
        <v>-1.2636171253043113E-3</v>
      </c>
      <c r="J234" s="83">
        <f t="shared" si="23"/>
        <v>-1.9496894025397018E-3</v>
      </c>
      <c r="K234" s="83">
        <f t="shared" si="23"/>
        <v>-2.4287486437313526E-3</v>
      </c>
      <c r="L234" s="83">
        <f t="shared" si="23"/>
        <v>0.99757282884921084</v>
      </c>
      <c r="M234" s="83">
        <f t="shared" si="23"/>
        <v>-2.7015503517386681E-4</v>
      </c>
      <c r="N234" s="83">
        <f t="shared" si="23"/>
        <v>-2.6792837648481117E-4</v>
      </c>
      <c r="O234" s="83">
        <f t="shared" si="23"/>
        <v>-4.1164998996204982E-4</v>
      </c>
      <c r="P234" s="83">
        <f t="shared" si="23"/>
        <v>-1.6310888645683201E-3</v>
      </c>
      <c r="Q234" s="83">
        <f t="shared" si="23"/>
        <v>-1.6171226302853334E-3</v>
      </c>
      <c r="R234" s="83">
        <f t="shared" si="23"/>
        <v>-1.6138113205194046E-3</v>
      </c>
      <c r="S234" s="83">
        <f t="shared" si="23"/>
        <v>-3.2109520696708364E-4</v>
      </c>
      <c r="T234" s="83">
        <f t="shared" si="23"/>
        <v>-2.3463895580627288E-3</v>
      </c>
      <c r="U234" s="83">
        <f t="shared" ref="U234:AK234" si="24">U195-U156</f>
        <v>-2.0085813812960084E-3</v>
      </c>
      <c r="V234" s="83">
        <f t="shared" si="24"/>
        <v>-2.2847867613708015E-3</v>
      </c>
      <c r="W234" s="83">
        <f t="shared" si="24"/>
        <v>-1.3263291112233669E-3</v>
      </c>
      <c r="X234" s="83">
        <f t="shared" si="24"/>
        <v>-2.0120415364936802E-3</v>
      </c>
      <c r="Y234" s="83">
        <f t="shared" si="24"/>
        <v>-2.3867137710526918E-5</v>
      </c>
      <c r="Z234" s="83">
        <f t="shared" si="24"/>
        <v>-4.4163413614908709E-3</v>
      </c>
      <c r="AA234" s="83">
        <f t="shared" si="24"/>
        <v>-5.1343789460478939E-3</v>
      </c>
      <c r="AB234" s="83">
        <f t="shared" si="24"/>
        <v>-4.9409588915120036E-3</v>
      </c>
      <c r="AC234" s="83">
        <f t="shared" si="24"/>
        <v>-4.2084139580463309E-3</v>
      </c>
      <c r="AD234" s="83">
        <f t="shared" si="24"/>
        <v>-1.9544354909943346E-3</v>
      </c>
      <c r="AE234" s="83">
        <f t="shared" si="24"/>
        <v>-1.3500249423160537E-5</v>
      </c>
      <c r="AF234" s="83">
        <f t="shared" si="24"/>
        <v>-6.3004201697565963E-4</v>
      </c>
      <c r="AG234" s="83">
        <f t="shared" si="24"/>
        <v>-6.4507193225539603E-4</v>
      </c>
      <c r="AH234" s="83">
        <f t="shared" si="24"/>
        <v>-5.3778012008021418E-4</v>
      </c>
      <c r="AI234" s="83">
        <f t="shared" si="24"/>
        <v>-2.4878792023579383E-5</v>
      </c>
      <c r="AJ234" s="83">
        <f t="shared" si="24"/>
        <v>-5.5828505857352325E-4</v>
      </c>
      <c r="AK234" s="83">
        <f t="shared" si="24"/>
        <v>-3.9486441657035658E-4</v>
      </c>
    </row>
    <row r="235" spans="2:37">
      <c r="B235" s="81" t="s">
        <v>99</v>
      </c>
      <c r="C235" s="81" t="s">
        <v>100</v>
      </c>
      <c r="D235" s="83">
        <f t="shared" ref="D235:AK242" si="25">D196-D157</f>
        <v>-3.3066617842572044E-5</v>
      </c>
      <c r="E235" s="83">
        <f t="shared" si="25"/>
        <v>-9.0883846283741575E-5</v>
      </c>
      <c r="F235" s="83">
        <f t="shared" si="25"/>
        <v>-1.2277182809761671E-3</v>
      </c>
      <c r="G235" s="83">
        <f t="shared" si="25"/>
        <v>-2.8106422930167566E-4</v>
      </c>
      <c r="H235" s="83">
        <f t="shared" si="25"/>
        <v>-2.7998354218259242E-4</v>
      </c>
      <c r="I235" s="83">
        <f t="shared" si="25"/>
        <v>-4.1123300228097428E-5</v>
      </c>
      <c r="J235" s="83">
        <f t="shared" si="25"/>
        <v>-8.7902477943325189E-5</v>
      </c>
      <c r="K235" s="83">
        <f t="shared" si="25"/>
        <v>-1.9046315406952646E-4</v>
      </c>
      <c r="L235" s="83">
        <f t="shared" si="25"/>
        <v>-1.9033944662781051E-4</v>
      </c>
      <c r="M235" s="83">
        <f t="shared" si="25"/>
        <v>0.97243236632069763</v>
      </c>
      <c r="N235" s="83">
        <f t="shared" si="25"/>
        <v>-2.734041707003489E-2</v>
      </c>
      <c r="O235" s="83">
        <f t="shared" si="25"/>
        <v>-2.5061718177377553E-5</v>
      </c>
      <c r="P235" s="83">
        <f t="shared" si="25"/>
        <v>-1.9633693804380972E-3</v>
      </c>
      <c r="Q235" s="83">
        <f t="shared" si="25"/>
        <v>-1.9465579869285959E-3</v>
      </c>
      <c r="R235" s="83">
        <f t="shared" si="25"/>
        <v>-1.9425721071002168E-3</v>
      </c>
      <c r="S235" s="83">
        <f t="shared" si="25"/>
        <v>-3.7062002869530823E-4</v>
      </c>
      <c r="T235" s="83">
        <f t="shared" si="25"/>
        <v>-2.1768670934428531E-3</v>
      </c>
      <c r="U235" s="83">
        <f t="shared" si="25"/>
        <v>-1.4308349281142831E-2</v>
      </c>
      <c r="V235" s="83">
        <f t="shared" si="25"/>
        <v>-5.4016860730258473E-6</v>
      </c>
      <c r="W235" s="83">
        <f t="shared" si="25"/>
        <v>-3.1202160261516614E-3</v>
      </c>
      <c r="X235" s="83">
        <f t="shared" si="25"/>
        <v>-2.6416568049158059E-3</v>
      </c>
      <c r="Y235" s="83">
        <f t="shared" si="25"/>
        <v>-1.3850139106023011E-3</v>
      </c>
      <c r="Z235" s="83">
        <f t="shared" si="25"/>
        <v>-2.2733251095690171E-3</v>
      </c>
      <c r="AA235" s="83">
        <f t="shared" si="25"/>
        <v>-2.34780260799115E-3</v>
      </c>
      <c r="AB235" s="83">
        <f t="shared" si="25"/>
        <v>-2.2593572257455148E-3</v>
      </c>
      <c r="AC235" s="83">
        <f t="shared" si="25"/>
        <v>-2.261036322087301E-3</v>
      </c>
      <c r="AD235" s="83">
        <f t="shared" si="25"/>
        <v>-1.3474824482287734E-3</v>
      </c>
      <c r="AE235" s="83">
        <f t="shared" si="25"/>
        <v>-7.6991498700353983E-7</v>
      </c>
      <c r="AF235" s="83">
        <f t="shared" si="25"/>
        <v>-2.4031619825277419E-3</v>
      </c>
      <c r="AG235" s="83">
        <f t="shared" si="25"/>
        <v>-2.4604904146444846E-3</v>
      </c>
      <c r="AH235" s="83">
        <f t="shared" si="25"/>
        <v>-6.8271123258766906E-5</v>
      </c>
      <c r="AI235" s="83">
        <f t="shared" si="25"/>
        <v>-9.3642760192711632E-5</v>
      </c>
      <c r="AJ235" s="83">
        <f t="shared" si="25"/>
        <v>-2.3265174142157449E-5</v>
      </c>
      <c r="AK235" s="83">
        <f t="shared" si="25"/>
        <v>-4.3644792394199357E-4</v>
      </c>
    </row>
    <row r="236" spans="2:37">
      <c r="B236" s="81" t="s">
        <v>101</v>
      </c>
      <c r="C236" s="81" t="s">
        <v>102</v>
      </c>
      <c r="D236" s="83">
        <f t="shared" si="25"/>
        <v>-1.2595683844796515E-4</v>
      </c>
      <c r="E236" s="83">
        <f t="shared" si="25"/>
        <v>-3.4619331188909562E-4</v>
      </c>
      <c r="F236" s="83">
        <f t="shared" si="25"/>
        <v>-4.6766050859134945E-3</v>
      </c>
      <c r="G236" s="83">
        <f t="shared" si="25"/>
        <v>-1.070625423265231E-3</v>
      </c>
      <c r="H236" s="83">
        <f t="shared" si="25"/>
        <v>-1.0665088869590614E-3</v>
      </c>
      <c r="I236" s="83">
        <f t="shared" si="25"/>
        <v>-1.5664622574761616E-4</v>
      </c>
      <c r="J236" s="83">
        <f t="shared" si="25"/>
        <v>-3.3483673069304972E-4</v>
      </c>
      <c r="K236" s="83">
        <f t="shared" si="25"/>
        <v>-7.2550923839991455E-4</v>
      </c>
      <c r="L236" s="83">
        <f t="shared" si="25"/>
        <v>-7.2503801396670692E-4</v>
      </c>
      <c r="M236" s="83">
        <f t="shared" si="25"/>
        <v>-8.7473153242265997E-2</v>
      </c>
      <c r="N236" s="83">
        <f t="shared" si="25"/>
        <v>0.90455156441208795</v>
      </c>
      <c r="O236" s="83">
        <f t="shared" si="25"/>
        <v>-9.5464701068769518E-5</v>
      </c>
      <c r="P236" s="83">
        <f t="shared" si="25"/>
        <v>-7.4788356354708561E-3</v>
      </c>
      <c r="Q236" s="83">
        <f t="shared" si="25"/>
        <v>-7.4147979408254443E-3</v>
      </c>
      <c r="R236" s="83">
        <f t="shared" si="25"/>
        <v>-7.3996149903341538E-3</v>
      </c>
      <c r="S236" s="83">
        <f t="shared" si="25"/>
        <v>-1.4117599599150455E-3</v>
      </c>
      <c r="T236" s="83">
        <f t="shared" si="25"/>
        <v>-8.2920877519703055E-3</v>
      </c>
      <c r="U236" s="83">
        <f t="shared" si="25"/>
        <v>-4.8987234678240739E-2</v>
      </c>
      <c r="V236" s="83">
        <f t="shared" si="25"/>
        <v>-2.0576017277787065E-5</v>
      </c>
      <c r="W236" s="83">
        <f t="shared" si="25"/>
        <v>-1.1885477607653955E-2</v>
      </c>
      <c r="X236" s="83">
        <f t="shared" si="25"/>
        <v>-1.0062557380252107E-2</v>
      </c>
      <c r="Y236" s="83">
        <f t="shared" si="25"/>
        <v>-5.275773114035257E-3</v>
      </c>
      <c r="Z236" s="83">
        <f t="shared" si="25"/>
        <v>-8.6595141035875293E-3</v>
      </c>
      <c r="AA236" s="83">
        <f t="shared" si="25"/>
        <v>-8.9432126143159096E-3</v>
      </c>
      <c r="AB236" s="83">
        <f t="shared" si="25"/>
        <v>-8.6063078611288892E-3</v>
      </c>
      <c r="AC236" s="83">
        <f t="shared" si="25"/>
        <v>-8.6127038483952024E-3</v>
      </c>
      <c r="AD236" s="83">
        <f t="shared" si="25"/>
        <v>-5.1328088603155193E-3</v>
      </c>
      <c r="AE236" s="83">
        <f t="shared" si="25"/>
        <v>-2.9327480088338425E-6</v>
      </c>
      <c r="AF236" s="83">
        <f t="shared" si="25"/>
        <v>-9.1540866694819131E-3</v>
      </c>
      <c r="AG236" s="83">
        <f t="shared" si="25"/>
        <v>-9.3724612276837784E-3</v>
      </c>
      <c r="AH236" s="83">
        <f t="shared" si="25"/>
        <v>-2.6005728447662803E-4</v>
      </c>
      <c r="AI236" s="83">
        <f t="shared" si="25"/>
        <v>-3.5670252317820738E-4</v>
      </c>
      <c r="AJ236" s="83">
        <f t="shared" si="25"/>
        <v>-8.8621333903545862E-5</v>
      </c>
      <c r="AK236" s="83">
        <f t="shared" si="25"/>
        <v>-1.6625105388351964E-3</v>
      </c>
    </row>
    <row r="237" spans="2:37">
      <c r="B237" s="81" t="s">
        <v>103</v>
      </c>
      <c r="C237" s="81" t="s">
        <v>104</v>
      </c>
      <c r="D237" s="83">
        <f t="shared" si="25"/>
        <v>-1.7651493384663566E-3</v>
      </c>
      <c r="E237" s="83">
        <f t="shared" si="25"/>
        <v>-5.9644217519341904E-3</v>
      </c>
      <c r="F237" s="83">
        <f t="shared" si="25"/>
        <v>-1.5928662923163932E-3</v>
      </c>
      <c r="G237" s="83">
        <f t="shared" si="25"/>
        <v>-5.7585691176249313E-3</v>
      </c>
      <c r="H237" s="83">
        <f t="shared" si="25"/>
        <v>-5.736427518584641E-3</v>
      </c>
      <c r="I237" s="83">
        <f t="shared" si="25"/>
        <v>-2.5749602693572247E-3</v>
      </c>
      <c r="J237" s="83">
        <f t="shared" si="25"/>
        <v>-5.4506157472972022E-3</v>
      </c>
      <c r="K237" s="83">
        <f t="shared" si="25"/>
        <v>-3.6688153923469325E-3</v>
      </c>
      <c r="L237" s="83">
        <f t="shared" si="25"/>
        <v>-3.6664324654835582E-3</v>
      </c>
      <c r="M237" s="83">
        <f t="shared" si="25"/>
        <v>-1.5209113371183776E-2</v>
      </c>
      <c r="N237" s="83">
        <f t="shared" si="25"/>
        <v>-1.5083757556812417E-2</v>
      </c>
      <c r="O237" s="83">
        <f t="shared" si="25"/>
        <v>0.60618750292030943</v>
      </c>
      <c r="P237" s="83">
        <f t="shared" si="25"/>
        <v>-4.0922880262720417E-2</v>
      </c>
      <c r="Q237" s="83">
        <f t="shared" si="25"/>
        <v>-4.0572477200263947E-2</v>
      </c>
      <c r="R237" s="83">
        <f t="shared" si="25"/>
        <v>-4.0489398751254832E-2</v>
      </c>
      <c r="S237" s="83">
        <f t="shared" si="25"/>
        <v>-1.9207202825320843E-2</v>
      </c>
      <c r="T237" s="83">
        <f t="shared" si="25"/>
        <v>-9.8153264548348357E-3</v>
      </c>
      <c r="U237" s="83">
        <f t="shared" si="25"/>
        <v>-2.0158636759386894E-2</v>
      </c>
      <c r="V237" s="83">
        <f t="shared" si="25"/>
        <v>-1.5594819123644142E-3</v>
      </c>
      <c r="W237" s="83">
        <f t="shared" si="25"/>
        <v>-1.2403327928575127E-3</v>
      </c>
      <c r="X237" s="83">
        <f t="shared" si="25"/>
        <v>-6.4147743342834085E-4</v>
      </c>
      <c r="Y237" s="83">
        <f t="shared" si="25"/>
        <v>-5.385248164374081E-4</v>
      </c>
      <c r="Z237" s="83">
        <f t="shared" si="25"/>
        <v>-5.8817536185410476E-4</v>
      </c>
      <c r="AA237" s="83">
        <f t="shared" si="25"/>
        <v>-6.0744485806475733E-4</v>
      </c>
      <c r="AB237" s="83">
        <f t="shared" si="25"/>
        <v>-5.8456146382973259E-4</v>
      </c>
      <c r="AC237" s="83">
        <f t="shared" si="25"/>
        <v>-5.8499589491671652E-4</v>
      </c>
      <c r="AD237" s="83">
        <f t="shared" si="25"/>
        <v>-1.3276877500772147E-3</v>
      </c>
      <c r="AE237" s="83">
        <f t="shared" si="25"/>
        <v>-6.0406585384277319E-6</v>
      </c>
      <c r="AF237" s="83">
        <f t="shared" si="25"/>
        <v>-6.9705602825037485E-4</v>
      </c>
      <c r="AG237" s="83">
        <f t="shared" si="25"/>
        <v>-7.136845907391564E-4</v>
      </c>
      <c r="AH237" s="83">
        <f t="shared" si="25"/>
        <v>-3.5476405288567562E-5</v>
      </c>
      <c r="AI237" s="83">
        <f t="shared" si="25"/>
        <v>-2.4072786503971053E-4</v>
      </c>
      <c r="AJ237" s="83">
        <f t="shared" si="25"/>
        <v>-1.5254494936774355E-4</v>
      </c>
      <c r="AK237" s="83">
        <f t="shared" si="25"/>
        <v>-2.5693722677638696E-3</v>
      </c>
    </row>
    <row r="238" spans="2:37">
      <c r="B238" s="81" t="s">
        <v>105</v>
      </c>
      <c r="C238" s="81" t="s">
        <v>106</v>
      </c>
      <c r="D238" s="83">
        <f t="shared" si="25"/>
        <v>-9.3828245078339382E-4</v>
      </c>
      <c r="E238" s="83">
        <f t="shared" si="25"/>
        <v>-8.3392160893761816E-4</v>
      </c>
      <c r="F238" s="83">
        <f t="shared" si="25"/>
        <v>-2.2240688783044962E-4</v>
      </c>
      <c r="G238" s="83">
        <f t="shared" si="25"/>
        <v>-1.4438155784827721E-4</v>
      </c>
      <c r="H238" s="83">
        <f t="shared" si="25"/>
        <v>-1.4382641324596696E-4</v>
      </c>
      <c r="I238" s="83">
        <f t="shared" si="25"/>
        <v>-3.0213265979519644E-4</v>
      </c>
      <c r="J238" s="83">
        <f t="shared" si="25"/>
        <v>-7.0632363082803469E-4</v>
      </c>
      <c r="K238" s="83">
        <f t="shared" si="25"/>
        <v>-3.9861804398609374E-4</v>
      </c>
      <c r="L238" s="83">
        <f t="shared" si="25"/>
        <v>-3.983591381694572E-4</v>
      </c>
      <c r="M238" s="83">
        <f t="shared" si="25"/>
        <v>-9.6834299202865526E-4</v>
      </c>
      <c r="N238" s="83">
        <f t="shared" si="25"/>
        <v>-9.6036176252538579E-4</v>
      </c>
      <c r="O238" s="83">
        <f t="shared" si="25"/>
        <v>-3.4684451149210276E-4</v>
      </c>
      <c r="P238" s="83">
        <f t="shared" si="25"/>
        <v>0.99498538657785796</v>
      </c>
      <c r="Q238" s="83">
        <f t="shared" si="25"/>
        <v>-4.9716756844052443E-3</v>
      </c>
      <c r="R238" s="83">
        <f t="shared" si="25"/>
        <v>-4.9614954062132928E-3</v>
      </c>
      <c r="S238" s="83">
        <f t="shared" si="25"/>
        <v>-7.1818937677213383E-4</v>
      </c>
      <c r="T238" s="83">
        <f t="shared" si="25"/>
        <v>-3.1485056197546862E-3</v>
      </c>
      <c r="U238" s="83">
        <f t="shared" si="25"/>
        <v>-1.7931686836041433E-3</v>
      </c>
      <c r="V238" s="83">
        <f t="shared" si="25"/>
        <v>-3.0472675322635971E-4</v>
      </c>
      <c r="W238" s="83">
        <f t="shared" si="25"/>
        <v>-8.5044756414865601E-4</v>
      </c>
      <c r="X238" s="83">
        <f t="shared" si="25"/>
        <v>-8.6372449874448859E-4</v>
      </c>
      <c r="Y238" s="83">
        <f t="shared" si="25"/>
        <v>-1.0827652421344729E-3</v>
      </c>
      <c r="Z238" s="83">
        <f t="shared" si="25"/>
        <v>-2.4463552395241417E-3</v>
      </c>
      <c r="AA238" s="83">
        <f t="shared" si="25"/>
        <v>-2.8355399887078671E-3</v>
      </c>
      <c r="AB238" s="83">
        <f t="shared" si="25"/>
        <v>-2.7287207794095998E-3</v>
      </c>
      <c r="AC238" s="83">
        <f t="shared" si="25"/>
        <v>-2.3339252519832643E-3</v>
      </c>
      <c r="AD238" s="83">
        <f t="shared" si="25"/>
        <v>-4.3279398282794852E-3</v>
      </c>
      <c r="AE238" s="83">
        <f t="shared" si="25"/>
        <v>-1.7617571542250404E-5</v>
      </c>
      <c r="AF238" s="83">
        <f t="shared" si="25"/>
        <v>-7.113955038512245E-4</v>
      </c>
      <c r="AG238" s="83">
        <f t="shared" si="25"/>
        <v>-7.2836614051541629E-4</v>
      </c>
      <c r="AH238" s="83">
        <f t="shared" si="25"/>
        <v>-5.4748675505349252E-4</v>
      </c>
      <c r="AI238" s="83">
        <f t="shared" si="25"/>
        <v>-3.193596463482866E-4</v>
      </c>
      <c r="AJ238" s="83">
        <f t="shared" si="25"/>
        <v>-3.2606630366979132E-4</v>
      </c>
      <c r="AK238" s="83">
        <f t="shared" si="25"/>
        <v>-1.7762227449299322E-3</v>
      </c>
    </row>
    <row r="239" spans="2:37">
      <c r="B239" s="81" t="s">
        <v>107</v>
      </c>
      <c r="C239" s="81" t="s">
        <v>108</v>
      </c>
      <c r="D239" s="83">
        <f t="shared" si="25"/>
        <v>-2.1203073531794161E-4</v>
      </c>
      <c r="E239" s="83">
        <f t="shared" si="25"/>
        <v>-1.8844753175649499E-4</v>
      </c>
      <c r="F239" s="83">
        <f t="shared" si="25"/>
        <v>-5.0258955527829582E-5</v>
      </c>
      <c r="G239" s="83">
        <f t="shared" si="25"/>
        <v>-3.2626985457695029E-5</v>
      </c>
      <c r="H239" s="83">
        <f t="shared" si="25"/>
        <v>-3.2501535260755193E-5</v>
      </c>
      <c r="I239" s="83">
        <f t="shared" si="25"/>
        <v>-6.8275187249271501E-5</v>
      </c>
      <c r="J239" s="83">
        <f t="shared" si="25"/>
        <v>-1.596132579180889E-4</v>
      </c>
      <c r="K239" s="83">
        <f t="shared" si="25"/>
        <v>-9.0078714471111018E-5</v>
      </c>
      <c r="L239" s="83">
        <f t="shared" si="25"/>
        <v>-9.0020207578401715E-5</v>
      </c>
      <c r="M239" s="83">
        <f t="shared" si="25"/>
        <v>-2.188237416871507E-4</v>
      </c>
      <c r="N239" s="83">
        <f t="shared" si="25"/>
        <v>-2.1702016328823171E-4</v>
      </c>
      <c r="O239" s="83">
        <f t="shared" si="25"/>
        <v>-7.8379060325876946E-5</v>
      </c>
      <c r="P239" s="83">
        <f t="shared" si="25"/>
        <v>-1.1331898729900218E-3</v>
      </c>
      <c r="Q239" s="83">
        <f t="shared" si="25"/>
        <v>0.99887651309022496</v>
      </c>
      <c r="R239" s="83">
        <f t="shared" si="25"/>
        <v>-1.1211863958210794E-3</v>
      </c>
      <c r="S239" s="83">
        <f t="shared" si="25"/>
        <v>-1.6229464968399573E-4</v>
      </c>
      <c r="T239" s="83">
        <f t="shared" si="25"/>
        <v>-7.7834072888156522E-4</v>
      </c>
      <c r="U239" s="83">
        <f t="shared" si="25"/>
        <v>-4.0521580065390066E-4</v>
      </c>
      <c r="V239" s="83">
        <f t="shared" si="25"/>
        <v>-6.8861394032989753E-5</v>
      </c>
      <c r="W239" s="83">
        <f t="shared" si="25"/>
        <v>-1.9218202602557267E-4</v>
      </c>
      <c r="X239" s="83">
        <f t="shared" si="25"/>
        <v>-1.9518231469427136E-4</v>
      </c>
      <c r="Y239" s="83">
        <f t="shared" si="25"/>
        <v>-2.446805972708987E-4</v>
      </c>
      <c r="Z239" s="83">
        <f t="shared" si="25"/>
        <v>-6.2044168762449435E-4</v>
      </c>
      <c r="AA239" s="83">
        <f t="shared" si="25"/>
        <v>-6.4076827646854955E-4</v>
      </c>
      <c r="AB239" s="83">
        <f t="shared" si="25"/>
        <v>-6.1662953714257396E-4</v>
      </c>
      <c r="AC239" s="83">
        <f t="shared" si="25"/>
        <v>-6.1708780039916177E-4</v>
      </c>
      <c r="AD239" s="83">
        <f t="shared" si="25"/>
        <v>-1.0425265793097395E-3</v>
      </c>
      <c r="AE239" s="83">
        <f t="shared" si="25"/>
        <v>-3.9811750134525053E-6</v>
      </c>
      <c r="AF239" s="83">
        <f t="shared" si="25"/>
        <v>-1.6075938717335665E-4</v>
      </c>
      <c r="AG239" s="83">
        <f t="shared" si="25"/>
        <v>-1.6459436945158055E-4</v>
      </c>
      <c r="AH239" s="83">
        <f t="shared" si="25"/>
        <v>-1.2371969565657531E-4</v>
      </c>
      <c r="AI239" s="83">
        <f t="shared" si="25"/>
        <v>-7.2168098838009328E-5</v>
      </c>
      <c r="AJ239" s="83">
        <f t="shared" si="25"/>
        <v>-7.3683652584344031E-5</v>
      </c>
      <c r="AK239" s="83">
        <f t="shared" si="25"/>
        <v>-4.0138639956604116E-4</v>
      </c>
    </row>
    <row r="240" spans="2:37">
      <c r="B240" s="81" t="s">
        <v>109</v>
      </c>
      <c r="C240" s="81" t="s">
        <v>110</v>
      </c>
      <c r="D240" s="83">
        <f t="shared" si="25"/>
        <v>-5.4381406203226083E-4</v>
      </c>
      <c r="E240" s="83">
        <f t="shared" si="25"/>
        <v>-4.8332812490973641E-4</v>
      </c>
      <c r="F240" s="83">
        <f t="shared" si="25"/>
        <v>-1.2890360785715291E-4</v>
      </c>
      <c r="G240" s="83">
        <f t="shared" si="25"/>
        <v>-8.3681327931117835E-5</v>
      </c>
      <c r="H240" s="83">
        <f t="shared" si="25"/>
        <v>-8.3359574667006024E-5</v>
      </c>
      <c r="I240" s="83">
        <f t="shared" si="25"/>
        <v>-1.7511143777511413E-4</v>
      </c>
      <c r="J240" s="83">
        <f t="shared" si="25"/>
        <v>-4.0937430138362785E-4</v>
      </c>
      <c r="K240" s="83">
        <f t="shared" si="25"/>
        <v>-2.3103288089683762E-4</v>
      </c>
      <c r="L240" s="83">
        <f t="shared" si="25"/>
        <v>-2.3088282307180693E-4</v>
      </c>
      <c r="M240" s="83">
        <f t="shared" si="25"/>
        <v>-5.6123668890525294E-4</v>
      </c>
      <c r="N240" s="83">
        <f t="shared" si="25"/>
        <v>-5.5661089116965372E-4</v>
      </c>
      <c r="O240" s="83">
        <f t="shared" si="25"/>
        <v>-2.0102573860422511E-4</v>
      </c>
      <c r="P240" s="83">
        <f t="shared" si="25"/>
        <v>-2.9063927310371321E-3</v>
      </c>
      <c r="Q240" s="83">
        <f t="shared" si="25"/>
        <v>-2.8815066793438453E-3</v>
      </c>
      <c r="R240" s="83">
        <f t="shared" si="25"/>
        <v>0.99712439365315364</v>
      </c>
      <c r="S240" s="83">
        <f t="shared" si="25"/>
        <v>-4.1625150503964701E-4</v>
      </c>
      <c r="T240" s="83">
        <f t="shared" si="25"/>
        <v>-1.9962796091025515E-3</v>
      </c>
      <c r="U240" s="83">
        <f t="shared" si="25"/>
        <v>-1.0392929601588975E-3</v>
      </c>
      <c r="V240" s="83">
        <f t="shared" si="25"/>
        <v>-1.7661493438736922E-4</v>
      </c>
      <c r="W240" s="83">
        <f t="shared" si="25"/>
        <v>-4.9290631410507657E-4</v>
      </c>
      <c r="X240" s="83">
        <f t="shared" si="25"/>
        <v>-5.0060142097600984E-4</v>
      </c>
      <c r="Y240" s="83">
        <f t="shared" si="25"/>
        <v>-6.2755406334294233E-4</v>
      </c>
      <c r="Z240" s="83">
        <f t="shared" si="25"/>
        <v>-1.5913019114671527E-3</v>
      </c>
      <c r="AA240" s="83">
        <f t="shared" si="25"/>
        <v>-1.6434353195316437E-3</v>
      </c>
      <c r="AB240" s="83">
        <f t="shared" si="25"/>
        <v>-1.5815245504843566E-3</v>
      </c>
      <c r="AC240" s="83">
        <f t="shared" si="25"/>
        <v>-1.5826998989670567E-3</v>
      </c>
      <c r="AD240" s="83">
        <f t="shared" si="25"/>
        <v>-2.3933641376769023E-3</v>
      </c>
      <c r="AE240" s="83">
        <f t="shared" si="25"/>
        <v>-1.0210873213642677E-5</v>
      </c>
      <c r="AF240" s="83">
        <f t="shared" si="25"/>
        <v>-4.1231388089782277E-4</v>
      </c>
      <c r="AG240" s="83">
        <f t="shared" si="25"/>
        <v>-4.2214980061679955E-4</v>
      </c>
      <c r="AH240" s="83">
        <f t="shared" si="25"/>
        <v>-3.1731489374646076E-4</v>
      </c>
      <c r="AI240" s="83">
        <f t="shared" si="25"/>
        <v>-1.8509593394275419E-4</v>
      </c>
      <c r="AJ240" s="83">
        <f t="shared" si="25"/>
        <v>-1.8898300926599193E-4</v>
      </c>
      <c r="AK240" s="83">
        <f t="shared" si="25"/>
        <v>-1.0294713550146417E-3</v>
      </c>
    </row>
    <row r="241" spans="2:37">
      <c r="B241" s="81" t="s">
        <v>111</v>
      </c>
      <c r="C241" s="81" t="s">
        <v>112</v>
      </c>
      <c r="D241" s="83">
        <f t="shared" si="25"/>
        <v>-5.6023100238369467E-7</v>
      </c>
      <c r="E241" s="83">
        <f t="shared" si="25"/>
        <v>-5.5502035008339196E-5</v>
      </c>
      <c r="F241" s="83">
        <f t="shared" si="25"/>
        <v>-4.7753692676055944E-4</v>
      </c>
      <c r="G241" s="83">
        <f t="shared" si="25"/>
        <v>-2.3710641818244074E-2</v>
      </c>
      <c r="H241" s="83">
        <f t="shared" si="25"/>
        <v>-2.5460643208165226E-2</v>
      </c>
      <c r="I241" s="83">
        <f t="shared" si="25"/>
        <v>0</v>
      </c>
      <c r="J241" s="83">
        <f t="shared" si="25"/>
        <v>-1.0198228833178679E-3</v>
      </c>
      <c r="K241" s="83">
        <f t="shared" si="25"/>
        <v>0</v>
      </c>
      <c r="L241" s="83">
        <f t="shared" si="25"/>
        <v>0</v>
      </c>
      <c r="M241" s="83">
        <f t="shared" si="25"/>
        <v>-7.6635373272785864E-4</v>
      </c>
      <c r="N241" s="83">
        <f t="shared" si="25"/>
        <v>-7.6003732927170753E-4</v>
      </c>
      <c r="O241" s="83">
        <f t="shared" si="25"/>
        <v>-5.9739598623938293E-5</v>
      </c>
      <c r="P241" s="83">
        <f t="shared" si="25"/>
        <v>-6.209673949212211E-4</v>
      </c>
      <c r="Q241" s="83">
        <f t="shared" si="25"/>
        <v>-6.1565034794238739E-4</v>
      </c>
      <c r="R241" s="83">
        <f t="shared" si="25"/>
        <v>-6.1438970822875777E-4</v>
      </c>
      <c r="S241" s="83">
        <f t="shared" si="25"/>
        <v>0.97488505890427979</v>
      </c>
      <c r="T241" s="83">
        <f t="shared" si="25"/>
        <v>-1.0224341058308427E-4</v>
      </c>
      <c r="U241" s="83">
        <f t="shared" si="25"/>
        <v>-1.4382827458216945E-3</v>
      </c>
      <c r="V241" s="83">
        <f t="shared" si="25"/>
        <v>-3.3111226312588393E-4</v>
      </c>
      <c r="W241" s="83">
        <f t="shared" si="25"/>
        <v>-6.9029197517558687E-4</v>
      </c>
      <c r="X241" s="83">
        <f t="shared" si="25"/>
        <v>-2.5260499016602081E-4</v>
      </c>
      <c r="Y241" s="83">
        <f t="shared" si="25"/>
        <v>-1.3728981055848872E-3</v>
      </c>
      <c r="Z241" s="83">
        <f t="shared" si="25"/>
        <v>-6.3404962886227706E-4</v>
      </c>
      <c r="AA241" s="83">
        <f t="shared" si="25"/>
        <v>-6.5482203402085666E-4</v>
      </c>
      <c r="AB241" s="83">
        <f t="shared" si="25"/>
        <v>-6.3015386775137883E-4</v>
      </c>
      <c r="AC241" s="83">
        <f t="shared" si="25"/>
        <v>-6.306221819435974E-4</v>
      </c>
      <c r="AD241" s="83">
        <f t="shared" si="25"/>
        <v>-5.9301012422909027E-4</v>
      </c>
      <c r="AE241" s="83">
        <f t="shared" si="25"/>
        <v>-8.3573075906143422E-6</v>
      </c>
      <c r="AF241" s="83">
        <f t="shared" si="25"/>
        <v>-3.5573675022850172E-4</v>
      </c>
      <c r="AG241" s="83">
        <f t="shared" si="25"/>
        <v>-3.64222998881393E-4</v>
      </c>
      <c r="AH241" s="83">
        <f t="shared" si="25"/>
        <v>-8.8911428229758446E-5</v>
      </c>
      <c r="AI241" s="83">
        <f t="shared" si="25"/>
        <v>-4.1039604285117681E-4</v>
      </c>
      <c r="AJ241" s="83">
        <f t="shared" si="25"/>
        <v>-6.9324665106863643E-5</v>
      </c>
      <c r="AK241" s="83">
        <f t="shared" si="25"/>
        <v>-6.5312755482964469E-3</v>
      </c>
    </row>
    <row r="242" spans="2:37">
      <c r="B242" s="81" t="s">
        <v>113</v>
      </c>
      <c r="C242" s="81" t="s">
        <v>114</v>
      </c>
      <c r="D242" s="83">
        <f t="shared" si="25"/>
        <v>-1.4899042221877453E-4</v>
      </c>
      <c r="E242" s="83">
        <f t="shared" si="25"/>
        <v>-1.1791419671119366E-2</v>
      </c>
      <c r="F242" s="83">
        <f t="shared" si="25"/>
        <v>-1.1477580780863174E-2</v>
      </c>
      <c r="G242" s="83">
        <f t="shared" si="25"/>
        <v>-1.2669702240100949E-2</v>
      </c>
      <c r="H242" s="83">
        <f t="shared" si="25"/>
        <v>-1.2620987453279723E-2</v>
      </c>
      <c r="I242" s="83">
        <f t="shared" si="25"/>
        <v>-2.5744172464320692E-2</v>
      </c>
      <c r="J242" s="83">
        <f t="shared" si="25"/>
        <v>-5.3753585198169689E-2</v>
      </c>
      <c r="K242" s="83">
        <f t="shared" si="25"/>
        <v>-2.7999142970688583E-2</v>
      </c>
      <c r="L242" s="83">
        <f t="shared" si="25"/>
        <v>-2.7980957288717669E-2</v>
      </c>
      <c r="M242" s="83">
        <f t="shared" si="25"/>
        <v>-1.9508381335133419E-2</v>
      </c>
      <c r="N242" s="83">
        <f t="shared" si="25"/>
        <v>-1.9347590303490061E-2</v>
      </c>
      <c r="O242" s="83">
        <f t="shared" si="25"/>
        <v>-5.380987280280667E-3</v>
      </c>
      <c r="P242" s="83">
        <f t="shared" si="25"/>
        <v>-7.0175043639983364E-2</v>
      </c>
      <c r="Q242" s="83">
        <f t="shared" si="25"/>
        <v>-6.9574168285129967E-2</v>
      </c>
      <c r="R242" s="83">
        <f t="shared" si="25"/>
        <v>-6.9431704368921709E-2</v>
      </c>
      <c r="S242" s="83">
        <f t="shared" si="25"/>
        <v>-1.1844455380617321E-2</v>
      </c>
      <c r="T242" s="83">
        <f t="shared" si="25"/>
        <v>0.97140042670633442</v>
      </c>
      <c r="U242" s="83">
        <f t="shared" ref="U242:AK242" si="26">U203-U164</f>
        <v>-7.3630215184170289E-3</v>
      </c>
      <c r="V242" s="83">
        <f t="shared" si="26"/>
        <v>-3.9148276965530471E-3</v>
      </c>
      <c r="W242" s="83">
        <f t="shared" si="26"/>
        <v>-7.1077429505050438E-3</v>
      </c>
      <c r="X242" s="83">
        <f t="shared" si="26"/>
        <v>-3.2226036092053863E-3</v>
      </c>
      <c r="Y242" s="83">
        <f t="shared" si="26"/>
        <v>-2.2737771403041788E-2</v>
      </c>
      <c r="Z242" s="83">
        <f t="shared" si="26"/>
        <v>-2.9147509328572695E-3</v>
      </c>
      <c r="AA242" s="83">
        <f t="shared" si="26"/>
        <v>-3.0102424914948593E-3</v>
      </c>
      <c r="AB242" s="83">
        <f t="shared" si="26"/>
        <v>-2.8968419667207276E-3</v>
      </c>
      <c r="AC242" s="83">
        <f t="shared" si="26"/>
        <v>-2.8989948253716835E-3</v>
      </c>
      <c r="AD242" s="83">
        <f t="shared" si="26"/>
        <v>-4.2459637560658065E-3</v>
      </c>
      <c r="AE242" s="83">
        <f t="shared" si="26"/>
        <v>-5.4075944444250421E-4</v>
      </c>
      <c r="AF242" s="83">
        <f t="shared" si="26"/>
        <v>-8.1899863143916826E-3</v>
      </c>
      <c r="AG242" s="83">
        <f t="shared" si="26"/>
        <v>-8.3853618562300357E-3</v>
      </c>
      <c r="AH242" s="83">
        <f t="shared" si="26"/>
        <v>-1.196631158319343E-2</v>
      </c>
      <c r="AI242" s="83">
        <f t="shared" si="26"/>
        <v>-1.2801898733291886E-2</v>
      </c>
      <c r="AJ242" s="83">
        <f t="shared" si="26"/>
        <v>-2.0852263336509632E-2</v>
      </c>
      <c r="AK242" s="83">
        <f t="shared" si="26"/>
        <v>-1.244645110470975E-2</v>
      </c>
    </row>
    <row r="243" spans="2:37">
      <c r="B243" s="81" t="s">
        <v>115</v>
      </c>
      <c r="C243" s="81" t="s">
        <v>116</v>
      </c>
      <c r="D243" s="83">
        <f t="shared" ref="D243:AK250" si="27">D204-D165</f>
        <v>-1.3570337517427005E-6</v>
      </c>
      <c r="E243" s="83">
        <f t="shared" si="27"/>
        <v>-1.9559775964482693E-4</v>
      </c>
      <c r="F243" s="83">
        <f t="shared" si="27"/>
        <v>-3.5498849553100647E-3</v>
      </c>
      <c r="G243" s="83">
        <f t="shared" si="27"/>
        <v>-5.8023878387345011E-3</v>
      </c>
      <c r="H243" s="83">
        <f t="shared" si="27"/>
        <v>-5.7800777574665198E-3</v>
      </c>
      <c r="I243" s="83">
        <f t="shared" si="27"/>
        <v>0</v>
      </c>
      <c r="J243" s="83">
        <f t="shared" si="27"/>
        <v>-1.2052029883955921E-2</v>
      </c>
      <c r="K243" s="83">
        <f t="shared" si="27"/>
        <v>-9.8516620880430132E-4</v>
      </c>
      <c r="L243" s="83">
        <f t="shared" si="27"/>
        <v>-9.84526334955991E-4</v>
      </c>
      <c r="M243" s="83">
        <f t="shared" si="27"/>
        <v>-9.8977389870445361E-3</v>
      </c>
      <c r="N243" s="83">
        <f t="shared" si="27"/>
        <v>-9.8161603242469548E-3</v>
      </c>
      <c r="O243" s="83">
        <f t="shared" si="27"/>
        <v>-1.6678246336503846E-3</v>
      </c>
      <c r="P243" s="83">
        <f t="shared" si="27"/>
        <v>-6.8112634809385127E-4</v>
      </c>
      <c r="Q243" s="83">
        <f t="shared" si="27"/>
        <v>-6.7529418875512612E-4</v>
      </c>
      <c r="R243" s="83">
        <f t="shared" si="27"/>
        <v>-6.7391141901322117E-4</v>
      </c>
      <c r="S243" s="83">
        <f t="shared" si="27"/>
        <v>-5.8542392553441371E-4</v>
      </c>
      <c r="T243" s="83">
        <f t="shared" si="27"/>
        <v>-1.8729640683298717E-3</v>
      </c>
      <c r="U243" s="83">
        <f t="shared" si="27"/>
        <v>0.84788771561759479</v>
      </c>
      <c r="V243" s="83">
        <f t="shared" si="27"/>
        <v>0</v>
      </c>
      <c r="W243" s="83">
        <f t="shared" si="27"/>
        <v>-1.5743895743697618E-2</v>
      </c>
      <c r="X243" s="83">
        <f t="shared" si="27"/>
        <v>-1.8435968943295244E-2</v>
      </c>
      <c r="Y243" s="83">
        <f t="shared" si="27"/>
        <v>-8.9639235891531572E-3</v>
      </c>
      <c r="Z243" s="83">
        <f t="shared" si="27"/>
        <v>-3.0654864195756898E-3</v>
      </c>
      <c r="AA243" s="83">
        <f t="shared" si="27"/>
        <v>-3.1659162960662834E-3</v>
      </c>
      <c r="AB243" s="83">
        <f t="shared" si="27"/>
        <v>-3.0466512965257714E-3</v>
      </c>
      <c r="AC243" s="83">
        <f t="shared" si="27"/>
        <v>-3.0489154896283063E-3</v>
      </c>
      <c r="AD243" s="83">
        <f t="shared" si="27"/>
        <v>-7.4256497317965907E-4</v>
      </c>
      <c r="AE243" s="83">
        <f t="shared" si="27"/>
        <v>-1.3337026036647771E-4</v>
      </c>
      <c r="AF243" s="83">
        <f t="shared" si="27"/>
        <v>-3.5100774661635366E-2</v>
      </c>
      <c r="AG243" s="83">
        <f t="shared" si="27"/>
        <v>-3.5938118291429948E-2</v>
      </c>
      <c r="AH243" s="83">
        <f t="shared" si="27"/>
        <v>0</v>
      </c>
      <c r="AI243" s="83">
        <f t="shared" si="27"/>
        <v>-2.621016029085009E-2</v>
      </c>
      <c r="AJ243" s="83">
        <f t="shared" si="27"/>
        <v>-2.4228951750712262E-3</v>
      </c>
      <c r="AK243" s="83">
        <f t="shared" si="27"/>
        <v>-2.2205393723986291E-2</v>
      </c>
    </row>
    <row r="244" spans="2:37">
      <c r="B244" s="81" t="s">
        <v>117</v>
      </c>
      <c r="C244" s="81" t="s">
        <v>118</v>
      </c>
      <c r="D244" s="83">
        <f t="shared" si="27"/>
        <v>-2.5300950118337172E-3</v>
      </c>
      <c r="E244" s="83">
        <f t="shared" si="27"/>
        <v>-6.7598433233790672E-3</v>
      </c>
      <c r="F244" s="83">
        <f t="shared" si="27"/>
        <v>-3.3785500821949027E-4</v>
      </c>
      <c r="G244" s="83">
        <f t="shared" si="27"/>
        <v>-1.8548769782651886E-3</v>
      </c>
      <c r="H244" s="83">
        <f t="shared" si="27"/>
        <v>-1.8477450082422719E-3</v>
      </c>
      <c r="I244" s="83">
        <f t="shared" si="27"/>
        <v>-3.3504023510016771E-3</v>
      </c>
      <c r="J244" s="83">
        <f t="shared" si="27"/>
        <v>-5.2142585007476597E-3</v>
      </c>
      <c r="K244" s="83">
        <f t="shared" si="27"/>
        <v>-3.5905704945014749E-3</v>
      </c>
      <c r="L244" s="83">
        <f t="shared" si="27"/>
        <v>-3.5882383883660712E-3</v>
      </c>
      <c r="M244" s="83">
        <f t="shared" si="27"/>
        <v>-2.656035995663096E-3</v>
      </c>
      <c r="N244" s="83">
        <f t="shared" si="27"/>
        <v>-2.6341445449841192E-3</v>
      </c>
      <c r="O244" s="83">
        <f t="shared" si="27"/>
        <v>-1.6148288794579725E-4</v>
      </c>
      <c r="P244" s="83">
        <f t="shared" si="27"/>
        <v>-2.6590539172449798E-3</v>
      </c>
      <c r="Q244" s="83">
        <f t="shared" si="27"/>
        <v>-2.6362857095856558E-3</v>
      </c>
      <c r="R244" s="83">
        <f t="shared" si="27"/>
        <v>-2.6308875051127981E-3</v>
      </c>
      <c r="S244" s="83">
        <f t="shared" si="27"/>
        <v>-7.3723889033345505E-4</v>
      </c>
      <c r="T244" s="83">
        <f t="shared" si="27"/>
        <v>-2.1076227312339805E-3</v>
      </c>
      <c r="U244" s="83">
        <f t="shared" si="27"/>
        <v>-9.6784138807389777E-5</v>
      </c>
      <c r="V244" s="83">
        <f t="shared" si="27"/>
        <v>0.99702039590883329</v>
      </c>
      <c r="W244" s="83">
        <f t="shared" si="27"/>
        <v>-2.3909752169079057E-3</v>
      </c>
      <c r="X244" s="83">
        <f t="shared" si="27"/>
        <v>-2.9535418251809054E-4</v>
      </c>
      <c r="Y244" s="83">
        <f t="shared" si="27"/>
        <v>-7.0594211468045869E-4</v>
      </c>
      <c r="Z244" s="83">
        <f t="shared" si="27"/>
        <v>-1.9064109744713444E-3</v>
      </c>
      <c r="AA244" s="83">
        <f t="shared" si="27"/>
        <v>-1.9688678222602608E-3</v>
      </c>
      <c r="AB244" s="83">
        <f t="shared" si="27"/>
        <v>-1.894697503793878E-3</v>
      </c>
      <c r="AC244" s="83">
        <f t="shared" si="27"/>
        <v>-1.8961055943831652E-3</v>
      </c>
      <c r="AD244" s="83">
        <f t="shared" si="27"/>
        <v>-3.3683161452447426E-3</v>
      </c>
      <c r="AE244" s="83">
        <f t="shared" si="27"/>
        <v>-4.318880954498995E-5</v>
      </c>
      <c r="AF244" s="83">
        <f t="shared" si="27"/>
        <v>-1.0659574570324303E-3</v>
      </c>
      <c r="AG244" s="83">
        <f t="shared" si="27"/>
        <v>-1.091386317075627E-3</v>
      </c>
      <c r="AH244" s="83">
        <f t="shared" si="27"/>
        <v>-2.5594574095550147E-3</v>
      </c>
      <c r="AI244" s="83">
        <f t="shared" si="27"/>
        <v>-3.0177890695147182E-4</v>
      </c>
      <c r="AJ244" s="83">
        <f t="shared" si="27"/>
        <v>-1.3594509242607238E-3</v>
      </c>
      <c r="AK244" s="83">
        <f t="shared" si="27"/>
        <v>-2.9143552719012441E-3</v>
      </c>
    </row>
    <row r="245" spans="2:37">
      <c r="B245" s="81" t="s">
        <v>119</v>
      </c>
      <c r="C245" s="81" t="s">
        <v>120</v>
      </c>
      <c r="D245" s="83">
        <f t="shared" si="27"/>
        <v>-2.7753576058518258E-2</v>
      </c>
      <c r="E245" s="83">
        <f t="shared" si="27"/>
        <v>-4.6351458304004804E-3</v>
      </c>
      <c r="F245" s="83">
        <f t="shared" si="27"/>
        <v>-3.0464169144327025E-2</v>
      </c>
      <c r="G245" s="83">
        <f t="shared" si="27"/>
        <v>-1.4753070976803747E-2</v>
      </c>
      <c r="H245" s="83">
        <f t="shared" si="27"/>
        <v>-1.4696345673085313E-2</v>
      </c>
      <c r="I245" s="83">
        <f t="shared" si="27"/>
        <v>-2.5465411048909595E-3</v>
      </c>
      <c r="J245" s="83">
        <f t="shared" si="27"/>
        <v>-4.5639262559404826E-3</v>
      </c>
      <c r="K245" s="83">
        <f t="shared" si="27"/>
        <v>-1.0743305172309731E-2</v>
      </c>
      <c r="L245" s="83">
        <f t="shared" si="27"/>
        <v>-1.0736327304044719E-2</v>
      </c>
      <c r="M245" s="83">
        <f t="shared" si="27"/>
        <v>-5.5221184506950953E-3</v>
      </c>
      <c r="N245" s="83">
        <f t="shared" si="27"/>
        <v>-5.4766043146275839E-3</v>
      </c>
      <c r="O245" s="83">
        <f t="shared" si="27"/>
        <v>-8.5480459337496928E-3</v>
      </c>
      <c r="P245" s="83">
        <f t="shared" si="27"/>
        <v>-9.2480062166644776E-3</v>
      </c>
      <c r="Q245" s="83">
        <f t="shared" si="27"/>
        <v>-9.1688199599999111E-3</v>
      </c>
      <c r="R245" s="83">
        <f t="shared" si="27"/>
        <v>-9.1500453769800469E-3</v>
      </c>
      <c r="S245" s="83">
        <f t="shared" si="27"/>
        <v>-5.2627721904126325E-3</v>
      </c>
      <c r="T245" s="83">
        <f t="shared" si="27"/>
        <v>-4.7550210246096172E-3</v>
      </c>
      <c r="U245" s="83">
        <f t="shared" si="27"/>
        <v>-6.1989569213357224E-3</v>
      </c>
      <c r="V245" s="83">
        <f t="shared" si="27"/>
        <v>-1.0901357609010168E-3</v>
      </c>
      <c r="W245" s="83">
        <f t="shared" si="27"/>
        <v>0.99649083809169114</v>
      </c>
      <c r="X245" s="83">
        <f t="shared" si="27"/>
        <v>-8.1744453751539502E-3</v>
      </c>
      <c r="Y245" s="83">
        <f t="shared" si="27"/>
        <v>-1.9874626308034545E-2</v>
      </c>
      <c r="Z245" s="83">
        <f t="shared" si="27"/>
        <v>-3.3279734843451275E-3</v>
      </c>
      <c r="AA245" s="83">
        <f t="shared" si="27"/>
        <v>-3.4370028259407765E-3</v>
      </c>
      <c r="AB245" s="83">
        <f t="shared" si="27"/>
        <v>-3.3075255744525168E-3</v>
      </c>
      <c r="AC245" s="83">
        <f t="shared" si="27"/>
        <v>-3.3099836426274593E-3</v>
      </c>
      <c r="AD245" s="83">
        <f t="shared" si="27"/>
        <v>-3.5079400355569079E-3</v>
      </c>
      <c r="AE245" s="83">
        <f t="shared" si="27"/>
        <v>-7.3092601009939554E-5</v>
      </c>
      <c r="AF245" s="83">
        <f t="shared" si="27"/>
        <v>-4.5528923217364086E-3</v>
      </c>
      <c r="AG245" s="83">
        <f t="shared" si="27"/>
        <v>-4.6615034683420743E-3</v>
      </c>
      <c r="AH245" s="83">
        <f t="shared" si="27"/>
        <v>-1.0045933420980504E-2</v>
      </c>
      <c r="AI245" s="83">
        <f t="shared" si="27"/>
        <v>-5.3296401771672428E-3</v>
      </c>
      <c r="AJ245" s="83">
        <f t="shared" si="27"/>
        <v>-7.078967673117542E-3</v>
      </c>
      <c r="AK245" s="83">
        <f t="shared" si="27"/>
        <v>-3.9214531757474531E-3</v>
      </c>
    </row>
    <row r="246" spans="2:37">
      <c r="B246" s="81" t="s">
        <v>121</v>
      </c>
      <c r="C246" s="81" t="s">
        <v>122</v>
      </c>
      <c r="D246" s="83">
        <f t="shared" si="27"/>
        <v>-0.10597021511460571</v>
      </c>
      <c r="E246" s="83">
        <f t="shared" si="27"/>
        <v>-3.3270499462606656E-2</v>
      </c>
      <c r="F246" s="83">
        <f t="shared" si="27"/>
        <v>-0.12038989088001362</v>
      </c>
      <c r="G246" s="83">
        <f t="shared" si="27"/>
        <v>-8.1797388589402206E-2</v>
      </c>
      <c r="H246" s="83">
        <f t="shared" si="27"/>
        <v>-8.14828790396004E-2</v>
      </c>
      <c r="I246" s="83">
        <f t="shared" si="27"/>
        <v>-2.0871303457080229E-2</v>
      </c>
      <c r="J246" s="83">
        <f t="shared" si="27"/>
        <v>-2.9816188099850365E-2</v>
      </c>
      <c r="K246" s="83">
        <f t="shared" si="27"/>
        <v>-6.3425763584170236E-2</v>
      </c>
      <c r="L246" s="83">
        <f t="shared" si="27"/>
        <v>-6.3384568010201203E-2</v>
      </c>
      <c r="M246" s="83">
        <f t="shared" si="27"/>
        <v>-2.8352099163755601E-2</v>
      </c>
      <c r="N246" s="83">
        <f t="shared" si="27"/>
        <v>-2.8118416871233037E-2</v>
      </c>
      <c r="O246" s="83">
        <f t="shared" si="27"/>
        <v>-1.6618183089361482E-2</v>
      </c>
      <c r="P246" s="83">
        <f t="shared" si="27"/>
        <v>-3.5685415942413395E-2</v>
      </c>
      <c r="Q246" s="83">
        <f t="shared" si="27"/>
        <v>-3.537985878341135E-2</v>
      </c>
      <c r="R246" s="83">
        <f t="shared" si="27"/>
        <v>-3.5307413027157016E-2</v>
      </c>
      <c r="S246" s="83">
        <f t="shared" si="27"/>
        <v>-2.9677566117145338E-2</v>
      </c>
      <c r="T246" s="83">
        <f t="shared" si="27"/>
        <v>-2.8913805070811052E-2</v>
      </c>
      <c r="U246" s="83">
        <f t="shared" si="27"/>
        <v>-4.1546822986625015E-2</v>
      </c>
      <c r="V246" s="83">
        <f t="shared" si="27"/>
        <v>-1.9074906991226211E-2</v>
      </c>
      <c r="W246" s="83">
        <f t="shared" si="27"/>
        <v>-2.3859340442123247E-2</v>
      </c>
      <c r="X246" s="83">
        <f t="shared" si="27"/>
        <v>0.95673306797493263</v>
      </c>
      <c r="Y246" s="83">
        <f t="shared" si="27"/>
        <v>-7.7629248780305429E-2</v>
      </c>
      <c r="Z246" s="83">
        <f t="shared" si="27"/>
        <v>-3.9311173761250047E-2</v>
      </c>
      <c r="AA246" s="83">
        <f t="shared" si="27"/>
        <v>-4.8089867973549055E-2</v>
      </c>
      <c r="AB246" s="83">
        <f t="shared" si="27"/>
        <v>-4.6278247720387473E-2</v>
      </c>
      <c r="AC246" s="83">
        <f t="shared" si="27"/>
        <v>-4.6312640527140583E-2</v>
      </c>
      <c r="AD246" s="83">
        <f t="shared" si="27"/>
        <v>-2.6061989924335123E-2</v>
      </c>
      <c r="AE246" s="83">
        <f t="shared" si="27"/>
        <v>-3.4001989219770357E-4</v>
      </c>
      <c r="AF246" s="83">
        <f t="shared" si="27"/>
        <v>-2.3521128988516847E-2</v>
      </c>
      <c r="AG246" s="83">
        <f t="shared" si="27"/>
        <v>-2.4082235337706367E-2</v>
      </c>
      <c r="AH246" s="83">
        <f t="shared" si="27"/>
        <v>-4.2901260075723757E-2</v>
      </c>
      <c r="AI246" s="83">
        <f t="shared" si="27"/>
        <v>-2.1827213686410964E-2</v>
      </c>
      <c r="AJ246" s="83">
        <f t="shared" si="27"/>
        <v>-3.2016056833867615E-2</v>
      </c>
      <c r="AK246" s="83">
        <f t="shared" si="27"/>
        <v>-1.7755012550766145E-2</v>
      </c>
    </row>
    <row r="247" spans="2:37">
      <c r="B247" s="81" t="s">
        <v>123</v>
      </c>
      <c r="C247" s="81" t="s">
        <v>124</v>
      </c>
      <c r="D247" s="83">
        <f t="shared" si="27"/>
        <v>-7.2752824361161121E-3</v>
      </c>
      <c r="E247" s="83">
        <f t="shared" si="27"/>
        <v>-3.3547947641042646E-3</v>
      </c>
      <c r="F247" s="83">
        <f t="shared" si="27"/>
        <v>-2.3508332122131149E-2</v>
      </c>
      <c r="G247" s="83">
        <f t="shared" si="27"/>
        <v>-6.451073726219763E-3</v>
      </c>
      <c r="H247" s="83">
        <f t="shared" si="27"/>
        <v>-6.4262694588909279E-3</v>
      </c>
      <c r="I247" s="83">
        <f t="shared" si="27"/>
        <v>-5.1419384843184315E-4</v>
      </c>
      <c r="J247" s="83">
        <f t="shared" si="27"/>
        <v>-2.8503711674937406E-3</v>
      </c>
      <c r="K247" s="83">
        <f t="shared" si="27"/>
        <v>-5.3770857471815E-3</v>
      </c>
      <c r="L247" s="83">
        <f t="shared" si="27"/>
        <v>-5.3735932841645958E-3</v>
      </c>
      <c r="M247" s="83">
        <f t="shared" si="27"/>
        <v>-3.171318043014416E-3</v>
      </c>
      <c r="N247" s="83">
        <f t="shared" si="27"/>
        <v>-3.145179559710976E-3</v>
      </c>
      <c r="O247" s="83">
        <f t="shared" si="27"/>
        <v>-3.1093230380454325E-4</v>
      </c>
      <c r="P247" s="83">
        <f t="shared" si="27"/>
        <v>-2.438183414266963E-4</v>
      </c>
      <c r="Q247" s="83">
        <f t="shared" si="27"/>
        <v>-2.4173064151480122E-4</v>
      </c>
      <c r="R247" s="83">
        <f t="shared" si="27"/>
        <v>-2.4123566047935907E-4</v>
      </c>
      <c r="S247" s="83">
        <f t="shared" si="27"/>
        <v>-4.9907782000940836E-4</v>
      </c>
      <c r="T247" s="83">
        <f t="shared" si="27"/>
        <v>-1.3644305003124885E-3</v>
      </c>
      <c r="U247" s="83">
        <f t="shared" si="27"/>
        <v>-3.9838455431448544E-3</v>
      </c>
      <c r="V247" s="83">
        <f t="shared" si="27"/>
        <v>-1.865538673480054E-3</v>
      </c>
      <c r="W247" s="83">
        <f t="shared" si="27"/>
        <v>-3.2540107997697473E-3</v>
      </c>
      <c r="X247" s="83">
        <f t="shared" si="27"/>
        <v>-8.7838549838824814E-3</v>
      </c>
      <c r="Y247" s="83">
        <f t="shared" si="27"/>
        <v>0.97784667613770382</v>
      </c>
      <c r="Z247" s="83">
        <f t="shared" si="27"/>
        <v>-1.4988732713951455E-3</v>
      </c>
      <c r="AA247" s="83">
        <f t="shared" si="27"/>
        <v>-1.5479785802818538E-3</v>
      </c>
      <c r="AB247" s="83">
        <f t="shared" si="27"/>
        <v>-1.4896638153288396E-3</v>
      </c>
      <c r="AC247" s="83">
        <f t="shared" si="27"/>
        <v>-1.4907708952692372E-3</v>
      </c>
      <c r="AD247" s="83">
        <f t="shared" si="27"/>
        <v>-2.6436163874052538E-3</v>
      </c>
      <c r="AE247" s="83">
        <f t="shared" si="27"/>
        <v>-6.3302873920825862E-4</v>
      </c>
      <c r="AF247" s="83">
        <f t="shared" si="27"/>
        <v>-5.1982116161734832E-3</v>
      </c>
      <c r="AG247" s="83">
        <f t="shared" si="27"/>
        <v>-5.3222171238890975E-3</v>
      </c>
      <c r="AH247" s="83">
        <f t="shared" si="27"/>
        <v>-1.4555085607400049E-2</v>
      </c>
      <c r="AI247" s="83">
        <f t="shared" si="27"/>
        <v>-5.2080589869957072E-3</v>
      </c>
      <c r="AJ247" s="83">
        <f t="shared" si="27"/>
        <v>-7.1007114861642252E-3</v>
      </c>
      <c r="AK247" s="83">
        <f t="shared" si="27"/>
        <v>-4.1400824647779208E-3</v>
      </c>
    </row>
    <row r="248" spans="2:37">
      <c r="B248" s="81" t="s">
        <v>125</v>
      </c>
      <c r="C248" s="81" t="s">
        <v>126</v>
      </c>
      <c r="D248" s="83">
        <f t="shared" si="27"/>
        <v>-7.7168809359119579E-3</v>
      </c>
      <c r="E248" s="83">
        <f t="shared" si="27"/>
        <v>-2.1309284584817508E-2</v>
      </c>
      <c r="F248" s="83">
        <f t="shared" si="27"/>
        <v>-1.3744438790353716E-2</v>
      </c>
      <c r="G248" s="83">
        <f t="shared" si="27"/>
        <v>-2.7991194493279414E-2</v>
      </c>
      <c r="H248" s="83">
        <f t="shared" si="27"/>
        <v>-2.7883568832725778E-2</v>
      </c>
      <c r="I248" s="83">
        <f t="shared" si="27"/>
        <v>-1.0262552022352768E-2</v>
      </c>
      <c r="J248" s="83">
        <f t="shared" si="27"/>
        <v>-1.4650245296998949E-2</v>
      </c>
      <c r="K248" s="83">
        <f t="shared" si="27"/>
        <v>-1.6956415338145157E-2</v>
      </c>
      <c r="L248" s="83">
        <f t="shared" si="27"/>
        <v>-1.6945402001878659E-2</v>
      </c>
      <c r="M248" s="83">
        <f t="shared" si="27"/>
        <v>-2.2797325330191163E-2</v>
      </c>
      <c r="N248" s="83">
        <f t="shared" si="27"/>
        <v>-2.2609426324344286E-2</v>
      </c>
      <c r="O248" s="83">
        <f t="shared" si="27"/>
        <v>-9.3250277100869403E-3</v>
      </c>
      <c r="P248" s="83">
        <f t="shared" si="27"/>
        <v>-3.2332098585289197E-3</v>
      </c>
      <c r="Q248" s="83">
        <f t="shared" si="27"/>
        <v>-3.2055254279922283E-3</v>
      </c>
      <c r="R248" s="83">
        <f t="shared" si="27"/>
        <v>-3.1989616167785125E-3</v>
      </c>
      <c r="S248" s="83">
        <f t="shared" si="27"/>
        <v>-1.9457771148134486E-2</v>
      </c>
      <c r="T248" s="83">
        <f t="shared" si="27"/>
        <v>-1.8761275765740652E-2</v>
      </c>
      <c r="U248" s="83">
        <f t="shared" si="27"/>
        <v>-1.4962073242299891E-2</v>
      </c>
      <c r="V248" s="83">
        <f t="shared" si="27"/>
        <v>-7.5256033805200353E-3</v>
      </c>
      <c r="W248" s="83">
        <f t="shared" si="27"/>
        <v>-1.1284354499337491E-2</v>
      </c>
      <c r="X248" s="83">
        <f t="shared" si="27"/>
        <v>-7.3003913677111773E-3</v>
      </c>
      <c r="Y248" s="83">
        <f t="shared" si="27"/>
        <v>-8.157916367227248E-3</v>
      </c>
      <c r="Z248" s="83">
        <f t="shared" si="27"/>
        <v>0.98109392334644996</v>
      </c>
      <c r="AA248" s="83">
        <f t="shared" si="27"/>
        <v>-1.9525467733253667E-2</v>
      </c>
      <c r="AB248" s="83">
        <f t="shared" si="27"/>
        <v>-1.8789912942014195E-2</v>
      </c>
      <c r="AC248" s="83">
        <f t="shared" si="27"/>
        <v>-1.8803877123385822E-2</v>
      </c>
      <c r="AD248" s="83">
        <f t="shared" si="27"/>
        <v>-1.039760109586986E-2</v>
      </c>
      <c r="AE248" s="83">
        <f t="shared" si="27"/>
        <v>-1.3577604741642942E-4</v>
      </c>
      <c r="AF248" s="83">
        <f t="shared" si="27"/>
        <v>-4.8140960307533221E-3</v>
      </c>
      <c r="AG248" s="83">
        <f t="shared" si="27"/>
        <v>-4.9289383008579105E-3</v>
      </c>
      <c r="AH248" s="83">
        <f t="shared" si="27"/>
        <v>-6.4701455895914148E-3</v>
      </c>
      <c r="AI248" s="83">
        <f t="shared" si="27"/>
        <v>-3.4126874078428729E-3</v>
      </c>
      <c r="AJ248" s="83">
        <f t="shared" si="27"/>
        <v>-8.4520545401464819E-3</v>
      </c>
      <c r="AK248" s="83">
        <f t="shared" si="27"/>
        <v>-9.9942524478127872E-3</v>
      </c>
    </row>
    <row r="249" spans="2:37">
      <c r="B249" s="81" t="s">
        <v>127</v>
      </c>
      <c r="C249" s="81" t="s">
        <v>128</v>
      </c>
      <c r="D249" s="83">
        <f t="shared" si="27"/>
        <v>-6.7091272809160569E-5</v>
      </c>
      <c r="E249" s="83">
        <f t="shared" si="27"/>
        <v>-1.8526488063264144E-4</v>
      </c>
      <c r="F249" s="83">
        <f t="shared" si="27"/>
        <v>-1.1949541533044909E-4</v>
      </c>
      <c r="G249" s="83">
        <f t="shared" si="27"/>
        <v>-2.4335802011190956E-4</v>
      </c>
      <c r="H249" s="83">
        <f t="shared" si="27"/>
        <v>-2.4242231271750497E-4</v>
      </c>
      <c r="I249" s="83">
        <f t="shared" si="27"/>
        <v>-8.9223571436184703E-5</v>
      </c>
      <c r="J249" s="83">
        <f t="shared" si="27"/>
        <v>-1.2737058043333906E-4</v>
      </c>
      <c r="K249" s="83">
        <f t="shared" si="27"/>
        <v>-1.4742063493849639E-4</v>
      </c>
      <c r="L249" s="83">
        <f t="shared" si="27"/>
        <v>-1.4732488397977068E-4</v>
      </c>
      <c r="M249" s="83">
        <f t="shared" si="27"/>
        <v>-1.982020437725316E-4</v>
      </c>
      <c r="N249" s="83">
        <f t="shared" si="27"/>
        <v>-1.9656843252900788E-4</v>
      </c>
      <c r="O249" s="83">
        <f t="shared" si="27"/>
        <v>-8.1072648813194155E-5</v>
      </c>
      <c r="P249" s="83">
        <f t="shared" si="27"/>
        <v>-2.8109823965062187E-5</v>
      </c>
      <c r="Q249" s="83">
        <f t="shared" si="27"/>
        <v>-2.7869132979011388E-5</v>
      </c>
      <c r="R249" s="83">
        <f t="shared" si="27"/>
        <v>-2.7812066600449101E-5</v>
      </c>
      <c r="S249" s="83">
        <f t="shared" si="27"/>
        <v>-1.6916765247505141E-4</v>
      </c>
      <c r="T249" s="83">
        <f t="shared" si="27"/>
        <v>-1.631122575430076E-4</v>
      </c>
      <c r="U249" s="83">
        <f t="shared" si="27"/>
        <v>-1.300816412779278E-4</v>
      </c>
      <c r="V249" s="83">
        <f t="shared" si="27"/>
        <v>-6.5428288145065247E-5</v>
      </c>
      <c r="W249" s="83">
        <f t="shared" si="27"/>
        <v>-1.1927732574527925E-4</v>
      </c>
      <c r="X249" s="83">
        <f t="shared" si="27"/>
        <v>-6.3470274186221118E-5</v>
      </c>
      <c r="Y249" s="83">
        <f t="shared" si="27"/>
        <v>-7.0925675424234584E-5</v>
      </c>
      <c r="Z249" s="83">
        <f t="shared" si="27"/>
        <v>-1.6437116978329058E-4</v>
      </c>
      <c r="AA249" s="83">
        <f t="shared" si="27"/>
        <v>0.99983024378718588</v>
      </c>
      <c r="AB249" s="83">
        <f t="shared" si="27"/>
        <v>-1.6336123178814727E-4</v>
      </c>
      <c r="AC249" s="83">
        <f t="shared" si="27"/>
        <v>-1.6348263766569532E-4</v>
      </c>
      <c r="AD249" s="83">
        <f t="shared" si="27"/>
        <v>-9.0397700505844746E-5</v>
      </c>
      <c r="AE249" s="83">
        <f t="shared" si="27"/>
        <v>-1.1804494476224028E-6</v>
      </c>
      <c r="AF249" s="83">
        <f t="shared" si="27"/>
        <v>-4.1854193787764979E-5</v>
      </c>
      <c r="AG249" s="83">
        <f t="shared" si="27"/>
        <v>-4.285264304953253E-5</v>
      </c>
      <c r="AH249" s="83">
        <f t="shared" si="27"/>
        <v>-5.6252041008711437E-5</v>
      </c>
      <c r="AI249" s="83">
        <f t="shared" si="27"/>
        <v>-2.9670218290715821E-5</v>
      </c>
      <c r="AJ249" s="83">
        <f t="shared" si="27"/>
        <v>-7.3482939760280023E-5</v>
      </c>
      <c r="AK249" s="83">
        <f t="shared" si="27"/>
        <v>-8.6890950251597708E-5</v>
      </c>
    </row>
    <row r="250" spans="2:37">
      <c r="B250" s="81" t="s">
        <v>129</v>
      </c>
      <c r="C250" s="81" t="s">
        <v>130</v>
      </c>
      <c r="D250" s="83">
        <f t="shared" si="27"/>
        <v>-3.9957330322869212E-4</v>
      </c>
      <c r="E250" s="83">
        <f t="shared" si="27"/>
        <v>-1.1033760014841527E-3</v>
      </c>
      <c r="F250" s="83">
        <f t="shared" si="27"/>
        <v>-7.1167494407339685E-4</v>
      </c>
      <c r="G250" s="83">
        <f t="shared" si="27"/>
        <v>-1.4493594157902797E-3</v>
      </c>
      <c r="H250" s="83">
        <f t="shared" si="27"/>
        <v>-1.4437866538082275E-3</v>
      </c>
      <c r="I250" s="83">
        <f t="shared" si="27"/>
        <v>-5.3138591163752566E-4</v>
      </c>
      <c r="J250" s="83">
        <f t="shared" si="27"/>
        <v>-7.5857680778648761E-4</v>
      </c>
      <c r="K250" s="83">
        <f t="shared" si="27"/>
        <v>-8.7798826285501598E-4</v>
      </c>
      <c r="L250" s="83">
        <f t="shared" si="27"/>
        <v>-8.7741800199598718E-4</v>
      </c>
      <c r="M250" s="83">
        <f t="shared" si="27"/>
        <v>-1.1804254416537946E-3</v>
      </c>
      <c r="N250" s="83">
        <f t="shared" si="27"/>
        <v>-1.1706961965011055E-3</v>
      </c>
      <c r="O250" s="83">
        <f t="shared" si="27"/>
        <v>-4.828417278642646E-4</v>
      </c>
      <c r="P250" s="83">
        <f t="shared" si="27"/>
        <v>-1.6741276092415116E-4</v>
      </c>
      <c r="Q250" s="83">
        <f t="shared" si="27"/>
        <v>-1.6597928547605251E-4</v>
      </c>
      <c r="R250" s="83">
        <f t="shared" si="27"/>
        <v>-1.6563941710821952E-4</v>
      </c>
      <c r="S250" s="83">
        <f t="shared" si="27"/>
        <v>-1.0075062652510998E-3</v>
      </c>
      <c r="T250" s="83">
        <f t="shared" si="27"/>
        <v>-9.7144234733686629E-4</v>
      </c>
      <c r="U250" s="83">
        <f t="shared" ref="U250:AK250" si="28">U211-U172</f>
        <v>-7.7472298435415454E-4</v>
      </c>
      <c r="V250" s="83">
        <f t="shared" si="28"/>
        <v>-3.8966911975402157E-4</v>
      </c>
      <c r="W250" s="83">
        <f t="shared" si="28"/>
        <v>-7.103760750506883E-4</v>
      </c>
      <c r="X250" s="83">
        <f t="shared" si="28"/>
        <v>-3.7800783994004674E-4</v>
      </c>
      <c r="Y250" s="83">
        <f t="shared" si="28"/>
        <v>-4.2240972970657403E-4</v>
      </c>
      <c r="Z250" s="83">
        <f t="shared" si="28"/>
        <v>-9.7894000986826547E-4</v>
      </c>
      <c r="AA250" s="83">
        <f t="shared" si="28"/>
        <v>-1.0110115348487517E-3</v>
      </c>
      <c r="AB250" s="83">
        <f t="shared" si="28"/>
        <v>0.99902707484487929</v>
      </c>
      <c r="AC250" s="83">
        <f t="shared" si="28"/>
        <v>-9.7364820814224815E-4</v>
      </c>
      <c r="AD250" s="83">
        <f t="shared" si="28"/>
        <v>-5.3837863380744549E-4</v>
      </c>
      <c r="AE250" s="83">
        <f t="shared" si="28"/>
        <v>-7.0303642386192536E-6</v>
      </c>
      <c r="AF250" s="83">
        <f t="shared" si="28"/>
        <v>-2.4926965558279989E-4</v>
      </c>
      <c r="AG250" s="83">
        <f t="shared" si="28"/>
        <v>-2.5521608725604468E-4</v>
      </c>
      <c r="AH250" s="83">
        <f t="shared" si="28"/>
        <v>-3.3501844424895086E-4</v>
      </c>
      <c r="AI250" s="83">
        <f t="shared" si="28"/>
        <v>-1.7670595046929966E-4</v>
      </c>
      <c r="AJ250" s="83">
        <f t="shared" si="28"/>
        <v>-4.3763994542910623E-4</v>
      </c>
      <c r="AK250" s="83">
        <f t="shared" si="28"/>
        <v>-5.1749359579850282E-4</v>
      </c>
    </row>
    <row r="251" spans="2:37">
      <c r="B251" s="81" t="s">
        <v>131</v>
      </c>
      <c r="C251" s="81" t="s">
        <v>132</v>
      </c>
      <c r="D251" s="83">
        <f t="shared" ref="D251:AK258" si="29">D212-D173</f>
        <v>-2.3491017441887702E-3</v>
      </c>
      <c r="E251" s="83">
        <f t="shared" si="29"/>
        <v>-6.4867759398303864E-3</v>
      </c>
      <c r="F251" s="83">
        <f t="shared" si="29"/>
        <v>-4.1839553316238894E-3</v>
      </c>
      <c r="G251" s="83">
        <f t="shared" si="29"/>
        <v>-8.520821346366789E-3</v>
      </c>
      <c r="H251" s="83">
        <f t="shared" si="29"/>
        <v>-8.4880589350990639E-3</v>
      </c>
      <c r="I251" s="83">
        <f t="shared" si="29"/>
        <v>-3.124031465011552E-3</v>
      </c>
      <c r="J251" s="83">
        <f t="shared" si="29"/>
        <v>-4.4596925967611009E-3</v>
      </c>
      <c r="K251" s="83">
        <f t="shared" si="29"/>
        <v>-5.1617156175960402E-3</v>
      </c>
      <c r="L251" s="83">
        <f t="shared" si="29"/>
        <v>-5.1583630393137033E-3</v>
      </c>
      <c r="M251" s="83">
        <f t="shared" si="29"/>
        <v>-6.9397515836703708E-3</v>
      </c>
      <c r="N251" s="83">
        <f t="shared" si="29"/>
        <v>-6.882553100755839E-3</v>
      </c>
      <c r="O251" s="83">
        <f t="shared" si="29"/>
        <v>-2.8386389579282741E-3</v>
      </c>
      <c r="P251" s="83">
        <f t="shared" si="29"/>
        <v>-9.8422393465384889E-4</v>
      </c>
      <c r="Q251" s="83">
        <f t="shared" si="29"/>
        <v>-9.7579649556276901E-4</v>
      </c>
      <c r="R251" s="83">
        <f t="shared" si="29"/>
        <v>-9.7379840067199255E-4</v>
      </c>
      <c r="S251" s="83">
        <f t="shared" si="29"/>
        <v>-5.9231552905522145E-3</v>
      </c>
      <c r="T251" s="83">
        <f t="shared" si="29"/>
        <v>-5.7111345879926334E-3</v>
      </c>
      <c r="U251" s="83">
        <f t="shared" si="29"/>
        <v>-4.5546163847885015E-3</v>
      </c>
      <c r="V251" s="83">
        <f t="shared" si="29"/>
        <v>-2.2908747943722403E-3</v>
      </c>
      <c r="W251" s="83">
        <f t="shared" si="29"/>
        <v>-4.176319247175579E-3</v>
      </c>
      <c r="X251" s="83">
        <f t="shared" si="29"/>
        <v>-2.2223178299075625E-3</v>
      </c>
      <c r="Y251" s="83">
        <f t="shared" si="29"/>
        <v>-2.4833576838042526E-3</v>
      </c>
      <c r="Z251" s="83">
        <f t="shared" si="29"/>
        <v>-5.7552135391826407E-3</v>
      </c>
      <c r="AA251" s="83">
        <f t="shared" si="29"/>
        <v>-5.9437628608256868E-3</v>
      </c>
      <c r="AB251" s="83">
        <f t="shared" si="29"/>
        <v>-5.719852053156553E-3</v>
      </c>
      <c r="AC251" s="83">
        <f t="shared" si="29"/>
        <v>0.99427589709950137</v>
      </c>
      <c r="AD251" s="83">
        <f t="shared" si="29"/>
        <v>-3.1651418588072799E-3</v>
      </c>
      <c r="AE251" s="83">
        <f t="shared" si="29"/>
        <v>-4.1331692487399449E-5</v>
      </c>
      <c r="AF251" s="83">
        <f t="shared" si="29"/>
        <v>-1.4654627272927302E-3</v>
      </c>
      <c r="AG251" s="83">
        <f t="shared" si="29"/>
        <v>-1.5004219523021241E-3</v>
      </c>
      <c r="AH251" s="83">
        <f t="shared" si="29"/>
        <v>-1.9695820650715008E-3</v>
      </c>
      <c r="AI251" s="83">
        <f t="shared" si="29"/>
        <v>-1.0388588354172045E-3</v>
      </c>
      <c r="AJ251" s="83">
        <f t="shared" si="29"/>
        <v>-2.5728965144244925E-3</v>
      </c>
      <c r="AK251" s="83">
        <f t="shared" si="29"/>
        <v>-3.042358182275785E-3</v>
      </c>
    </row>
    <row r="252" spans="2:37">
      <c r="B252" s="81" t="s">
        <v>133</v>
      </c>
      <c r="C252" s="81" t="s">
        <v>134</v>
      </c>
      <c r="D252" s="83">
        <f t="shared" si="29"/>
        <v>-3.6847626982182266E-3</v>
      </c>
      <c r="E252" s="83">
        <f t="shared" si="29"/>
        <v>-1.1975121358227451E-2</v>
      </c>
      <c r="F252" s="83">
        <f t="shared" si="29"/>
        <v>-1.5604794382208248E-2</v>
      </c>
      <c r="G252" s="83">
        <f t="shared" si="29"/>
        <v>-2.5766867388406764E-2</v>
      </c>
      <c r="H252" s="83">
        <f t="shared" si="29"/>
        <v>-2.5667794227247371E-2</v>
      </c>
      <c r="I252" s="83">
        <f t="shared" si="29"/>
        <v>-4.9600436211892258E-3</v>
      </c>
      <c r="J252" s="83">
        <f t="shared" si="29"/>
        <v>-9.6770104913533241E-3</v>
      </c>
      <c r="K252" s="83">
        <f t="shared" si="29"/>
        <v>-2.0876822922645803E-2</v>
      </c>
      <c r="L252" s="83">
        <f t="shared" si="29"/>
        <v>-2.0863263248243214E-2</v>
      </c>
      <c r="M252" s="83">
        <f t="shared" si="29"/>
        <v>-5.059022467564523E-2</v>
      </c>
      <c r="N252" s="83">
        <f t="shared" si="29"/>
        <v>-4.0660253987378776E-2</v>
      </c>
      <c r="O252" s="83">
        <f t="shared" si="29"/>
        <v>-4.2746848695024752E-3</v>
      </c>
      <c r="P252" s="83">
        <f t="shared" si="29"/>
        <v>-3.820873627024502E-3</v>
      </c>
      <c r="Q252" s="83">
        <f t="shared" si="29"/>
        <v>-3.7881573125428804E-3</v>
      </c>
      <c r="R252" s="83">
        <f t="shared" si="29"/>
        <v>-3.7804004720479018E-3</v>
      </c>
      <c r="S252" s="83">
        <f t="shared" si="29"/>
        <v>-1.0720848378623759E-2</v>
      </c>
      <c r="T252" s="83">
        <f t="shared" si="29"/>
        <v>-9.8784178117116619E-3</v>
      </c>
      <c r="U252" s="83">
        <f t="shared" si="29"/>
        <v>-1.6952128423847152E-2</v>
      </c>
      <c r="V252" s="83">
        <f t="shared" si="29"/>
        <v>-3.9827269669996685E-3</v>
      </c>
      <c r="W252" s="83">
        <f t="shared" si="29"/>
        <v>-1.3550654182434417E-2</v>
      </c>
      <c r="X252" s="83">
        <f t="shared" si="29"/>
        <v>-6.9133502876014942E-3</v>
      </c>
      <c r="Y252" s="83">
        <f t="shared" si="29"/>
        <v>-9.1824556282843646E-3</v>
      </c>
      <c r="Z252" s="83">
        <f t="shared" si="29"/>
        <v>-1.3094769342210081E-2</v>
      </c>
      <c r="AA252" s="83">
        <f t="shared" si="29"/>
        <v>-1.352377338519427E-2</v>
      </c>
      <c r="AB252" s="83">
        <f t="shared" si="29"/>
        <v>-1.3014311771008452E-2</v>
      </c>
      <c r="AC252" s="83">
        <f t="shared" si="29"/>
        <v>-1.3023983673723358E-2</v>
      </c>
      <c r="AD252" s="83">
        <f t="shared" si="29"/>
        <v>0.96275494999060041</v>
      </c>
      <c r="AE252" s="83">
        <f t="shared" si="29"/>
        <v>-3.2879706762553015E-4</v>
      </c>
      <c r="AF252" s="83">
        <f t="shared" si="29"/>
        <v>-2.9414063926136456E-2</v>
      </c>
      <c r="AG252" s="83">
        <f t="shared" si="29"/>
        <v>-3.0115748697836016E-2</v>
      </c>
      <c r="AH252" s="83">
        <f t="shared" si="29"/>
        <v>-2.8306586033692401E-2</v>
      </c>
      <c r="AI252" s="83">
        <f t="shared" si="29"/>
        <v>-2.6019081981154234E-3</v>
      </c>
      <c r="AJ252" s="83">
        <f t="shared" si="29"/>
        <v>-6.15863464357202E-3</v>
      </c>
      <c r="AK252" s="83">
        <f t="shared" si="29"/>
        <v>-3.582415534793397E-2</v>
      </c>
    </row>
    <row r="253" spans="2:37">
      <c r="B253" s="81" t="s">
        <v>135</v>
      </c>
      <c r="C253" s="81" t="s">
        <v>136</v>
      </c>
      <c r="D253" s="83">
        <f t="shared" si="29"/>
        <v>-8.7141476836268412E-5</v>
      </c>
      <c r="E253" s="83">
        <f t="shared" si="29"/>
        <v>-2.6982388962783856E-3</v>
      </c>
      <c r="F253" s="83">
        <f t="shared" si="29"/>
        <v>-1.7976712134810068E-2</v>
      </c>
      <c r="G253" s="83">
        <f t="shared" si="29"/>
        <v>-1.4927821717334929E-3</v>
      </c>
      <c r="H253" s="83">
        <f t="shared" si="29"/>
        <v>-1.4870424500029913E-3</v>
      </c>
      <c r="I253" s="83">
        <f t="shared" si="29"/>
        <v>-2.3339007357221107E-3</v>
      </c>
      <c r="J253" s="83">
        <f t="shared" si="29"/>
        <v>-1.2113363587644622E-2</v>
      </c>
      <c r="K253" s="83">
        <f t="shared" si="29"/>
        <v>-3.2173752122562605E-3</v>
      </c>
      <c r="L253" s="83">
        <f t="shared" si="29"/>
        <v>-3.2152854996370934E-3</v>
      </c>
      <c r="M253" s="83">
        <f t="shared" si="29"/>
        <v>-3.376360551493476E-3</v>
      </c>
      <c r="N253" s="83">
        <f t="shared" si="29"/>
        <v>-3.3485320768010599E-3</v>
      </c>
      <c r="O253" s="83">
        <f t="shared" si="29"/>
        <v>-1.0090968399617607E-4</v>
      </c>
      <c r="P253" s="83">
        <f t="shared" si="29"/>
        <v>-5.9228954443990489E-3</v>
      </c>
      <c r="Q253" s="83">
        <f t="shared" si="29"/>
        <v>-5.8721805218666448E-3</v>
      </c>
      <c r="R253" s="83">
        <f t="shared" si="29"/>
        <v>-5.8601563201485614E-3</v>
      </c>
      <c r="S253" s="83">
        <f t="shared" si="29"/>
        <v>-9.5939971542601775E-3</v>
      </c>
      <c r="T253" s="83">
        <f t="shared" si="29"/>
        <v>-9.1623971259828657E-3</v>
      </c>
      <c r="U253" s="83">
        <f t="shared" si="29"/>
        <v>-4.7211292251616034E-5</v>
      </c>
      <c r="V253" s="83">
        <f t="shared" si="29"/>
        <v>-1.4619358520488771E-2</v>
      </c>
      <c r="W253" s="83">
        <f t="shared" si="29"/>
        <v>-1.0763647234823816E-2</v>
      </c>
      <c r="X253" s="83">
        <f t="shared" si="29"/>
        <v>-2.470030132012105E-3</v>
      </c>
      <c r="Y253" s="83">
        <f t="shared" si="29"/>
        <v>-1.536582682390436E-2</v>
      </c>
      <c r="Z253" s="83">
        <f t="shared" si="29"/>
        <v>-1.6675705128523493E-2</v>
      </c>
      <c r="AA253" s="83">
        <f t="shared" si="29"/>
        <v>-1.7222025932868399E-2</v>
      </c>
      <c r="AB253" s="83">
        <f t="shared" si="29"/>
        <v>-1.657324538313559E-2</v>
      </c>
      <c r="AC253" s="83">
        <f t="shared" si="29"/>
        <v>-1.6585562194030894E-2</v>
      </c>
      <c r="AD253" s="83">
        <f t="shared" si="29"/>
        <v>-1.1211048842203508E-2</v>
      </c>
      <c r="AE253" s="83">
        <f t="shared" si="29"/>
        <v>0.179554777564226</v>
      </c>
      <c r="AF253" s="83">
        <f t="shared" si="29"/>
        <v>-9.6692105071722045E-3</v>
      </c>
      <c r="AG253" s="83">
        <f t="shared" si="29"/>
        <v>-9.8998735595228551E-3</v>
      </c>
      <c r="AH253" s="83">
        <f t="shared" si="29"/>
        <v>-6.4533392517077707E-3</v>
      </c>
      <c r="AI253" s="83">
        <f t="shared" si="29"/>
        <v>-5.0377752237353362E-3</v>
      </c>
      <c r="AJ253" s="83">
        <f t="shared" si="29"/>
        <v>0</v>
      </c>
      <c r="AK253" s="83">
        <f t="shared" si="29"/>
        <v>-3.0656818425255621E-2</v>
      </c>
    </row>
    <row r="254" spans="2:37">
      <c r="B254" s="81" t="s">
        <v>137</v>
      </c>
      <c r="C254" s="81" t="s">
        <v>138</v>
      </c>
      <c r="D254" s="83">
        <f t="shared" si="29"/>
        <v>-3.5327480869639451E-4</v>
      </c>
      <c r="E254" s="83">
        <f t="shared" si="29"/>
        <v>-6.6937488564741923E-2</v>
      </c>
      <c r="F254" s="83">
        <f t="shared" si="29"/>
        <v>-1.0576998050700281E-2</v>
      </c>
      <c r="G254" s="83">
        <f t="shared" si="29"/>
        <v>-1.8626592841687183E-2</v>
      </c>
      <c r="H254" s="83">
        <f t="shared" si="29"/>
        <v>-1.855497391313695E-2</v>
      </c>
      <c r="I254" s="83">
        <f t="shared" si="29"/>
        <v>-2.9211759298919883E-3</v>
      </c>
      <c r="J254" s="83">
        <f t="shared" si="29"/>
        <v>-4.6706730235239705E-2</v>
      </c>
      <c r="K254" s="83">
        <f t="shared" si="29"/>
        <v>-7.0035897616246325E-3</v>
      </c>
      <c r="L254" s="83">
        <f t="shared" si="29"/>
        <v>-6.9990408703891286E-3</v>
      </c>
      <c r="M254" s="83">
        <f t="shared" si="29"/>
        <v>-2.5179089097491579E-2</v>
      </c>
      <c r="N254" s="83">
        <f t="shared" si="29"/>
        <v>-2.4971559234184221E-2</v>
      </c>
      <c r="O254" s="83">
        <f t="shared" si="29"/>
        <v>-1.7820989327626722E-3</v>
      </c>
      <c r="P254" s="83">
        <f t="shared" si="29"/>
        <v>-6.2664943742536897E-3</v>
      </c>
      <c r="Q254" s="83">
        <f t="shared" si="29"/>
        <v>-6.2128373783260828E-3</v>
      </c>
      <c r="R254" s="83">
        <f t="shared" si="29"/>
        <v>-6.2001156287816821E-3</v>
      </c>
      <c r="S254" s="83">
        <f t="shared" si="29"/>
        <v>-5.0843967854064176E-3</v>
      </c>
      <c r="T254" s="83">
        <f t="shared" si="29"/>
        <v>-1.8408009473496148E-3</v>
      </c>
      <c r="U254" s="83">
        <f t="shared" si="29"/>
        <v>-2.5275645227947389E-3</v>
      </c>
      <c r="V254" s="83">
        <f t="shared" si="29"/>
        <v>-2.6564292346435334E-3</v>
      </c>
      <c r="W254" s="83">
        <f t="shared" si="29"/>
        <v>-1.7057416937128117E-2</v>
      </c>
      <c r="X254" s="83">
        <f t="shared" si="29"/>
        <v>-5.1969782423943378E-3</v>
      </c>
      <c r="Y254" s="83">
        <f t="shared" si="29"/>
        <v>-2.2819378976319679E-2</v>
      </c>
      <c r="Z254" s="83">
        <f t="shared" si="29"/>
        <v>-2.0228187853133073E-2</v>
      </c>
      <c r="AA254" s="83">
        <f t="shared" si="29"/>
        <v>-2.0890893254385267E-2</v>
      </c>
      <c r="AB254" s="83">
        <f t="shared" si="29"/>
        <v>-2.0103900756358525E-2</v>
      </c>
      <c r="AC254" s="83">
        <f t="shared" si="29"/>
        <v>-2.0118841459772299E-2</v>
      </c>
      <c r="AD254" s="83">
        <f t="shared" si="29"/>
        <v>-8.3494607691066442E-3</v>
      </c>
      <c r="AE254" s="83">
        <f t="shared" si="29"/>
        <v>0</v>
      </c>
      <c r="AF254" s="83">
        <f t="shared" si="29"/>
        <v>0.96775585732006808</v>
      </c>
      <c r="AG254" s="83">
        <f t="shared" si="29"/>
        <v>-3.3013340161511869E-2</v>
      </c>
      <c r="AH254" s="83">
        <f t="shared" si="29"/>
        <v>-9.9171381988220507E-4</v>
      </c>
      <c r="AI254" s="83">
        <f t="shared" si="29"/>
        <v>-7.1441737971614447E-3</v>
      </c>
      <c r="AJ254" s="83">
        <f t="shared" si="29"/>
        <v>-1.6766442268730926E-2</v>
      </c>
      <c r="AK254" s="83">
        <f t="shared" si="29"/>
        <v>-3.3980345033571717E-2</v>
      </c>
    </row>
    <row r="255" spans="2:37">
      <c r="B255" s="81" t="s">
        <v>139</v>
      </c>
      <c r="C255" s="81" t="s">
        <v>140</v>
      </c>
      <c r="D255" s="83">
        <f t="shared" si="29"/>
        <v>-2.6523001217544293E-4</v>
      </c>
      <c r="E255" s="83">
        <f t="shared" si="29"/>
        <v>-5.5755295491403012E-2</v>
      </c>
      <c r="F255" s="83">
        <f t="shared" si="29"/>
        <v>-7.9409492347295892E-3</v>
      </c>
      <c r="G255" s="83">
        <f t="shared" si="29"/>
        <v>-1.3984386445265794E-2</v>
      </c>
      <c r="H255" s="83">
        <f t="shared" si="29"/>
        <v>-1.3930616720327057E-2</v>
      </c>
      <c r="I255" s="83">
        <f t="shared" si="29"/>
        <v>-2.1931468318130715E-3</v>
      </c>
      <c r="J255" s="83">
        <f t="shared" si="29"/>
        <v>-3.5066260950449395E-2</v>
      </c>
      <c r="K255" s="83">
        <f t="shared" si="29"/>
        <v>-5.258122436190775E-3</v>
      </c>
      <c r="L255" s="83">
        <f t="shared" si="29"/>
        <v>-5.2547072408581806E-3</v>
      </c>
      <c r="M255" s="83">
        <f t="shared" si="29"/>
        <v>-1.8903839004364417E-2</v>
      </c>
      <c r="N255" s="83">
        <f t="shared" si="29"/>
        <v>-1.8748030702111305E-2</v>
      </c>
      <c r="O255" s="83">
        <f t="shared" si="29"/>
        <v>-1.3379559198649249E-3</v>
      </c>
      <c r="P255" s="83">
        <f t="shared" si="29"/>
        <v>-4.7047294012097143E-3</v>
      </c>
      <c r="Q255" s="83">
        <f t="shared" si="29"/>
        <v>-4.6644450522189034E-3</v>
      </c>
      <c r="R255" s="83">
        <f t="shared" si="29"/>
        <v>-4.6548938764670901E-3</v>
      </c>
      <c r="S255" s="83">
        <f t="shared" si="29"/>
        <v>-3.8172396901842635E-3</v>
      </c>
      <c r="T255" s="83">
        <f t="shared" si="29"/>
        <v>-1.382027944420176E-3</v>
      </c>
      <c r="U255" s="83">
        <f t="shared" si="29"/>
        <v>-1.8976330965370406E-3</v>
      </c>
      <c r="V255" s="83">
        <f t="shared" si="29"/>
        <v>-1.9943815435003523E-3</v>
      </c>
      <c r="W255" s="83">
        <f t="shared" si="29"/>
        <v>-1.2806287882825408E-2</v>
      </c>
      <c r="X255" s="83">
        <f t="shared" si="29"/>
        <v>-3.9017630710554523E-3</v>
      </c>
      <c r="Y255" s="83">
        <f t="shared" si="29"/>
        <v>-1.7132226852118397E-2</v>
      </c>
      <c r="Z255" s="83">
        <f t="shared" si="29"/>
        <v>-1.5186824473477904E-2</v>
      </c>
      <c r="AA255" s="83">
        <f t="shared" si="29"/>
        <v>-1.5684367341851392E-2</v>
      </c>
      <c r="AB255" s="83">
        <f t="shared" si="29"/>
        <v>-1.5093512786996853E-2</v>
      </c>
      <c r="AC255" s="83">
        <f t="shared" si="29"/>
        <v>-1.5104729898579141E-2</v>
      </c>
      <c r="AD255" s="83">
        <f t="shared" si="29"/>
        <v>-6.2685691901449014E-3</v>
      </c>
      <c r="AE255" s="83">
        <f t="shared" si="29"/>
        <v>0</v>
      </c>
      <c r="AF255" s="83">
        <f t="shared" si="29"/>
        <v>-2.778548024227363E-2</v>
      </c>
      <c r="AG255" s="83">
        <f t="shared" si="29"/>
        <v>0.97155168552953819</v>
      </c>
      <c r="AH255" s="83">
        <f t="shared" si="29"/>
        <v>-7.445542734635383E-4</v>
      </c>
      <c r="AI255" s="83">
        <f t="shared" si="29"/>
        <v>-5.3636694622996904E-3</v>
      </c>
      <c r="AJ255" s="83">
        <f t="shared" si="29"/>
        <v>-1.258783127923551E-2</v>
      </c>
      <c r="AK255" s="83">
        <f t="shared" si="29"/>
        <v>-2.5511604861487642E-2</v>
      </c>
    </row>
    <row r="256" spans="2:37">
      <c r="B256" s="81" t="s">
        <v>141</v>
      </c>
      <c r="C256" s="81" t="s">
        <v>142</v>
      </c>
      <c r="D256" s="83">
        <f t="shared" si="29"/>
        <v>0</v>
      </c>
      <c r="E256" s="83">
        <f t="shared" si="29"/>
        <v>0</v>
      </c>
      <c r="F256" s="83">
        <f t="shared" si="29"/>
        <v>0</v>
      </c>
      <c r="G256" s="83">
        <f t="shared" si="29"/>
        <v>0</v>
      </c>
      <c r="H256" s="83">
        <f t="shared" si="29"/>
        <v>0</v>
      </c>
      <c r="I256" s="83">
        <f t="shared" si="29"/>
        <v>0</v>
      </c>
      <c r="J256" s="83">
        <f t="shared" si="29"/>
        <v>0</v>
      </c>
      <c r="K256" s="83">
        <f t="shared" si="29"/>
        <v>0</v>
      </c>
      <c r="L256" s="83">
        <f t="shared" si="29"/>
        <v>0</v>
      </c>
      <c r="M256" s="83">
        <f t="shared" si="29"/>
        <v>-5.6557811455286598E-3</v>
      </c>
      <c r="N256" s="83">
        <f t="shared" si="29"/>
        <v>-5.6091653412998843E-3</v>
      </c>
      <c r="O256" s="83">
        <f t="shared" si="29"/>
        <v>0</v>
      </c>
      <c r="P256" s="83">
        <f t="shared" si="29"/>
        <v>0</v>
      </c>
      <c r="Q256" s="83">
        <f t="shared" si="29"/>
        <v>0</v>
      </c>
      <c r="R256" s="83">
        <f t="shared" si="29"/>
        <v>0</v>
      </c>
      <c r="S256" s="83">
        <f t="shared" si="29"/>
        <v>0</v>
      </c>
      <c r="T256" s="83">
        <f t="shared" si="29"/>
        <v>0</v>
      </c>
      <c r="U256" s="83">
        <f t="shared" si="29"/>
        <v>0</v>
      </c>
      <c r="V256" s="83">
        <f t="shared" si="29"/>
        <v>0</v>
      </c>
      <c r="W256" s="83">
        <f t="shared" si="29"/>
        <v>0</v>
      </c>
      <c r="X256" s="83">
        <f t="shared" si="29"/>
        <v>0</v>
      </c>
      <c r="Y256" s="83">
        <f t="shared" si="29"/>
        <v>-4.2820852920065017E-4</v>
      </c>
      <c r="Z256" s="83">
        <f t="shared" si="29"/>
        <v>-3.4142665101174584E-6</v>
      </c>
      <c r="AA256" s="83">
        <f t="shared" si="29"/>
        <v>-3.526122939076783E-6</v>
      </c>
      <c r="AB256" s="83">
        <f t="shared" si="29"/>
        <v>-3.3932883940727807E-6</v>
      </c>
      <c r="AC256" s="83">
        <f t="shared" si="29"/>
        <v>-3.3958101989756063E-6</v>
      </c>
      <c r="AD256" s="83">
        <f t="shared" si="29"/>
        <v>-6.3902626906750808E-5</v>
      </c>
      <c r="AE256" s="83">
        <f t="shared" si="29"/>
        <v>0</v>
      </c>
      <c r="AF256" s="83">
        <f t="shared" si="29"/>
        <v>-3.2048127956258478E-3</v>
      </c>
      <c r="AG256" s="83">
        <f t="shared" si="29"/>
        <v>-3.281264942479308E-3</v>
      </c>
      <c r="AH256" s="83">
        <f t="shared" si="29"/>
        <v>0.99821038667390127</v>
      </c>
      <c r="AI256" s="83">
        <f t="shared" si="29"/>
        <v>0</v>
      </c>
      <c r="AJ256" s="83">
        <f t="shared" si="29"/>
        <v>0</v>
      </c>
      <c r="AK256" s="83">
        <f t="shared" si="29"/>
        <v>-4.8345385268578104E-4</v>
      </c>
    </row>
    <row r="257" spans="2:37">
      <c r="B257" s="81" t="s">
        <v>143</v>
      </c>
      <c r="C257" s="81" t="s">
        <v>144</v>
      </c>
      <c r="D257" s="83">
        <f t="shared" si="29"/>
        <v>0</v>
      </c>
      <c r="E257" s="83">
        <f t="shared" si="29"/>
        <v>0</v>
      </c>
      <c r="F257" s="83">
        <f t="shared" si="29"/>
        <v>-1.9660628479384818E-3</v>
      </c>
      <c r="G257" s="83">
        <f t="shared" si="29"/>
        <v>0</v>
      </c>
      <c r="H257" s="83">
        <f t="shared" si="29"/>
        <v>0</v>
      </c>
      <c r="I257" s="83">
        <f t="shared" si="29"/>
        <v>0</v>
      </c>
      <c r="J257" s="83">
        <f t="shared" si="29"/>
        <v>0</v>
      </c>
      <c r="K257" s="83">
        <f t="shared" si="29"/>
        <v>-9.9059430172859959E-4</v>
      </c>
      <c r="L257" s="83">
        <f t="shared" si="29"/>
        <v>-9.8995090228767217E-4</v>
      </c>
      <c r="M257" s="83">
        <f t="shared" si="29"/>
        <v>0</v>
      </c>
      <c r="N257" s="83">
        <f t="shared" si="29"/>
        <v>0</v>
      </c>
      <c r="O257" s="83">
        <f t="shared" si="29"/>
        <v>0</v>
      </c>
      <c r="P257" s="83">
        <f t="shared" si="29"/>
        <v>-7.9876031679725068E-3</v>
      </c>
      <c r="Q257" s="83">
        <f t="shared" si="29"/>
        <v>-7.9192091401382413E-3</v>
      </c>
      <c r="R257" s="83">
        <f t="shared" si="29"/>
        <v>-7.9029933293684636E-3</v>
      </c>
      <c r="S257" s="83">
        <f t="shared" si="29"/>
        <v>-3.490828481401045E-4</v>
      </c>
      <c r="T257" s="83">
        <f t="shared" si="29"/>
        <v>-2.4267706499053678E-3</v>
      </c>
      <c r="U257" s="83">
        <f t="shared" si="29"/>
        <v>-1.2470019153149216E-4</v>
      </c>
      <c r="V257" s="83">
        <f t="shared" si="29"/>
        <v>0</v>
      </c>
      <c r="W257" s="83">
        <f t="shared" si="29"/>
        <v>-2.5015443999035284E-4</v>
      </c>
      <c r="X257" s="83">
        <f t="shared" si="29"/>
        <v>-5.2851227482216695E-4</v>
      </c>
      <c r="Y257" s="83">
        <f t="shared" si="29"/>
        <v>-6.6229427205176112E-4</v>
      </c>
      <c r="Z257" s="83">
        <f t="shared" si="29"/>
        <v>-3.8073987977091969E-4</v>
      </c>
      <c r="AA257" s="83">
        <f t="shared" si="29"/>
        <v>-3.9321348228184706E-4</v>
      </c>
      <c r="AB257" s="83">
        <f t="shared" si="29"/>
        <v>-3.7840051775655815E-4</v>
      </c>
      <c r="AC257" s="83">
        <f t="shared" si="29"/>
        <v>-3.7868173531607372E-4</v>
      </c>
      <c r="AD257" s="83">
        <f t="shared" si="29"/>
        <v>-1.0201640980933922E-3</v>
      </c>
      <c r="AE257" s="83">
        <f t="shared" si="29"/>
        <v>-1.1361063890195941E-4</v>
      </c>
      <c r="AF257" s="83">
        <f t="shared" si="29"/>
        <v>-3.1318500656415437E-3</v>
      </c>
      <c r="AG257" s="83">
        <f t="shared" si="29"/>
        <v>-3.2065616561182944E-3</v>
      </c>
      <c r="AH257" s="83">
        <f t="shared" si="29"/>
        <v>-4.0496541652982644E-3</v>
      </c>
      <c r="AI257" s="83">
        <f t="shared" si="29"/>
        <v>0.98726530297495974</v>
      </c>
      <c r="AJ257" s="83">
        <f t="shared" si="29"/>
        <v>-2.1552044472969794E-3</v>
      </c>
      <c r="AK257" s="83">
        <f t="shared" si="29"/>
        <v>-3.8930823037157361E-3</v>
      </c>
    </row>
    <row r="258" spans="2:37">
      <c r="B258" s="81" t="s">
        <v>145</v>
      </c>
      <c r="C258" s="81" t="s">
        <v>146</v>
      </c>
      <c r="D258" s="83">
        <f t="shared" si="29"/>
        <v>-7.5786554267655679E-7</v>
      </c>
      <c r="E258" s="83">
        <f t="shared" si="29"/>
        <v>-4.0956819866904478E-4</v>
      </c>
      <c r="F258" s="83">
        <f t="shared" si="29"/>
        <v>-3.1268532947143602E-4</v>
      </c>
      <c r="G258" s="83">
        <f t="shared" si="29"/>
        <v>-4.9853414621017181E-4</v>
      </c>
      <c r="H258" s="83">
        <f t="shared" si="29"/>
        <v>-4.9661729100746301E-4</v>
      </c>
      <c r="I258" s="83">
        <f t="shared" si="29"/>
        <v>0</v>
      </c>
      <c r="J258" s="83">
        <f t="shared" si="29"/>
        <v>-4.1805732387073779E-4</v>
      </c>
      <c r="K258" s="83">
        <f t="shared" si="29"/>
        <v>-9.9249578419714855E-4</v>
      </c>
      <c r="L258" s="83">
        <f t="shared" si="29"/>
        <v>-9.9185114972715946E-4</v>
      </c>
      <c r="M258" s="83">
        <f t="shared" si="29"/>
        <v>-3.7056613193747165E-4</v>
      </c>
      <c r="N258" s="83">
        <f t="shared" si="29"/>
        <v>-3.6751186979123052E-4</v>
      </c>
      <c r="O258" s="83">
        <f t="shared" si="29"/>
        <v>0</v>
      </c>
      <c r="P258" s="83">
        <f t="shared" si="29"/>
        <v>-6.3398348145545565E-4</v>
      </c>
      <c r="Q258" s="83">
        <f t="shared" si="29"/>
        <v>-6.2855498394935442E-4</v>
      </c>
      <c r="R258" s="83">
        <f t="shared" si="29"/>
        <v>-6.2726791998907617E-4</v>
      </c>
      <c r="S258" s="83">
        <f t="shared" si="29"/>
        <v>0</v>
      </c>
      <c r="T258" s="83">
        <f t="shared" si="29"/>
        <v>-4.5461429316272516E-4</v>
      </c>
      <c r="U258" s="83">
        <f t="shared" ref="U258:AK258" si="30">U219-U180</f>
        <v>-2.525612427243835E-4</v>
      </c>
      <c r="V258" s="83">
        <f t="shared" si="30"/>
        <v>-6.7187974401559838E-4</v>
      </c>
      <c r="W258" s="83">
        <f t="shared" si="30"/>
        <v>-2.3428888457426177E-4</v>
      </c>
      <c r="X258" s="83">
        <f t="shared" si="30"/>
        <v>-3.7157607853834307E-5</v>
      </c>
      <c r="Y258" s="83">
        <f t="shared" si="30"/>
        <v>-2.3352077364111455E-4</v>
      </c>
      <c r="Z258" s="83">
        <f t="shared" si="30"/>
        <v>-1.8002712938779329E-4</v>
      </c>
      <c r="AA258" s="83">
        <f t="shared" si="30"/>
        <v>-1.8592508484892786E-4</v>
      </c>
      <c r="AB258" s="83">
        <f t="shared" si="30"/>
        <v>-1.7892099722139734E-4</v>
      </c>
      <c r="AC258" s="83">
        <f t="shared" si="30"/>
        <v>-1.7905396671753622E-4</v>
      </c>
      <c r="AD258" s="83">
        <f t="shared" si="30"/>
        <v>-4.3608687891026733E-5</v>
      </c>
      <c r="AE258" s="83">
        <f t="shared" si="30"/>
        <v>-5.3202553320934301E-6</v>
      </c>
      <c r="AF258" s="83">
        <f t="shared" si="30"/>
        <v>-2.7498924460475757E-4</v>
      </c>
      <c r="AG258" s="83">
        <f t="shared" si="30"/>
        <v>-2.8154922780887438E-4</v>
      </c>
      <c r="AH258" s="83">
        <f t="shared" si="30"/>
        <v>-2.8586224410931888E-3</v>
      </c>
      <c r="AI258" s="83">
        <f t="shared" si="30"/>
        <v>-8.4758833389476165E-3</v>
      </c>
      <c r="AJ258" s="83">
        <f t="shared" si="30"/>
        <v>0.99344429255527267</v>
      </c>
      <c r="AK258" s="83">
        <f t="shared" si="30"/>
        <v>-3.3588209632126175E-3</v>
      </c>
    </row>
    <row r="259" spans="2:37">
      <c r="B259" s="81" t="s">
        <v>147</v>
      </c>
      <c r="C259" s="81" t="s">
        <v>148</v>
      </c>
      <c r="D259" s="83">
        <f t="shared" ref="D259:AK259" si="31">D220-D181</f>
        <v>-6.3087058136087264E-7</v>
      </c>
      <c r="E259" s="83">
        <f t="shared" si="31"/>
        <v>-3.6556253285246389E-3</v>
      </c>
      <c r="F259" s="83">
        <f t="shared" si="31"/>
        <v>-1.4505107526118705E-3</v>
      </c>
      <c r="G259" s="83">
        <f t="shared" si="31"/>
        <v>-5.5859470117126291E-4</v>
      </c>
      <c r="H259" s="83">
        <f t="shared" si="31"/>
        <v>-5.5644691416954024E-4</v>
      </c>
      <c r="I259" s="83">
        <f t="shared" si="31"/>
        <v>-3.7848246128765971E-3</v>
      </c>
      <c r="J259" s="83">
        <f t="shared" si="31"/>
        <v>-3.705346124466448E-3</v>
      </c>
      <c r="K259" s="83">
        <f t="shared" si="31"/>
        <v>-7.9150729127594483E-3</v>
      </c>
      <c r="L259" s="83">
        <f t="shared" si="31"/>
        <v>-7.9099320054495086E-3</v>
      </c>
      <c r="M259" s="83">
        <f t="shared" si="31"/>
        <v>-2.3285462106284825E-3</v>
      </c>
      <c r="N259" s="83">
        <f t="shared" si="31"/>
        <v>-2.3093539803247798E-3</v>
      </c>
      <c r="O259" s="83">
        <f t="shared" si="31"/>
        <v>0</v>
      </c>
      <c r="P259" s="83">
        <f t="shared" si="31"/>
        <v>-3.0143369900661305E-3</v>
      </c>
      <c r="Q259" s="83">
        <f t="shared" si="31"/>
        <v>-2.9885266632803538E-3</v>
      </c>
      <c r="R259" s="83">
        <f t="shared" si="31"/>
        <v>-2.9824071907428133E-3</v>
      </c>
      <c r="S259" s="83">
        <f t="shared" si="31"/>
        <v>-9.0719122195788752E-4</v>
      </c>
      <c r="T259" s="83">
        <f t="shared" si="31"/>
        <v>-1.3688739064326642E-3</v>
      </c>
      <c r="U259" s="83">
        <f t="shared" si="31"/>
        <v>-4.4536875838859635E-3</v>
      </c>
      <c r="V259" s="83">
        <f t="shared" si="31"/>
        <v>-9.9429930413301396E-3</v>
      </c>
      <c r="W259" s="83">
        <f t="shared" si="31"/>
        <v>-5.2794868965373972E-3</v>
      </c>
      <c r="X259" s="83">
        <f t="shared" si="31"/>
        <v>-1.7811763656380962E-3</v>
      </c>
      <c r="Y259" s="83">
        <f t="shared" si="31"/>
        <v>-1.4977339330500456E-2</v>
      </c>
      <c r="Z259" s="83">
        <f t="shared" si="31"/>
        <v>-2.678254985947448E-3</v>
      </c>
      <c r="AA259" s="83">
        <f t="shared" si="31"/>
        <v>-2.7659985870057877E-3</v>
      </c>
      <c r="AB259" s="83">
        <f t="shared" si="31"/>
        <v>-2.6617991106588786E-3</v>
      </c>
      <c r="AC259" s="83">
        <f t="shared" si="31"/>
        <v>-2.6637772914876404E-3</v>
      </c>
      <c r="AD259" s="83">
        <f t="shared" si="31"/>
        <v>-4.4968703996874975E-3</v>
      </c>
      <c r="AE259" s="83">
        <f t="shared" si="31"/>
        <v>-1.2204964933824643E-4</v>
      </c>
      <c r="AF259" s="83">
        <f t="shared" si="31"/>
        <v>-2.5209600212702209E-2</v>
      </c>
      <c r="AG259" s="83">
        <f t="shared" si="31"/>
        <v>-2.581098574767305E-2</v>
      </c>
      <c r="AH259" s="83">
        <f t="shared" si="31"/>
        <v>-1.52395216388478E-3</v>
      </c>
      <c r="AI259" s="83">
        <f t="shared" si="31"/>
        <v>-4.8232536246154648E-3</v>
      </c>
      <c r="AJ259" s="83">
        <f t="shared" si="31"/>
        <v>-6.8892948178525927E-3</v>
      </c>
      <c r="AK259" s="83">
        <f t="shared" si="31"/>
        <v>0.94471172240279644</v>
      </c>
    </row>
    <row r="261" spans="2:37">
      <c r="B261" s="24" t="s">
        <v>315</v>
      </c>
    </row>
    <row r="263" spans="2:37" ht="112">
      <c r="B263" s="81"/>
      <c r="C263" s="81"/>
      <c r="D263" s="82" t="s">
        <v>177</v>
      </c>
      <c r="E263" s="82" t="s">
        <v>178</v>
      </c>
      <c r="F263" s="82" t="s">
        <v>179</v>
      </c>
      <c r="G263" s="82" t="s">
        <v>180</v>
      </c>
      <c r="H263" s="82" t="s">
        <v>181</v>
      </c>
      <c r="I263" s="82" t="s">
        <v>182</v>
      </c>
      <c r="J263" s="82" t="s">
        <v>183</v>
      </c>
      <c r="K263" s="82" t="s">
        <v>184</v>
      </c>
      <c r="L263" s="82" t="s">
        <v>185</v>
      </c>
      <c r="M263" s="82" t="s">
        <v>186</v>
      </c>
      <c r="N263" s="82" t="s">
        <v>187</v>
      </c>
      <c r="O263" s="82" t="s">
        <v>188</v>
      </c>
      <c r="P263" s="82" t="s">
        <v>105</v>
      </c>
      <c r="Q263" s="82" t="s">
        <v>189</v>
      </c>
      <c r="R263" s="82" t="s">
        <v>190</v>
      </c>
      <c r="S263" s="82" t="s">
        <v>191</v>
      </c>
      <c r="T263" s="82" t="s">
        <v>192</v>
      </c>
      <c r="U263" s="82" t="s">
        <v>115</v>
      </c>
      <c r="V263" s="82" t="s">
        <v>193</v>
      </c>
      <c r="W263" s="82" t="s">
        <v>194</v>
      </c>
      <c r="X263" s="82" t="s">
        <v>195</v>
      </c>
      <c r="Y263" s="82" t="s">
        <v>196</v>
      </c>
      <c r="Z263" s="82" t="s">
        <v>197</v>
      </c>
      <c r="AA263" s="82" t="s">
        <v>198</v>
      </c>
      <c r="AB263" s="82" t="s">
        <v>199</v>
      </c>
      <c r="AC263" s="82" t="s">
        <v>200</v>
      </c>
      <c r="AD263" s="82" t="s">
        <v>201</v>
      </c>
      <c r="AE263" s="82" t="s">
        <v>202</v>
      </c>
      <c r="AF263" s="82" t="s">
        <v>203</v>
      </c>
      <c r="AG263" s="82" t="s">
        <v>204</v>
      </c>
      <c r="AH263" s="82" t="s">
        <v>205</v>
      </c>
      <c r="AI263" s="82" t="s">
        <v>143</v>
      </c>
      <c r="AJ263" s="82" t="s">
        <v>206</v>
      </c>
      <c r="AK263" s="82" t="s">
        <v>207</v>
      </c>
    </row>
    <row r="264" spans="2:37">
      <c r="B264" s="81"/>
      <c r="C264" s="81"/>
      <c r="D264" s="81" t="s">
        <v>82</v>
      </c>
      <c r="E264" s="81" t="s">
        <v>84</v>
      </c>
      <c r="F264" s="81" t="s">
        <v>86</v>
      </c>
      <c r="G264" s="81" t="s">
        <v>88</v>
      </c>
      <c r="H264" s="81" t="s">
        <v>90</v>
      </c>
      <c r="I264" s="81" t="s">
        <v>92</v>
      </c>
      <c r="J264" s="81" t="s">
        <v>94</v>
      </c>
      <c r="K264" s="81" t="s">
        <v>96</v>
      </c>
      <c r="L264" s="81" t="s">
        <v>98</v>
      </c>
      <c r="M264" s="81" t="s">
        <v>100</v>
      </c>
      <c r="N264" s="81" t="s">
        <v>102</v>
      </c>
      <c r="O264" s="81" t="s">
        <v>104</v>
      </c>
      <c r="P264" s="81" t="s">
        <v>106</v>
      </c>
      <c r="Q264" s="81" t="s">
        <v>108</v>
      </c>
      <c r="R264" s="81" t="s">
        <v>110</v>
      </c>
      <c r="S264" s="81" t="s">
        <v>112</v>
      </c>
      <c r="T264" s="81" t="s">
        <v>114</v>
      </c>
      <c r="U264" s="81" t="s">
        <v>116</v>
      </c>
      <c r="V264" s="81" t="s">
        <v>118</v>
      </c>
      <c r="W264" s="81" t="s">
        <v>120</v>
      </c>
      <c r="X264" s="81" t="s">
        <v>122</v>
      </c>
      <c r="Y264" s="81" t="s">
        <v>124</v>
      </c>
      <c r="Z264" s="81" t="s">
        <v>126</v>
      </c>
      <c r="AA264" s="81" t="s">
        <v>128</v>
      </c>
      <c r="AB264" s="81" t="s">
        <v>130</v>
      </c>
      <c r="AC264" s="81" t="s">
        <v>132</v>
      </c>
      <c r="AD264" s="81" t="s">
        <v>134</v>
      </c>
      <c r="AE264" s="81" t="s">
        <v>136</v>
      </c>
      <c r="AF264" s="81" t="s">
        <v>138</v>
      </c>
      <c r="AG264" s="81" t="s">
        <v>140</v>
      </c>
      <c r="AH264" s="81" t="s">
        <v>142</v>
      </c>
      <c r="AI264" s="81" t="s">
        <v>144</v>
      </c>
      <c r="AJ264" s="81" t="s">
        <v>146</v>
      </c>
      <c r="AK264" s="81" t="s">
        <v>148</v>
      </c>
    </row>
    <row r="265" spans="2:37">
      <c r="B265" s="81" t="s">
        <v>81</v>
      </c>
      <c r="C265" s="81" t="s">
        <v>82</v>
      </c>
      <c r="D265" s="83">
        <f t="array" ref="D265:AK298">MINVERSE(D226:AK259)</f>
        <v>1.8290067084222277</v>
      </c>
      <c r="E265" s="83">
        <v>7.7127358635086423E-3</v>
      </c>
      <c r="F265" s="83">
        <v>0.36764334310793056</v>
      </c>
      <c r="G265" s="83">
        <v>0.25670630619362328</v>
      </c>
      <c r="H265" s="83">
        <v>0.23576801370476508</v>
      </c>
      <c r="I265" s="83">
        <v>5.801964297076986E-3</v>
      </c>
      <c r="J265" s="83">
        <v>7.0491925928047473E-3</v>
      </c>
      <c r="K265" s="83">
        <v>2.0813305435423472E-2</v>
      </c>
      <c r="L265" s="83">
        <v>2.1097318790435776E-2</v>
      </c>
      <c r="M265" s="83">
        <v>7.3856422671288351E-3</v>
      </c>
      <c r="N265" s="83">
        <v>7.34721127975044E-3</v>
      </c>
      <c r="O265" s="83">
        <v>1.6248258038383632E-3</v>
      </c>
      <c r="P265" s="83">
        <v>2.8617469563813405E-3</v>
      </c>
      <c r="Q265" s="83">
        <v>2.8372431851156317E-3</v>
      </c>
      <c r="R265" s="83">
        <v>2.8314334889978053E-3</v>
      </c>
      <c r="S265" s="83">
        <v>4.1163783878622245E-3</v>
      </c>
      <c r="T265" s="83">
        <v>3.3372959079512343E-3</v>
      </c>
      <c r="U265" s="83">
        <v>1.0095158533559906E-2</v>
      </c>
      <c r="V265" s="83">
        <v>1.0772314810148446E-3</v>
      </c>
      <c r="W265" s="83">
        <v>1.0999348308266691E-2</v>
      </c>
      <c r="X265" s="83">
        <v>1.487441264718253E-2</v>
      </c>
      <c r="Y265" s="83">
        <v>0.10759926963383366</v>
      </c>
      <c r="Z265" s="83">
        <v>4.1411165344698696E-3</v>
      </c>
      <c r="AA265" s="83">
        <v>4.364994802225494E-3</v>
      </c>
      <c r="AB265" s="83">
        <v>4.2005586471292418E-3</v>
      </c>
      <c r="AC265" s="83">
        <v>4.2179949352611351E-3</v>
      </c>
      <c r="AD265" s="83">
        <v>4.3572578565713362E-3</v>
      </c>
      <c r="AE265" s="83">
        <v>8.7671478466610185E-4</v>
      </c>
      <c r="AF265" s="83">
        <v>1.196217690417066E-2</v>
      </c>
      <c r="AG265" s="83">
        <v>1.2247539626952155E-2</v>
      </c>
      <c r="AH265" s="83">
        <v>7.9036881770447889E-2</v>
      </c>
      <c r="AI265" s="83">
        <v>4.1974984167225997E-2</v>
      </c>
      <c r="AJ265" s="83">
        <v>7.5764559818411417E-2</v>
      </c>
      <c r="AK265" s="83">
        <v>7.7534480572621625E-3</v>
      </c>
    </row>
    <row r="266" spans="2:37">
      <c r="B266" s="81" t="s">
        <v>83</v>
      </c>
      <c r="C266" s="81" t="s">
        <v>84</v>
      </c>
      <c r="D266" s="83">
        <v>1.2006961314756047E-3</v>
      </c>
      <c r="E266" s="83">
        <v>1.0355136497737569</v>
      </c>
      <c r="F266" s="83">
        <v>7.3161705489750619E-3</v>
      </c>
      <c r="G266" s="83">
        <v>5.5748026196555727E-3</v>
      </c>
      <c r="H266" s="83">
        <v>5.6212456710529558E-3</v>
      </c>
      <c r="I266" s="83">
        <v>3.5087025484260869E-3</v>
      </c>
      <c r="J266" s="83">
        <v>5.9494708101397956E-3</v>
      </c>
      <c r="K266" s="83">
        <v>0.10613958017871096</v>
      </c>
      <c r="L266" s="83">
        <v>0.10608997813966638</v>
      </c>
      <c r="M266" s="83">
        <v>3.1639451259023718E-2</v>
      </c>
      <c r="N266" s="83">
        <v>3.1625953516266549E-2</v>
      </c>
      <c r="O266" s="83">
        <v>1.4950464942340768E-2</v>
      </c>
      <c r="P266" s="83">
        <v>3.6724625386840896E-2</v>
      </c>
      <c r="Q266" s="83">
        <v>3.6410169974110805E-2</v>
      </c>
      <c r="R266" s="83">
        <v>3.6335614495659821E-2</v>
      </c>
      <c r="S266" s="83">
        <v>3.8548650900611596E-2</v>
      </c>
      <c r="T266" s="83">
        <v>6.7622703155590713E-2</v>
      </c>
      <c r="U266" s="83">
        <v>1.3453879383114625E-2</v>
      </c>
      <c r="V266" s="83">
        <v>1.0139741954580334E-2</v>
      </c>
      <c r="W266" s="83">
        <v>2.350110858040079E-3</v>
      </c>
      <c r="X266" s="83">
        <v>2.3590789993115282E-3</v>
      </c>
      <c r="Y266" s="83">
        <v>3.8009860032241706E-3</v>
      </c>
      <c r="Z266" s="83">
        <v>4.1671919328647991E-3</v>
      </c>
      <c r="AA266" s="83">
        <v>4.2089945388099044E-3</v>
      </c>
      <c r="AB266" s="83">
        <v>4.0504351566933048E-3</v>
      </c>
      <c r="AC266" s="83">
        <v>4.1187645804931323E-3</v>
      </c>
      <c r="AD266" s="83">
        <v>2.9168272840233225E-3</v>
      </c>
      <c r="AE266" s="83">
        <v>2.9857563969234958E-4</v>
      </c>
      <c r="AF266" s="83">
        <v>2.346143617835807E-3</v>
      </c>
      <c r="AG266" s="83">
        <v>2.4021118530646842E-3</v>
      </c>
      <c r="AH266" s="83">
        <v>4.6406163419481349E-3</v>
      </c>
      <c r="AI266" s="83">
        <v>1.183264553772052E-2</v>
      </c>
      <c r="AJ266" s="83">
        <v>2.3176202146137758E-3</v>
      </c>
      <c r="AK266" s="83">
        <v>3.1569729143792902E-3</v>
      </c>
    </row>
    <row r="267" spans="2:37">
      <c r="B267" s="81" t="s">
        <v>85</v>
      </c>
      <c r="C267" s="81" t="s">
        <v>86</v>
      </c>
      <c r="D267" s="83">
        <v>1.5587696278751825E-2</v>
      </c>
      <c r="E267" s="83">
        <v>7.8170261245565052E-3</v>
      </c>
      <c r="F267" s="83">
        <v>1.1162263610465863</v>
      </c>
      <c r="G267" s="83">
        <v>1.7236148793687251E-2</v>
      </c>
      <c r="H267" s="83">
        <v>1.7033595710211503E-2</v>
      </c>
      <c r="I267" s="83">
        <v>2.2756146972169899E-3</v>
      </c>
      <c r="J267" s="83">
        <v>6.2032936930736257E-3</v>
      </c>
      <c r="K267" s="83">
        <v>3.550736873769398E-2</v>
      </c>
      <c r="L267" s="83">
        <v>3.5486985392832314E-2</v>
      </c>
      <c r="M267" s="83">
        <v>1.3433841271342162E-2</v>
      </c>
      <c r="N267" s="83">
        <v>1.3328234747843547E-2</v>
      </c>
      <c r="O267" s="83">
        <v>3.6488830523571775E-3</v>
      </c>
      <c r="P267" s="83">
        <v>3.7855586226879043E-3</v>
      </c>
      <c r="Q267" s="83">
        <v>3.7531446937077643E-3</v>
      </c>
      <c r="R267" s="83">
        <v>3.7454595469882091E-3</v>
      </c>
      <c r="S267" s="83">
        <v>3.2409067359588269E-3</v>
      </c>
      <c r="T267" s="83">
        <v>7.4966066674407809E-3</v>
      </c>
      <c r="U267" s="83">
        <v>2.7327972993700343E-2</v>
      </c>
      <c r="V267" s="83">
        <v>2.0147721733766019E-3</v>
      </c>
      <c r="W267" s="83">
        <v>1.7051232042261145E-2</v>
      </c>
      <c r="X267" s="83">
        <v>4.1731098970113838E-2</v>
      </c>
      <c r="Y267" s="83">
        <v>9.628301010205885E-2</v>
      </c>
      <c r="Z267" s="83">
        <v>1.0831997823602333E-2</v>
      </c>
      <c r="AA267" s="83">
        <v>1.1459241407720915E-2</v>
      </c>
      <c r="AB267" s="83">
        <v>1.1027553929778295E-2</v>
      </c>
      <c r="AC267" s="83">
        <v>1.1060976706068789E-2</v>
      </c>
      <c r="AD267" s="83">
        <v>1.1646004561525826E-2</v>
      </c>
      <c r="AE267" s="83">
        <v>1.7280661627667884E-3</v>
      </c>
      <c r="AF267" s="83">
        <v>2.7138235850326865E-2</v>
      </c>
      <c r="AG267" s="83">
        <v>2.7785629793400497E-2</v>
      </c>
      <c r="AH267" s="83">
        <v>4.3818728447766644E-2</v>
      </c>
      <c r="AI267" s="83">
        <v>2.2561627327567068E-2</v>
      </c>
      <c r="AJ267" s="83">
        <v>2.5131156516654502E-2</v>
      </c>
      <c r="AK267" s="83">
        <v>1.6791887944050433E-2</v>
      </c>
    </row>
    <row r="268" spans="2:37">
      <c r="B268" s="81" t="s">
        <v>87</v>
      </c>
      <c r="C268" s="81" t="s">
        <v>88</v>
      </c>
      <c r="D268" s="83">
        <v>1.6318510267771663E-4</v>
      </c>
      <c r="E268" s="83">
        <v>4.7370756821468816E-4</v>
      </c>
      <c r="F268" s="83">
        <v>7.3032952131039887E-4</v>
      </c>
      <c r="G268" s="83">
        <v>1.0272530705438052</v>
      </c>
      <c r="H268" s="83">
        <v>2.9065111325599292E-2</v>
      </c>
      <c r="I268" s="83">
        <v>1.941417648823491E-3</v>
      </c>
      <c r="J268" s="83">
        <v>2.4712411462057813E-3</v>
      </c>
      <c r="K268" s="83">
        <v>9.6975733426416504E-3</v>
      </c>
      <c r="L268" s="83">
        <v>9.6913099757637323E-3</v>
      </c>
      <c r="M268" s="83">
        <v>1.189728221045632E-3</v>
      </c>
      <c r="N268" s="83">
        <v>1.1872632467281549E-3</v>
      </c>
      <c r="O268" s="83">
        <v>2.9275797049742146E-4</v>
      </c>
      <c r="P268" s="83">
        <v>3.2179279988335269E-3</v>
      </c>
      <c r="Q268" s="83">
        <v>3.1903744195566821E-3</v>
      </c>
      <c r="R268" s="83">
        <v>3.1838416323860404E-3</v>
      </c>
      <c r="S268" s="83">
        <v>9.4530710617710314E-3</v>
      </c>
      <c r="T268" s="83">
        <v>5.5715914291874292E-4</v>
      </c>
      <c r="U268" s="83">
        <v>3.028570720514281E-4</v>
      </c>
      <c r="V268" s="83">
        <v>2.5582870656374457E-4</v>
      </c>
      <c r="W268" s="83">
        <v>2.1474061799542783E-4</v>
      </c>
      <c r="X268" s="83">
        <v>3.0932150443224477E-4</v>
      </c>
      <c r="Y268" s="83">
        <v>3.5537182663134687E-3</v>
      </c>
      <c r="Z268" s="83">
        <v>3.8292832999809161E-4</v>
      </c>
      <c r="AA268" s="83">
        <v>3.8747837276002024E-4</v>
      </c>
      <c r="AB268" s="83">
        <v>3.7288145874602704E-4</v>
      </c>
      <c r="AC268" s="83">
        <v>3.7918237088268767E-4</v>
      </c>
      <c r="AD268" s="83">
        <v>3.1365415180133112E-4</v>
      </c>
      <c r="AE268" s="83">
        <v>2.7206475104689829E-5</v>
      </c>
      <c r="AF268" s="83">
        <v>3.6366589655303336E-4</v>
      </c>
      <c r="AG268" s="83">
        <v>3.7234129830093521E-4</v>
      </c>
      <c r="AH268" s="83">
        <v>1.4920663890080322E-3</v>
      </c>
      <c r="AI268" s="83">
        <v>8.8570814376887194E-4</v>
      </c>
      <c r="AJ268" s="83">
        <v>1.8801624659106969E-3</v>
      </c>
      <c r="AK268" s="83">
        <v>2.0673119653720688E-3</v>
      </c>
    </row>
    <row r="269" spans="2:37">
      <c r="B269" s="81" t="s">
        <v>89</v>
      </c>
      <c r="C269" s="81" t="s">
        <v>90</v>
      </c>
      <c r="D269" s="83">
        <v>1.7291411054027436E-5</v>
      </c>
      <c r="E269" s="83">
        <v>5.0194975809654198E-5</v>
      </c>
      <c r="F269" s="83">
        <v>7.73871373712942E-5</v>
      </c>
      <c r="G269" s="83">
        <v>3.0842953347375215E-3</v>
      </c>
      <c r="H269" s="83">
        <v>1.0030797957596316</v>
      </c>
      <c r="I269" s="83">
        <v>2.0571639225946693E-4</v>
      </c>
      <c r="J269" s="83">
        <v>2.6185752113085028E-4</v>
      </c>
      <c r="K269" s="83">
        <v>1.0275737438200214E-3</v>
      </c>
      <c r="L269" s="83">
        <v>1.0269100652765077E-3</v>
      </c>
      <c r="M269" s="83">
        <v>1.2606591763039714E-4</v>
      </c>
      <c r="N269" s="83">
        <v>1.2580472415463329E-4</v>
      </c>
      <c r="O269" s="83">
        <v>3.1021204289777613E-5</v>
      </c>
      <c r="P269" s="83">
        <v>3.4097791316150991E-4</v>
      </c>
      <c r="Q269" s="83">
        <v>3.3805828227935459E-4</v>
      </c>
      <c r="R269" s="83">
        <v>3.3736605543730473E-4</v>
      </c>
      <c r="S269" s="83">
        <v>1.001665806313428E-3</v>
      </c>
      <c r="T269" s="83">
        <v>5.9037667070286891E-5</v>
      </c>
      <c r="U269" s="83">
        <v>3.2091324744287168E-5</v>
      </c>
      <c r="V269" s="83">
        <v>2.7108107615376895E-5</v>
      </c>
      <c r="W269" s="83">
        <v>2.2754333789207302E-5</v>
      </c>
      <c r="X269" s="83">
        <v>3.277630857978122E-5</v>
      </c>
      <c r="Y269" s="83">
        <v>3.7655890338464523E-4</v>
      </c>
      <c r="Z269" s="83">
        <v>4.0575831062877041E-5</v>
      </c>
      <c r="AA269" s="83">
        <v>4.1057962448762679E-5</v>
      </c>
      <c r="AB269" s="83">
        <v>3.9511245032806337E-5</v>
      </c>
      <c r="AC269" s="83">
        <v>4.0178901945003168E-5</v>
      </c>
      <c r="AD269" s="83">
        <v>3.32354043267685E-5</v>
      </c>
      <c r="AE269" s="83">
        <v>2.8828510485754986E-6</v>
      </c>
      <c r="AF269" s="83">
        <v>3.8534746128444308E-5</v>
      </c>
      <c r="AG269" s="83">
        <v>3.9454008580838966E-5</v>
      </c>
      <c r="AH269" s="83">
        <v>1.5810225828757259E-4</v>
      </c>
      <c r="AI269" s="83">
        <v>9.3851358589110357E-5</v>
      </c>
      <c r="AJ269" s="83">
        <v>1.9922567386940196E-4</v>
      </c>
      <c r="AK269" s="83">
        <v>2.1905639904370536E-4</v>
      </c>
    </row>
    <row r="270" spans="2:37">
      <c r="B270" s="81" t="s">
        <v>91</v>
      </c>
      <c r="C270" s="81" t="s">
        <v>92</v>
      </c>
      <c r="D270" s="83">
        <v>2.5659370966163359E-5</v>
      </c>
      <c r="E270" s="83">
        <v>4.2305476671115322E-5</v>
      </c>
      <c r="F270" s="83">
        <v>7.7110291776971736E-5</v>
      </c>
      <c r="G270" s="83">
        <v>1.1714485674063528E-4</v>
      </c>
      <c r="H270" s="83">
        <v>1.2362018295686983E-4</v>
      </c>
      <c r="I270" s="83">
        <v>1.004445663243049</v>
      </c>
      <c r="J270" s="83">
        <v>4.0370525032102202E-3</v>
      </c>
      <c r="K270" s="83">
        <v>1.9162859949268252E-4</v>
      </c>
      <c r="L270" s="83">
        <v>1.9150908920531745E-4</v>
      </c>
      <c r="M270" s="83">
        <v>2.3113959655961702E-4</v>
      </c>
      <c r="N270" s="83">
        <v>2.308977370896045E-4</v>
      </c>
      <c r="O270" s="83">
        <v>8.1730437801343347E-5</v>
      </c>
      <c r="P270" s="83">
        <v>2.2859982085592727E-4</v>
      </c>
      <c r="Q270" s="83">
        <v>2.2664242986119079E-4</v>
      </c>
      <c r="R270" s="83">
        <v>2.2617834428269375E-4</v>
      </c>
      <c r="S270" s="83">
        <v>3.7995461306412058E-3</v>
      </c>
      <c r="T270" s="83">
        <v>6.4941716100851686E-5</v>
      </c>
      <c r="U270" s="83">
        <v>2.5645081667260381E-4</v>
      </c>
      <c r="V270" s="83">
        <v>5.1864083378064202E-5</v>
      </c>
      <c r="W270" s="83">
        <v>1.4838890519391619E-4</v>
      </c>
      <c r="X270" s="83">
        <v>6.053585533728577E-5</v>
      </c>
      <c r="Y270" s="83">
        <v>2.4511322240899035E-4</v>
      </c>
      <c r="Z270" s="83">
        <v>3.3456568631952878E-5</v>
      </c>
      <c r="AA270" s="83">
        <v>3.4853338672970446E-5</v>
      </c>
      <c r="AB270" s="83">
        <v>3.3540359101785499E-5</v>
      </c>
      <c r="AC270" s="83">
        <v>3.3618834690635968E-5</v>
      </c>
      <c r="AD270" s="83">
        <v>3.6236337324604146E-5</v>
      </c>
      <c r="AE270" s="83">
        <v>3.4080889197248457E-6</v>
      </c>
      <c r="AF270" s="83">
        <v>5.6024174151164644E-5</v>
      </c>
      <c r="AG270" s="83">
        <v>5.7360654208719024E-5</v>
      </c>
      <c r="AH270" s="83">
        <v>5.8421633301372392E-5</v>
      </c>
      <c r="AI270" s="83">
        <v>6.863924152107799E-5</v>
      </c>
      <c r="AJ270" s="83">
        <v>2.4438587784557384E-5</v>
      </c>
      <c r="AK270" s="83">
        <v>2.5989205867027584E-4</v>
      </c>
    </row>
    <row r="271" spans="2:37">
      <c r="B271" s="81" t="s">
        <v>93</v>
      </c>
      <c r="C271" s="81" t="s">
        <v>94</v>
      </c>
      <c r="D271" s="83">
        <v>3.6539286608839374E-4</v>
      </c>
      <c r="E271" s="83">
        <v>8.6769411607511384E-4</v>
      </c>
      <c r="F271" s="83">
        <v>1.0597678207006512E-3</v>
      </c>
      <c r="G271" s="83">
        <v>1.2952042687076864E-3</v>
      </c>
      <c r="H271" s="83">
        <v>1.3501487401831479E-3</v>
      </c>
      <c r="I271" s="83">
        <v>5.4313591466821687E-2</v>
      </c>
      <c r="J271" s="83">
        <v>1.0359992390488295</v>
      </c>
      <c r="K271" s="83">
        <v>2.5859487465322859E-3</v>
      </c>
      <c r="L271" s="83">
        <v>2.5843446013870627E-3</v>
      </c>
      <c r="M271" s="83">
        <v>2.3086421551250518E-3</v>
      </c>
      <c r="N271" s="83">
        <v>2.3054634210294975E-3</v>
      </c>
      <c r="O271" s="83">
        <v>1.0458439016554463E-3</v>
      </c>
      <c r="P271" s="83">
        <v>3.3522181216775358E-3</v>
      </c>
      <c r="Q271" s="83">
        <v>3.3235146802697811E-3</v>
      </c>
      <c r="R271" s="83">
        <v>3.3167092677352534E-3</v>
      </c>
      <c r="S271" s="83">
        <v>3.3462210276803156E-2</v>
      </c>
      <c r="T271" s="83">
        <v>1.0551026401041893E-3</v>
      </c>
      <c r="U271" s="83">
        <v>2.3516212261070176E-3</v>
      </c>
      <c r="V271" s="83">
        <v>7.3170911577937446E-4</v>
      </c>
      <c r="W271" s="83">
        <v>1.5799154569912633E-3</v>
      </c>
      <c r="X271" s="83">
        <v>1.0389050949017751E-3</v>
      </c>
      <c r="Y271" s="83">
        <v>2.9555060184998944E-3</v>
      </c>
      <c r="Z271" s="83">
        <v>3.788877358851118E-4</v>
      </c>
      <c r="AA271" s="83">
        <v>3.9710383361944208E-4</v>
      </c>
      <c r="AB271" s="83">
        <v>3.8214431349789009E-4</v>
      </c>
      <c r="AC271" s="83">
        <v>3.8304483814260114E-4</v>
      </c>
      <c r="AD271" s="83">
        <v>4.4144238728810524E-4</v>
      </c>
      <c r="AE271" s="83">
        <v>3.1653070272914666E-4</v>
      </c>
      <c r="AF271" s="83">
        <v>5.9925948901863092E-4</v>
      </c>
      <c r="AG271" s="83">
        <v>6.1355507424604638E-4</v>
      </c>
      <c r="AH271" s="83">
        <v>9.6972169014983669E-4</v>
      </c>
      <c r="AI271" s="83">
        <v>1.6070537301003081E-3</v>
      </c>
      <c r="AJ271" s="83">
        <v>5.9651568215777649E-4</v>
      </c>
      <c r="AK271" s="83">
        <v>3.1060218433681241E-3</v>
      </c>
    </row>
    <row r="272" spans="2:37">
      <c r="B272" s="81" t="s">
        <v>95</v>
      </c>
      <c r="C272" s="81" t="s">
        <v>96</v>
      </c>
      <c r="D272" s="83">
        <v>2.709506201842926E-3</v>
      </c>
      <c r="E272" s="83">
        <v>7.8531423893851964E-3</v>
      </c>
      <c r="F272" s="83">
        <v>2.1596655242482926E-3</v>
      </c>
      <c r="G272" s="83">
        <v>2.8324554548365363E-3</v>
      </c>
      <c r="H272" s="83">
        <v>2.8000282412078818E-3</v>
      </c>
      <c r="I272" s="83">
        <v>3.594446060504589E-3</v>
      </c>
      <c r="J272" s="83">
        <v>5.5913477588471127E-3</v>
      </c>
      <c r="K272" s="83">
        <v>1.0071907006475205</v>
      </c>
      <c r="L272" s="83">
        <v>7.1866159450925263E-3</v>
      </c>
      <c r="M272" s="83">
        <v>2.1620905574344412E-3</v>
      </c>
      <c r="N272" s="83">
        <v>2.1154241305033185E-3</v>
      </c>
      <c r="O272" s="83">
        <v>2.1418804714263221E-3</v>
      </c>
      <c r="P272" s="83">
        <v>4.7387728966397499E-3</v>
      </c>
      <c r="Q272" s="83">
        <v>4.6981970494704376E-3</v>
      </c>
      <c r="R272" s="83">
        <v>4.688576761261715E-3</v>
      </c>
      <c r="S272" s="83">
        <v>1.8967497286805366E-3</v>
      </c>
      <c r="T272" s="83">
        <v>5.8816538196537656E-3</v>
      </c>
      <c r="U272" s="83">
        <v>6.2801632849978474E-3</v>
      </c>
      <c r="V272" s="83">
        <v>4.5132423461548554E-3</v>
      </c>
      <c r="W272" s="83">
        <v>3.2652395704842602E-3</v>
      </c>
      <c r="X272" s="83">
        <v>4.6112428175576229E-3</v>
      </c>
      <c r="Y272" s="83">
        <v>1.3259954902210558E-3</v>
      </c>
      <c r="Z272" s="83">
        <v>1.1166906837553444E-2</v>
      </c>
      <c r="AA272" s="83">
        <v>9.8214528532812335E-3</v>
      </c>
      <c r="AB272" s="83">
        <v>9.4514634219468804E-3</v>
      </c>
      <c r="AC272" s="83">
        <v>1.0950604042615039E-2</v>
      </c>
      <c r="AD272" s="83">
        <v>4.9660898672694671E-3</v>
      </c>
      <c r="AE272" s="83">
        <v>2.315047842248302E-4</v>
      </c>
      <c r="AF272" s="83">
        <v>2.2912885105148013E-3</v>
      </c>
      <c r="AG272" s="83">
        <v>2.3459481542633014E-3</v>
      </c>
      <c r="AH272" s="83">
        <v>1.982507649183121E-3</v>
      </c>
      <c r="AI272" s="83">
        <v>7.2685493783845227E-4</v>
      </c>
      <c r="AJ272" s="83">
        <v>1.9605968297963607E-3</v>
      </c>
      <c r="AK272" s="83">
        <v>1.8702978275369981E-3</v>
      </c>
    </row>
    <row r="273" spans="2:37">
      <c r="B273" s="81" t="s">
        <v>97</v>
      </c>
      <c r="C273" s="81" t="s">
        <v>98</v>
      </c>
      <c r="D273" s="83">
        <v>1.2919802384149547E-3</v>
      </c>
      <c r="E273" s="83">
        <v>3.9486225973282734E-3</v>
      </c>
      <c r="F273" s="83">
        <v>1.0374462786624896E-3</v>
      </c>
      <c r="G273" s="83">
        <v>1.3228224900238572E-3</v>
      </c>
      <c r="H273" s="83">
        <v>1.3073833962215021E-3</v>
      </c>
      <c r="I273" s="83">
        <v>1.6569133875110843E-3</v>
      </c>
      <c r="J273" s="83">
        <v>2.5810289575322405E-3</v>
      </c>
      <c r="K273" s="83">
        <v>3.3478901561401976E-3</v>
      </c>
      <c r="L273" s="83">
        <v>1.003345998733413</v>
      </c>
      <c r="M273" s="83">
        <v>1.0085523702586159E-3</v>
      </c>
      <c r="N273" s="83">
        <v>9.8713875476486523E-4</v>
      </c>
      <c r="O273" s="83">
        <v>9.9114645860785226E-4</v>
      </c>
      <c r="P273" s="83">
        <v>2.2098651868718163E-3</v>
      </c>
      <c r="Q273" s="83">
        <v>2.1909431675973864E-3</v>
      </c>
      <c r="R273" s="83">
        <v>2.1864568711523328E-3</v>
      </c>
      <c r="S273" s="83">
        <v>8.8696718056736066E-4</v>
      </c>
      <c r="T273" s="83">
        <v>2.9778168133317295E-3</v>
      </c>
      <c r="U273" s="83">
        <v>2.8886947410792989E-3</v>
      </c>
      <c r="V273" s="83">
        <v>2.4862496398507985E-3</v>
      </c>
      <c r="W273" s="83">
        <v>1.6635340075398432E-3</v>
      </c>
      <c r="X273" s="83">
        <v>2.3467084774699948E-3</v>
      </c>
      <c r="Y273" s="83">
        <v>6.4055481003544897E-4</v>
      </c>
      <c r="Z273" s="83">
        <v>4.8170207146143304E-3</v>
      </c>
      <c r="AA273" s="83">
        <v>5.5625435272417733E-3</v>
      </c>
      <c r="AB273" s="83">
        <v>5.3529938458288882E-3</v>
      </c>
      <c r="AC273" s="83">
        <v>4.6223984344695131E-3</v>
      </c>
      <c r="AD273" s="83">
        <v>2.279552462616572E-3</v>
      </c>
      <c r="AE273" s="83">
        <v>1.0736124195745222E-4</v>
      </c>
      <c r="AF273" s="83">
        <v>1.0590028201874352E-3</v>
      </c>
      <c r="AG273" s="83">
        <v>1.0842657744659825E-3</v>
      </c>
      <c r="AH273" s="83">
        <v>9.2662870897331298E-4</v>
      </c>
      <c r="AI273" s="83">
        <v>3.4767955578687588E-4</v>
      </c>
      <c r="AJ273" s="83">
        <v>9.1315392639217271E-4</v>
      </c>
      <c r="AK273" s="83">
        <v>8.6512780797458149E-4</v>
      </c>
    </row>
    <row r="274" spans="2:37">
      <c r="B274" s="81" t="s">
        <v>99</v>
      </c>
      <c r="C274" s="81" t="s">
        <v>100</v>
      </c>
      <c r="D274" s="83">
        <v>1.1720584644639429E-3</v>
      </c>
      <c r="E274" s="83">
        <v>9.8176209087644174E-4</v>
      </c>
      <c r="F274" s="83">
        <v>2.8366449628857765E-3</v>
      </c>
      <c r="G274" s="83">
        <v>1.426195770801984E-3</v>
      </c>
      <c r="H274" s="83">
        <v>1.4118711326664452E-3</v>
      </c>
      <c r="I274" s="83">
        <v>3.7231664689071556E-4</v>
      </c>
      <c r="J274" s="83">
        <v>1.1285816685105588E-3</v>
      </c>
      <c r="K274" s="83">
        <v>1.0116453051829117E-3</v>
      </c>
      <c r="L274" s="83">
        <v>1.0111969526796728E-3</v>
      </c>
      <c r="M274" s="83">
        <v>1.0321010140021265</v>
      </c>
      <c r="N274" s="83">
        <v>3.2097050873749186E-2</v>
      </c>
      <c r="O274" s="83">
        <v>4.2102551072413231E-4</v>
      </c>
      <c r="P274" s="83">
        <v>2.8326811567089875E-3</v>
      </c>
      <c r="Q274" s="83">
        <v>2.8084262619923563E-3</v>
      </c>
      <c r="R274" s="83">
        <v>2.8026755730006354E-3</v>
      </c>
      <c r="S274" s="83">
        <v>8.7654720166745214E-4</v>
      </c>
      <c r="T274" s="83">
        <v>2.9911959022825489E-3</v>
      </c>
      <c r="U274" s="83">
        <v>1.9773236151489113E-2</v>
      </c>
      <c r="V274" s="83">
        <v>1.9695668077554412E-4</v>
      </c>
      <c r="W274" s="83">
        <v>4.3092050771514085E-3</v>
      </c>
      <c r="X274" s="83">
        <v>3.8434153006974003E-3</v>
      </c>
      <c r="Y274" s="83">
        <v>2.8179675139022651E-3</v>
      </c>
      <c r="Z274" s="83">
        <v>3.169100971292861E-3</v>
      </c>
      <c r="AA274" s="83">
        <v>3.3014116843938781E-3</v>
      </c>
      <c r="AB274" s="83">
        <v>3.1770423624659762E-3</v>
      </c>
      <c r="AC274" s="83">
        <v>3.17904084321491E-3</v>
      </c>
      <c r="AD274" s="83">
        <v>1.9453034901208499E-3</v>
      </c>
      <c r="AE274" s="83">
        <v>6.03409426797469E-5</v>
      </c>
      <c r="AF274" s="83">
        <v>4.049889996695759E-3</v>
      </c>
      <c r="AG274" s="83">
        <v>4.1465018128961839E-3</v>
      </c>
      <c r="AH274" s="83">
        <v>6.1339899081376363E-4</v>
      </c>
      <c r="AI274" s="83">
        <v>9.6587003524878324E-4</v>
      </c>
      <c r="AJ274" s="83">
        <v>5.9839172980259822E-4</v>
      </c>
      <c r="AK274" s="83">
        <v>1.581641549045557E-3</v>
      </c>
    </row>
    <row r="275" spans="2:37">
      <c r="B275" s="81" t="s">
        <v>101</v>
      </c>
      <c r="C275" s="81" t="s">
        <v>102</v>
      </c>
      <c r="D275" s="83">
        <v>4.3708567649432036E-3</v>
      </c>
      <c r="E275" s="83">
        <v>3.6476364802166617E-3</v>
      </c>
      <c r="F275" s="83">
        <v>1.0597843914020905E-2</v>
      </c>
      <c r="G275" s="83">
        <v>5.2912813014637612E-3</v>
      </c>
      <c r="H275" s="83">
        <v>5.2379283195860288E-3</v>
      </c>
      <c r="I275" s="83">
        <v>1.3867468760992497E-3</v>
      </c>
      <c r="J275" s="83">
        <v>4.1307464618728544E-3</v>
      </c>
      <c r="K275" s="83">
        <v>3.7718603542140983E-3</v>
      </c>
      <c r="L275" s="83">
        <v>3.7701886086126549E-3</v>
      </c>
      <c r="M275" s="83">
        <v>0.10318390674835015</v>
      </c>
      <c r="N275" s="83">
        <v>1.1119336989587394</v>
      </c>
      <c r="O275" s="83">
        <v>1.5560505422300148E-3</v>
      </c>
      <c r="P275" s="83">
        <v>1.0626589354713912E-2</v>
      </c>
      <c r="Q275" s="83">
        <v>1.0535598949604303E-2</v>
      </c>
      <c r="R275" s="83">
        <v>1.0514025674307466E-2</v>
      </c>
      <c r="S275" s="83">
        <v>3.2754591898131518E-3</v>
      </c>
      <c r="T275" s="83">
        <v>1.1218998768185709E-2</v>
      </c>
      <c r="U275" s="83">
        <v>6.7855651788850474E-2</v>
      </c>
      <c r="V275" s="83">
        <v>7.3312568445980345E-4</v>
      </c>
      <c r="W275" s="83">
        <v>1.6079818762529868E-2</v>
      </c>
      <c r="X275" s="83">
        <v>1.4313215879803502E-2</v>
      </c>
      <c r="Y275" s="83">
        <v>1.0497660559671411E-2</v>
      </c>
      <c r="Z275" s="83">
        <v>1.1873665123248387E-2</v>
      </c>
      <c r="AA275" s="83">
        <v>1.236876814980732E-2</v>
      </c>
      <c r="AB275" s="83">
        <v>1.1902817382398768E-2</v>
      </c>
      <c r="AC275" s="83">
        <v>1.1910285425287987E-2</v>
      </c>
      <c r="AD275" s="83">
        <v>7.2956051131498247E-3</v>
      </c>
      <c r="AE275" s="83">
        <v>2.208759622028993E-4</v>
      </c>
      <c r="AF275" s="83">
        <v>1.4967885233845159E-2</v>
      </c>
      <c r="AG275" s="83">
        <v>1.5324950383343267E-2</v>
      </c>
      <c r="AH275" s="83">
        <v>2.2907929526442441E-3</v>
      </c>
      <c r="AI275" s="83">
        <v>3.4473070991801356E-3</v>
      </c>
      <c r="AJ275" s="83">
        <v>2.2146270743742501E-3</v>
      </c>
      <c r="AK275" s="83">
        <v>5.7692162686588354E-3</v>
      </c>
    </row>
    <row r="276" spans="2:37">
      <c r="B276" s="81" t="s">
        <v>103</v>
      </c>
      <c r="C276" s="81" t="s">
        <v>104</v>
      </c>
      <c r="D276" s="83">
        <v>6.4908168861879676E-3</v>
      </c>
      <c r="E276" s="83">
        <v>1.1468497152290142E-2</v>
      </c>
      <c r="F276" s="83">
        <v>5.7451904922365066E-3</v>
      </c>
      <c r="G276" s="83">
        <v>1.28320045768153E-2</v>
      </c>
      <c r="H276" s="83">
        <v>1.2796731919859132E-2</v>
      </c>
      <c r="I276" s="83">
        <v>5.675870569035354E-3</v>
      </c>
      <c r="J276" s="83">
        <v>1.1759835736698039E-2</v>
      </c>
      <c r="K276" s="83">
        <v>8.7287866085529655E-3</v>
      </c>
      <c r="L276" s="83">
        <v>8.7243845614622534E-3</v>
      </c>
      <c r="M276" s="83">
        <v>3.0494561081237284E-2</v>
      </c>
      <c r="N276" s="83">
        <v>3.047441722760413E-2</v>
      </c>
      <c r="O276" s="83">
        <v>1.6504493475566409</v>
      </c>
      <c r="P276" s="83">
        <v>7.0536474966962207E-2</v>
      </c>
      <c r="Q276" s="83">
        <v>6.993250484842134E-2</v>
      </c>
      <c r="R276" s="83">
        <v>6.978930718244071E-2</v>
      </c>
      <c r="S276" s="83">
        <v>3.4126731114712067E-2</v>
      </c>
      <c r="T276" s="83">
        <v>1.8599450470310933E-2</v>
      </c>
      <c r="U276" s="83">
        <v>4.2683237008911065E-2</v>
      </c>
      <c r="V276" s="83">
        <v>3.0704793372334526E-3</v>
      </c>
      <c r="W276" s="83">
        <v>3.9345085241507052E-3</v>
      </c>
      <c r="X276" s="83">
        <v>2.9638273594054542E-3</v>
      </c>
      <c r="Y276" s="83">
        <v>3.5973535928290135E-3</v>
      </c>
      <c r="Z276" s="83">
        <v>2.4389470566618149E-3</v>
      </c>
      <c r="AA276" s="83">
        <v>2.5526739764168368E-3</v>
      </c>
      <c r="AB276" s="83">
        <v>2.4565107705220106E-3</v>
      </c>
      <c r="AC276" s="83">
        <v>2.4369163514402718E-3</v>
      </c>
      <c r="AD276" s="83">
        <v>3.55473576359706E-3</v>
      </c>
      <c r="AE276" s="83">
        <v>2.0544636527171776E-4</v>
      </c>
      <c r="AF276" s="83">
        <v>4.0628942306534079E-3</v>
      </c>
      <c r="AG276" s="83">
        <v>4.1598162682825578E-3</v>
      </c>
      <c r="AH276" s="83">
        <v>1.2453161582656868E-3</v>
      </c>
      <c r="AI276" s="83">
        <v>2.4305570076353705E-3</v>
      </c>
      <c r="AJ276" s="83">
        <v>1.563097708439149E-3</v>
      </c>
      <c r="AK276" s="83">
        <v>6.967986236682446E-3</v>
      </c>
    </row>
    <row r="277" spans="2:37">
      <c r="B277" s="81" t="s">
        <v>105</v>
      </c>
      <c r="C277" s="81" t="s">
        <v>106</v>
      </c>
      <c r="D277" s="83">
        <v>2.1306378875681274E-3</v>
      </c>
      <c r="E277" s="83">
        <v>1.2992829356934213E-3</v>
      </c>
      <c r="F277" s="83">
        <v>1.154484273219424E-3</v>
      </c>
      <c r="G277" s="83">
        <v>9.5637819685928085E-4</v>
      </c>
      <c r="H277" s="83">
        <v>9.3267712134636365E-4</v>
      </c>
      <c r="I277" s="83">
        <v>5.8660872171942551E-4</v>
      </c>
      <c r="J277" s="83">
        <v>1.2625119650988175E-3</v>
      </c>
      <c r="K277" s="83">
        <v>9.897812372080541E-4</v>
      </c>
      <c r="L277" s="83">
        <v>9.8950881611838885E-4</v>
      </c>
      <c r="M277" s="83">
        <v>1.7668865077344086E-3</v>
      </c>
      <c r="N277" s="83">
        <v>1.7225611203143809E-3</v>
      </c>
      <c r="O277" s="83">
        <v>7.8641669427081712E-4</v>
      </c>
      <c r="P277" s="83">
        <v>1.0055267102200283</v>
      </c>
      <c r="Q277" s="83">
        <v>5.4793876421939417E-3</v>
      </c>
      <c r="R277" s="83">
        <v>5.4681677449077877E-3</v>
      </c>
      <c r="S277" s="83">
        <v>1.0916635405244046E-3</v>
      </c>
      <c r="T277" s="83">
        <v>3.5767948818701089E-3</v>
      </c>
      <c r="U277" s="83">
        <v>2.614022411023161E-3</v>
      </c>
      <c r="V277" s="83">
        <v>4.4882339669516375E-4</v>
      </c>
      <c r="W277" s="83">
        <v>1.1770696963069409E-3</v>
      </c>
      <c r="X277" s="83">
        <v>1.1519765221214475E-3</v>
      </c>
      <c r="Y277" s="83">
        <v>1.7080133095991304E-3</v>
      </c>
      <c r="Z277" s="83">
        <v>2.7724854444137162E-3</v>
      </c>
      <c r="AA277" s="83">
        <v>3.1815380816123313E-3</v>
      </c>
      <c r="AB277" s="83">
        <v>3.0616845850707339E-3</v>
      </c>
      <c r="AC277" s="83">
        <v>2.6656882589404791E-3</v>
      </c>
      <c r="AD277" s="83">
        <v>4.7032765569416076E-3</v>
      </c>
      <c r="AE277" s="83">
        <v>1.3602923970176695E-4</v>
      </c>
      <c r="AF277" s="83">
        <v>1.226859675931607E-3</v>
      </c>
      <c r="AG277" s="83">
        <v>1.2561269255634505E-3</v>
      </c>
      <c r="AH277" s="83">
        <v>9.7503151535902554E-4</v>
      </c>
      <c r="AI277" s="83">
        <v>6.181234245291262E-4</v>
      </c>
      <c r="AJ277" s="83">
        <v>6.9053761341481847E-4</v>
      </c>
      <c r="AK277" s="83">
        <v>2.3831247450353797E-3</v>
      </c>
    </row>
    <row r="278" spans="2:37">
      <c r="B278" s="81" t="s">
        <v>107</v>
      </c>
      <c r="C278" s="81" t="s">
        <v>108</v>
      </c>
      <c r="D278" s="83">
        <v>4.8405039390130711E-4</v>
      </c>
      <c r="E278" s="83">
        <v>2.9828790381112105E-4</v>
      </c>
      <c r="F278" s="83">
        <v>2.657174632091922E-4</v>
      </c>
      <c r="G278" s="83">
        <v>2.2273093235275951E-4</v>
      </c>
      <c r="H278" s="83">
        <v>2.1734101100922065E-4</v>
      </c>
      <c r="I278" s="83">
        <v>1.3631329843766216E-4</v>
      </c>
      <c r="J278" s="83">
        <v>2.9215566691926699E-4</v>
      </c>
      <c r="K278" s="83">
        <v>2.2986096851549187E-4</v>
      </c>
      <c r="L278" s="83">
        <v>2.2979589032493664E-4</v>
      </c>
      <c r="M278" s="83">
        <v>4.0796489719656175E-4</v>
      </c>
      <c r="N278" s="83">
        <v>3.9729228610090609E-4</v>
      </c>
      <c r="O278" s="83">
        <v>1.8060806975870669E-4</v>
      </c>
      <c r="P278" s="83">
        <v>1.2552128965663423E-3</v>
      </c>
      <c r="Q278" s="83">
        <v>1.0012444651085275</v>
      </c>
      <c r="R278" s="83">
        <v>1.2419168729208589E-3</v>
      </c>
      <c r="S278" s="83">
        <v>2.5099895999723849E-4</v>
      </c>
      <c r="T278" s="83">
        <v>8.8037002412708759E-4</v>
      </c>
      <c r="U278" s="83">
        <v>5.9557286206868363E-4</v>
      </c>
      <c r="V278" s="83">
        <v>1.029612595581546E-4</v>
      </c>
      <c r="W278" s="83">
        <v>2.6917783181256951E-4</v>
      </c>
      <c r="X278" s="83">
        <v>2.623707908315637E-4</v>
      </c>
      <c r="Y278" s="83">
        <v>3.9026897378497023E-4</v>
      </c>
      <c r="Z278" s="83">
        <v>6.9766808072668958E-4</v>
      </c>
      <c r="AA278" s="83">
        <v>7.2261004114722814E-4</v>
      </c>
      <c r="AB278" s="83">
        <v>6.9538819503193994E-4</v>
      </c>
      <c r="AC278" s="83">
        <v>6.9557987952159942E-4</v>
      </c>
      <c r="AD278" s="83">
        <v>1.1316153944510164E-3</v>
      </c>
      <c r="AE278" s="83">
        <v>3.1197434190460983E-5</v>
      </c>
      <c r="AF278" s="83">
        <v>2.8120908062312215E-4</v>
      </c>
      <c r="AG278" s="83">
        <v>2.8791744061147146E-4</v>
      </c>
      <c r="AH278" s="83">
        <v>2.2432349858973229E-4</v>
      </c>
      <c r="AI278" s="83">
        <v>1.4166547695050263E-4</v>
      </c>
      <c r="AJ278" s="83">
        <v>1.5934287684901213E-4</v>
      </c>
      <c r="AK278" s="83">
        <v>5.4379726580521155E-4</v>
      </c>
    </row>
    <row r="279" spans="2:37">
      <c r="B279" s="81" t="s">
        <v>109</v>
      </c>
      <c r="C279" s="81" t="s">
        <v>110</v>
      </c>
      <c r="D279" s="83">
        <v>1.2384380879389206E-3</v>
      </c>
      <c r="E279" s="83">
        <v>7.5957492521714221E-4</v>
      </c>
      <c r="F279" s="83">
        <v>6.7459962948065977E-4</v>
      </c>
      <c r="G279" s="83">
        <v>5.6184985290628423E-4</v>
      </c>
      <c r="H279" s="83">
        <v>5.4807099535200275E-4</v>
      </c>
      <c r="I279" s="83">
        <v>3.4749246754985541E-4</v>
      </c>
      <c r="J279" s="83">
        <v>7.4476439045629574E-4</v>
      </c>
      <c r="K279" s="83">
        <v>5.8177967412178621E-4</v>
      </c>
      <c r="L279" s="83">
        <v>5.8161720897954069E-4</v>
      </c>
      <c r="M279" s="83">
        <v>1.0285275020800466E-3</v>
      </c>
      <c r="N279" s="83">
        <v>1.0039488322766492E-3</v>
      </c>
      <c r="O279" s="83">
        <v>4.6067995910855432E-4</v>
      </c>
      <c r="P279" s="83">
        <v>3.2170872238441416E-3</v>
      </c>
      <c r="Q279" s="83">
        <v>3.1895408437216471E-3</v>
      </c>
      <c r="R279" s="83">
        <v>1.0031830097634264</v>
      </c>
      <c r="S279" s="83">
        <v>6.3959239243665264E-4</v>
      </c>
      <c r="T279" s="83">
        <v>2.2540143525831757E-3</v>
      </c>
      <c r="U279" s="83">
        <v>1.5197004804604491E-3</v>
      </c>
      <c r="V279" s="83">
        <v>2.6247599899915887E-4</v>
      </c>
      <c r="W279" s="83">
        <v>6.8532652313418548E-4</v>
      </c>
      <c r="X279" s="83">
        <v>6.6987602769043677E-4</v>
      </c>
      <c r="Y279" s="83">
        <v>9.9616985991884954E-4</v>
      </c>
      <c r="Z279" s="83">
        <v>1.784472298145203E-3</v>
      </c>
      <c r="AA279" s="83">
        <v>1.8482681690123585E-3</v>
      </c>
      <c r="AB279" s="83">
        <v>1.7786410273845478E-3</v>
      </c>
      <c r="AC279" s="83">
        <v>1.7791240835936064E-3</v>
      </c>
      <c r="AD279" s="83">
        <v>2.6103210323944704E-3</v>
      </c>
      <c r="AE279" s="83">
        <v>7.9411132711307319E-5</v>
      </c>
      <c r="AF279" s="83">
        <v>7.1086718229761907E-4</v>
      </c>
      <c r="AG279" s="83">
        <v>7.2782521563064407E-4</v>
      </c>
      <c r="AH279" s="83">
        <v>5.6625919161507542E-4</v>
      </c>
      <c r="AI279" s="83">
        <v>3.6169659956621108E-4</v>
      </c>
      <c r="AJ279" s="83">
        <v>4.0586380147331058E-4</v>
      </c>
      <c r="AK279" s="83">
        <v>1.3823409443757368E-3</v>
      </c>
    </row>
    <row r="280" spans="2:37">
      <c r="B280" s="81" t="s">
        <v>111</v>
      </c>
      <c r="C280" s="81" t="s">
        <v>112</v>
      </c>
      <c r="D280" s="83">
        <v>1.8287016074951967E-4</v>
      </c>
      <c r="E280" s="83">
        <v>2.6531530305838092E-4</v>
      </c>
      <c r="F280" s="83">
        <v>8.0430980125839905E-4</v>
      </c>
      <c r="G280" s="83">
        <v>2.5257442106969168E-2</v>
      </c>
      <c r="H280" s="83">
        <v>2.7094332706418416E-2</v>
      </c>
      <c r="I280" s="83">
        <v>1.869825667807104E-4</v>
      </c>
      <c r="J280" s="83">
        <v>1.3332681016553279E-3</v>
      </c>
      <c r="K280" s="83">
        <v>4.7335958091759118E-4</v>
      </c>
      <c r="L280" s="83">
        <v>4.730867681039446E-4</v>
      </c>
      <c r="M280" s="83">
        <v>1.1211205170379474E-3</v>
      </c>
      <c r="N280" s="83">
        <v>1.1144951960524274E-3</v>
      </c>
      <c r="O280" s="83">
        <v>1.7352255759371606E-4</v>
      </c>
      <c r="P280" s="83">
        <v>8.4329991967275922E-4</v>
      </c>
      <c r="Q280" s="83">
        <v>8.3607914555994787E-4</v>
      </c>
      <c r="R280" s="83">
        <v>8.3436714364497724E-4</v>
      </c>
      <c r="S280" s="83">
        <v>1.0261426619093024</v>
      </c>
      <c r="T280" s="83">
        <v>2.2956443853180877E-4</v>
      </c>
      <c r="U280" s="83">
        <v>1.9706322712421064E-3</v>
      </c>
      <c r="V280" s="83">
        <v>4.5392434368676088E-4</v>
      </c>
      <c r="W280" s="83">
        <v>8.8080891825824924E-4</v>
      </c>
      <c r="X280" s="83">
        <v>4.2192260718666778E-4</v>
      </c>
      <c r="Y280" s="83">
        <v>1.8534027072059098E-3</v>
      </c>
      <c r="Z280" s="83">
        <v>7.9130131474920164E-4</v>
      </c>
      <c r="AA280" s="83">
        <v>8.2009477905071375E-4</v>
      </c>
      <c r="AB280" s="83">
        <v>7.8920053097214504E-4</v>
      </c>
      <c r="AC280" s="83">
        <v>7.8980874437030891E-4</v>
      </c>
      <c r="AD280" s="83">
        <v>7.4390889020302538E-4</v>
      </c>
      <c r="AE280" s="83">
        <v>6.6903333704684714E-5</v>
      </c>
      <c r="AF280" s="83">
        <v>7.5717629979160032E-4</v>
      </c>
      <c r="AG280" s="83">
        <v>7.7523905645078615E-4</v>
      </c>
      <c r="AH280" s="83">
        <v>2.6824150245356319E-4</v>
      </c>
      <c r="AI280" s="83">
        <v>6.0357890677479003E-4</v>
      </c>
      <c r="AJ280" s="83">
        <v>2.7519252714019852E-4</v>
      </c>
      <c r="AK280" s="83">
        <v>7.3280629670520623E-3</v>
      </c>
    </row>
    <row r="281" spans="2:37">
      <c r="B281" s="81" t="s">
        <v>113</v>
      </c>
      <c r="C281" s="81" t="s">
        <v>114</v>
      </c>
      <c r="D281" s="83">
        <v>2.802449125091146E-3</v>
      </c>
      <c r="E281" s="83">
        <v>1.5334416050055252E-2</v>
      </c>
      <c r="F281" s="83">
        <v>1.6413685055983597E-2</v>
      </c>
      <c r="G281" s="83">
        <v>1.6283283419184221E-2</v>
      </c>
      <c r="H281" s="83">
        <v>1.6249471325691916E-2</v>
      </c>
      <c r="I281" s="83">
        <v>3.0481121599054424E-2</v>
      </c>
      <c r="J281" s="83">
        <v>5.9804337958650734E-2</v>
      </c>
      <c r="K281" s="83">
        <v>3.2748502165261456E-2</v>
      </c>
      <c r="L281" s="83">
        <v>3.2727970855167522E-2</v>
      </c>
      <c r="M281" s="83">
        <v>2.5600664170290149E-2</v>
      </c>
      <c r="N281" s="83">
        <v>2.5550857269654319E-2</v>
      </c>
      <c r="O281" s="83">
        <v>1.0160245630603111E-2</v>
      </c>
      <c r="P281" s="83">
        <v>7.5328517565769249E-2</v>
      </c>
      <c r="Q281" s="83">
        <v>7.4683515477061993E-2</v>
      </c>
      <c r="R281" s="83">
        <v>7.4530589378866224E-2</v>
      </c>
      <c r="S281" s="83">
        <v>1.6277190620311664E-2</v>
      </c>
      <c r="T281" s="83">
        <v>1.0322446334268955</v>
      </c>
      <c r="U281" s="83">
        <v>1.3138672880570305E-2</v>
      </c>
      <c r="V281" s="83">
        <v>5.0333913645334762E-3</v>
      </c>
      <c r="W281" s="83">
        <v>9.4088004417812662E-3</v>
      </c>
      <c r="X281" s="83">
        <v>5.6356330744116263E-3</v>
      </c>
      <c r="Y281" s="83">
        <v>2.7694672617716822E-2</v>
      </c>
      <c r="Z281" s="83">
        <v>5.3546331165149645E-3</v>
      </c>
      <c r="AA281" s="83">
        <v>5.5573712295109799E-3</v>
      </c>
      <c r="AB281" s="83">
        <v>5.3480163966123564E-3</v>
      </c>
      <c r="AC281" s="83">
        <v>5.34675279174502E-3</v>
      </c>
      <c r="AD281" s="83">
        <v>6.4121714538731417E-3</v>
      </c>
      <c r="AE281" s="83">
        <v>3.3276504388563017E-3</v>
      </c>
      <c r="AF281" s="83">
        <v>1.1517301674807853E-2</v>
      </c>
      <c r="AG281" s="83">
        <v>1.1792051713312436E-2</v>
      </c>
      <c r="AH281" s="83">
        <v>1.4473904024273308E-2</v>
      </c>
      <c r="AI281" s="83">
        <v>1.518917909652296E-2</v>
      </c>
      <c r="AJ281" s="83">
        <v>2.3318577107610372E-2</v>
      </c>
      <c r="AK281" s="83">
        <v>1.6378475036764224E-2</v>
      </c>
    </row>
    <row r="282" spans="2:37">
      <c r="B282" s="81" t="s">
        <v>115</v>
      </c>
      <c r="C282" s="81" t="s">
        <v>116</v>
      </c>
      <c r="D282" s="83">
        <v>6.3752618748156098E-3</v>
      </c>
      <c r="E282" s="83">
        <v>7.8206974838568779E-3</v>
      </c>
      <c r="F282" s="83">
        <v>1.1884077629903534E-2</v>
      </c>
      <c r="G282" s="83">
        <v>1.2751410368271E-2</v>
      </c>
      <c r="H282" s="83">
        <v>1.2661303485145421E-2</v>
      </c>
      <c r="I282" s="83">
        <v>2.3363327765690486E-3</v>
      </c>
      <c r="J282" s="83">
        <v>2.0398294198059091E-2</v>
      </c>
      <c r="K282" s="83">
        <v>5.6456139028440658E-3</v>
      </c>
      <c r="L282" s="83">
        <v>5.6431281849573106E-3</v>
      </c>
      <c r="M282" s="83">
        <v>1.7668443145529063E-2</v>
      </c>
      <c r="N282" s="83">
        <v>1.7647212851192653E-2</v>
      </c>
      <c r="O282" s="83">
        <v>4.8582863657403936E-3</v>
      </c>
      <c r="P282" s="83">
        <v>3.9026520542799746E-3</v>
      </c>
      <c r="Q282" s="83">
        <v>3.8692355102160543E-3</v>
      </c>
      <c r="R282" s="83">
        <v>3.8613126495178297E-3</v>
      </c>
      <c r="S282" s="83">
        <v>3.5559564875662134E-3</v>
      </c>
      <c r="T282" s="83">
        <v>4.5318929883736963E-3</v>
      </c>
      <c r="U282" s="83">
        <v>1.1833770170477436</v>
      </c>
      <c r="V282" s="83">
        <v>1.3214720276093729E-3</v>
      </c>
      <c r="W282" s="83">
        <v>2.1634232727338169E-2</v>
      </c>
      <c r="X282" s="83">
        <v>2.4508687785241897E-2</v>
      </c>
      <c r="Y282" s="83">
        <v>1.7365732213631208E-2</v>
      </c>
      <c r="Z282" s="83">
        <v>7.1051348565247582E-3</v>
      </c>
      <c r="AA282" s="83">
        <v>7.5161236154284152E-3</v>
      </c>
      <c r="AB282" s="83">
        <v>7.2329795283108053E-3</v>
      </c>
      <c r="AC282" s="83">
        <v>7.2410556330449382E-3</v>
      </c>
      <c r="AD282" s="83">
        <v>3.0557005443525498E-3</v>
      </c>
      <c r="AE282" s="83">
        <v>1.0868227995875842E-3</v>
      </c>
      <c r="AF282" s="83">
        <v>4.6720221294454245E-2</v>
      </c>
      <c r="AG282" s="83">
        <v>4.7834751673359606E-2</v>
      </c>
      <c r="AH282" s="83">
        <v>2.7336021011343846E-3</v>
      </c>
      <c r="AI282" s="83">
        <v>3.3530797299168497E-2</v>
      </c>
      <c r="AJ282" s="83">
        <v>6.3460651080718463E-3</v>
      </c>
      <c r="AK282" s="83">
        <v>3.2205038775466037E-2</v>
      </c>
    </row>
    <row r="283" spans="2:37">
      <c r="B283" s="81" t="s">
        <v>117</v>
      </c>
      <c r="C283" s="81" t="s">
        <v>118</v>
      </c>
      <c r="D283" s="83">
        <v>5.0037165693615823E-3</v>
      </c>
      <c r="E283" s="83">
        <v>7.4897068585017606E-3</v>
      </c>
      <c r="F283" s="83">
        <v>1.8453487240073694E-3</v>
      </c>
      <c r="G283" s="83">
        <v>3.0817445923660559E-3</v>
      </c>
      <c r="H283" s="83">
        <v>3.0224231066473119E-3</v>
      </c>
      <c r="I283" s="83">
        <v>3.9018479698176537E-3</v>
      </c>
      <c r="J283" s="83">
        <v>5.9441832228221501E-3</v>
      </c>
      <c r="K283" s="83">
        <v>4.8380671887842328E-3</v>
      </c>
      <c r="L283" s="83">
        <v>4.8358768532609708E-3</v>
      </c>
      <c r="M283" s="83">
        <v>3.7920517586832211E-3</v>
      </c>
      <c r="N283" s="83">
        <v>3.7578725270666778E-3</v>
      </c>
      <c r="O283" s="83">
        <v>5.5770924898965808E-4</v>
      </c>
      <c r="P283" s="83">
        <v>3.3395960039520629E-3</v>
      </c>
      <c r="Q283" s="83">
        <v>3.3110006397049836E-3</v>
      </c>
      <c r="R283" s="83">
        <v>3.3042208516122556E-3</v>
      </c>
      <c r="S283" s="83">
        <v>1.4807842322941509E-3</v>
      </c>
      <c r="T283" s="83">
        <v>2.9161616827987906E-3</v>
      </c>
      <c r="U283" s="83">
        <v>8.1236020306379834E-4</v>
      </c>
      <c r="V283" s="83">
        <v>1.0032077711085019</v>
      </c>
      <c r="W283" s="83">
        <v>2.7472845142782784E-3</v>
      </c>
      <c r="X283" s="83">
        <v>6.0527483680990635E-4</v>
      </c>
      <c r="Y283" s="83">
        <v>1.5094488728695672E-3</v>
      </c>
      <c r="Z283" s="83">
        <v>2.2899253366709814E-3</v>
      </c>
      <c r="AA283" s="83">
        <v>2.364872381657222E-3</v>
      </c>
      <c r="AB283" s="83">
        <v>2.2757839544419764E-3</v>
      </c>
      <c r="AC283" s="83">
        <v>2.2797916434359054E-3</v>
      </c>
      <c r="AD283" s="83">
        <v>3.7426647171429459E-3</v>
      </c>
      <c r="AE283" s="83">
        <v>2.759617928645368E-4</v>
      </c>
      <c r="AF283" s="83">
        <v>1.5842463848895298E-3</v>
      </c>
      <c r="AG283" s="83">
        <v>1.6220392436284183E-3</v>
      </c>
      <c r="AH283" s="83">
        <v>3.1065068499434106E-3</v>
      </c>
      <c r="AI283" s="83">
        <v>6.8957023796467197E-4</v>
      </c>
      <c r="AJ283" s="83">
        <v>1.8456082183023346E-3</v>
      </c>
      <c r="AK283" s="83">
        <v>3.5639627694960606E-3</v>
      </c>
    </row>
    <row r="284" spans="2:37">
      <c r="B284" s="81" t="s">
        <v>119</v>
      </c>
      <c r="C284" s="81" t="s">
        <v>120</v>
      </c>
      <c r="D284" s="83">
        <v>5.386255929375762E-2</v>
      </c>
      <c r="E284" s="83">
        <v>7.0472223398722845E-3</v>
      </c>
      <c r="F284" s="83">
        <v>4.7324746046119463E-2</v>
      </c>
      <c r="G284" s="83">
        <v>2.5225710322151058E-2</v>
      </c>
      <c r="H284" s="83">
        <v>2.4586966609775926E-2</v>
      </c>
      <c r="I284" s="83">
        <v>3.8088328591860763E-3</v>
      </c>
      <c r="J284" s="83">
        <v>6.9441118034598483E-3</v>
      </c>
      <c r="K284" s="83">
        <v>1.4816972816835017E-2</v>
      </c>
      <c r="L284" s="83">
        <v>1.4816237171030375E-2</v>
      </c>
      <c r="M284" s="83">
        <v>8.8823730920700346E-3</v>
      </c>
      <c r="N284" s="83">
        <v>8.8385043548304659E-3</v>
      </c>
      <c r="O284" s="83">
        <v>1.4984286495053062E-2</v>
      </c>
      <c r="P284" s="83">
        <v>1.1596744353166212E-2</v>
      </c>
      <c r="Q284" s="83">
        <v>1.1497446974541137E-2</v>
      </c>
      <c r="R284" s="83">
        <v>1.1473904166013777E-2</v>
      </c>
      <c r="S284" s="83">
        <v>7.2355555379546108E-3</v>
      </c>
      <c r="T284" s="83">
        <v>6.6434980698333816E-3</v>
      </c>
      <c r="U284" s="83">
        <v>1.0604846364518477E-2</v>
      </c>
      <c r="V284" s="83">
        <v>1.7848731839093172E-3</v>
      </c>
      <c r="W284" s="83">
        <v>1.0054856895982907</v>
      </c>
      <c r="X284" s="83">
        <v>1.1176395786411823E-2</v>
      </c>
      <c r="Y284" s="83">
        <v>2.8329092334156616E-2</v>
      </c>
      <c r="Z284" s="83">
        <v>5.0587119072541828E-3</v>
      </c>
      <c r="AA284" s="83">
        <v>5.2944761785934545E-3</v>
      </c>
      <c r="AB284" s="83">
        <v>5.0950250118674874E-3</v>
      </c>
      <c r="AC284" s="83">
        <v>5.1053579869058631E-3</v>
      </c>
      <c r="AD284" s="83">
        <v>4.9953452388728859E-3</v>
      </c>
      <c r="AE284" s="83">
        <v>6.4213566217461023E-4</v>
      </c>
      <c r="AF284" s="83">
        <v>7.429672893561657E-3</v>
      </c>
      <c r="AG284" s="83">
        <v>7.6069108414090515E-3</v>
      </c>
      <c r="AH284" s="83">
        <v>1.4982302619767079E-2</v>
      </c>
      <c r="AI284" s="83">
        <v>8.3623942287739759E-3</v>
      </c>
      <c r="AJ284" s="83">
        <v>1.1198464344419214E-2</v>
      </c>
      <c r="AK284" s="83">
        <v>6.4578234197416691E-3</v>
      </c>
    </row>
    <row r="285" spans="2:37">
      <c r="B285" s="81" t="s">
        <v>121</v>
      </c>
      <c r="C285" s="81" t="s">
        <v>122</v>
      </c>
      <c r="D285" s="83">
        <v>0.21000624061789644</v>
      </c>
      <c r="E285" s="83">
        <v>4.6389541276209902E-2</v>
      </c>
      <c r="F285" s="83">
        <v>0.19014141277085517</v>
      </c>
      <c r="G285" s="83">
        <v>0.12725796702937828</v>
      </c>
      <c r="H285" s="83">
        <v>0.12473240126739975</v>
      </c>
      <c r="I285" s="83">
        <v>2.8075446413582544E-2</v>
      </c>
      <c r="J285" s="83">
        <v>4.288847366823291E-2</v>
      </c>
      <c r="K285" s="83">
        <v>8.4436657944559013E-2</v>
      </c>
      <c r="L285" s="83">
        <v>8.4416819296704179E-2</v>
      </c>
      <c r="M285" s="83">
        <v>4.6093228406855279E-2</v>
      </c>
      <c r="N285" s="83">
        <v>4.5789702928273959E-2</v>
      </c>
      <c r="O285" s="83">
        <v>3.2734165475894722E-2</v>
      </c>
      <c r="P285" s="83">
        <v>4.6691386303048803E-2</v>
      </c>
      <c r="Q285" s="83">
        <v>4.6291590280728372E-2</v>
      </c>
      <c r="R285" s="83">
        <v>4.6196801059362802E-2</v>
      </c>
      <c r="S285" s="83">
        <v>4.0426589817939035E-2</v>
      </c>
      <c r="T285" s="83">
        <v>3.9456617100703077E-2</v>
      </c>
      <c r="U285" s="83">
        <v>6.4612690779875651E-2</v>
      </c>
      <c r="V285" s="83">
        <v>2.2959802903686415E-2</v>
      </c>
      <c r="W285" s="83">
        <v>3.3798847495982304E-2</v>
      </c>
      <c r="X285" s="83">
        <v>1.057172642358905</v>
      </c>
      <c r="Y285" s="83">
        <v>0.11410660316668515</v>
      </c>
      <c r="Z285" s="83">
        <v>4.8686937155735723E-2</v>
      </c>
      <c r="AA285" s="83">
        <v>5.8117065478537774E-2</v>
      </c>
      <c r="AB285" s="83">
        <v>5.5927705072450831E-2</v>
      </c>
      <c r="AC285" s="83">
        <v>5.601428283326982E-2</v>
      </c>
      <c r="AD285" s="83">
        <v>3.3829164350729073E-2</v>
      </c>
      <c r="AE285" s="83">
        <v>2.9969243967000432E-3</v>
      </c>
      <c r="AF285" s="83">
        <v>3.7699025947422228E-2</v>
      </c>
      <c r="AG285" s="83">
        <v>3.8598351946088579E-2</v>
      </c>
      <c r="AH285" s="83">
        <v>6.4212078766107794E-2</v>
      </c>
      <c r="AI285" s="83">
        <v>3.5565106848274949E-2</v>
      </c>
      <c r="AJ285" s="83">
        <v>4.9991268454083554E-2</v>
      </c>
      <c r="AK285" s="83">
        <v>3.0740252012633015E-2</v>
      </c>
    </row>
    <row r="286" spans="2:37">
      <c r="B286" s="81" t="s">
        <v>123</v>
      </c>
      <c r="C286" s="81" t="s">
        <v>124</v>
      </c>
      <c r="D286" s="83">
        <v>1.6263834034444587E-2</v>
      </c>
      <c r="E286" s="83">
        <v>5.320775375231384E-3</v>
      </c>
      <c r="F286" s="83">
        <v>3.2007324445915572E-2</v>
      </c>
      <c r="G286" s="83">
        <v>1.0948241645613014E-2</v>
      </c>
      <c r="H286" s="83">
        <v>1.0747762353854363E-2</v>
      </c>
      <c r="I286" s="83">
        <v>1.325463166849137E-3</v>
      </c>
      <c r="J286" s="83">
        <v>4.605611980416654E-3</v>
      </c>
      <c r="K286" s="83">
        <v>8.2992781466301787E-3</v>
      </c>
      <c r="L286" s="83">
        <v>8.2966304830114149E-3</v>
      </c>
      <c r="M286" s="83">
        <v>5.491108640075024E-3</v>
      </c>
      <c r="N286" s="83">
        <v>5.4573984562056423E-3</v>
      </c>
      <c r="O286" s="83">
        <v>1.2059422600425908E-3</v>
      </c>
      <c r="P286" s="83">
        <v>1.4608172823245367E-3</v>
      </c>
      <c r="Q286" s="83">
        <v>1.4483090022100931E-3</v>
      </c>
      <c r="R286" s="83">
        <v>1.445343364568704E-3</v>
      </c>
      <c r="S286" s="83">
        <v>1.6595825655153914E-3</v>
      </c>
      <c r="T286" s="83">
        <v>2.631248904562821E-3</v>
      </c>
      <c r="U286" s="83">
        <v>6.8545569578555374E-3</v>
      </c>
      <c r="V286" s="83">
        <v>2.4645407823425058E-3</v>
      </c>
      <c r="W286" s="83">
        <v>4.7146089877415764E-3</v>
      </c>
      <c r="X286" s="83">
        <v>1.1032011110426015E-2</v>
      </c>
      <c r="Y286" s="83">
        <v>1.0276312508188865</v>
      </c>
      <c r="Z286" s="83">
        <v>2.889381894629115E-3</v>
      </c>
      <c r="AA286" s="83">
        <v>3.0574574816239482E-3</v>
      </c>
      <c r="AB286" s="83">
        <v>2.9422782946081491E-3</v>
      </c>
      <c r="AC286" s="83">
        <v>2.9501312861774931E-3</v>
      </c>
      <c r="AD286" s="83">
        <v>3.7748910940867998E-3</v>
      </c>
      <c r="AE286" s="83">
        <v>3.7161723388365628E-3</v>
      </c>
      <c r="AF286" s="83">
        <v>7.4659366619603896E-3</v>
      </c>
      <c r="AG286" s="83">
        <v>7.6440396971385769E-3</v>
      </c>
      <c r="AH286" s="83">
        <v>1.7507532401073111E-2</v>
      </c>
      <c r="AI286" s="83">
        <v>7.0717859933101587E-3</v>
      </c>
      <c r="AJ286" s="83">
        <v>9.3772150976621383E-3</v>
      </c>
      <c r="AK286" s="83">
        <v>6.2156953480056775E-3</v>
      </c>
    </row>
    <row r="287" spans="2:37">
      <c r="B287" s="81" t="s">
        <v>125</v>
      </c>
      <c r="C287" s="81" t="s">
        <v>126</v>
      </c>
      <c r="D287" s="83">
        <v>1.7720689443119476E-2</v>
      </c>
      <c r="E287" s="83">
        <v>2.5237351190277604E-2</v>
      </c>
      <c r="F287" s="83">
        <v>2.2551145909922802E-2</v>
      </c>
      <c r="G287" s="83">
        <v>3.5368359906684584E-2</v>
      </c>
      <c r="H287" s="83">
        <v>3.5143701191427019E-2</v>
      </c>
      <c r="I287" s="83">
        <v>1.2926093054499634E-2</v>
      </c>
      <c r="J287" s="83">
        <v>1.9078114957250456E-2</v>
      </c>
      <c r="K287" s="83">
        <v>2.3352894799298668E-2</v>
      </c>
      <c r="L287" s="83">
        <v>2.334107471679232E-2</v>
      </c>
      <c r="M287" s="83">
        <v>3.0329864983876478E-2</v>
      </c>
      <c r="N287" s="83">
        <v>3.0223564472832851E-2</v>
      </c>
      <c r="O287" s="83">
        <v>1.7181730596398308E-2</v>
      </c>
      <c r="P287" s="83">
        <v>7.8220343912963879E-3</v>
      </c>
      <c r="Q287" s="83">
        <v>7.7550580497545403E-3</v>
      </c>
      <c r="R287" s="83">
        <v>7.7391783638392029E-3</v>
      </c>
      <c r="S287" s="83">
        <v>2.381660732494903E-2</v>
      </c>
      <c r="T287" s="83">
        <v>2.2982081203354456E-2</v>
      </c>
      <c r="U287" s="83">
        <v>2.3025357982905909E-2</v>
      </c>
      <c r="V287" s="83">
        <v>8.7778937249739335E-3</v>
      </c>
      <c r="W287" s="83">
        <v>1.3986187147229243E-2</v>
      </c>
      <c r="X287" s="83">
        <v>1.0231494497875004E-2</v>
      </c>
      <c r="Y287" s="83">
        <v>1.4138985862003942E-2</v>
      </c>
      <c r="Z287" s="83">
        <v>1.0215272525848358</v>
      </c>
      <c r="AA287" s="83">
        <v>2.2284350481719936E-2</v>
      </c>
      <c r="AB287" s="83">
        <v>2.1444864278858198E-2</v>
      </c>
      <c r="AC287" s="83">
        <v>2.1475276235157319E-2</v>
      </c>
      <c r="AD287" s="83">
        <v>1.2524844439384463E-2</v>
      </c>
      <c r="AE287" s="83">
        <v>1.0172019976814595E-3</v>
      </c>
      <c r="AF287" s="83">
        <v>8.5331656241255036E-3</v>
      </c>
      <c r="AG287" s="83">
        <v>8.7367278516325367E-3</v>
      </c>
      <c r="AH287" s="83">
        <v>9.8058209828743095E-3</v>
      </c>
      <c r="AI287" s="83">
        <v>6.2066151719590229E-3</v>
      </c>
      <c r="AJ287" s="83">
        <v>1.1477921120476535E-2</v>
      </c>
      <c r="AK287" s="83">
        <v>1.3919199217326192E-2</v>
      </c>
    </row>
    <row r="288" spans="2:37">
      <c r="B288" s="81" t="s">
        <v>127</v>
      </c>
      <c r="C288" s="81" t="s">
        <v>128</v>
      </c>
      <c r="D288" s="83">
        <v>1.5520558060217889E-4</v>
      </c>
      <c r="E288" s="83">
        <v>2.1956504355136915E-4</v>
      </c>
      <c r="F288" s="83">
        <v>1.9706360730332976E-4</v>
      </c>
      <c r="G288" s="83">
        <v>3.0802980596606112E-4</v>
      </c>
      <c r="H288" s="83">
        <v>3.0606308015265288E-4</v>
      </c>
      <c r="I288" s="83">
        <v>1.1246127562415836E-4</v>
      </c>
      <c r="J288" s="83">
        <v>1.6601389423090518E-4</v>
      </c>
      <c r="K288" s="83">
        <v>2.0334589278729704E-4</v>
      </c>
      <c r="L288" s="83">
        <v>2.0324311232883922E-4</v>
      </c>
      <c r="M288" s="83">
        <v>2.6387867732621947E-4</v>
      </c>
      <c r="N288" s="83">
        <v>2.6295356219759557E-4</v>
      </c>
      <c r="O288" s="83">
        <v>1.4969676550963918E-4</v>
      </c>
      <c r="P288" s="83">
        <v>6.8250990972974746E-5</v>
      </c>
      <c r="Q288" s="83">
        <v>6.7666590361407532E-5</v>
      </c>
      <c r="R288" s="83">
        <v>6.7528032507293672E-5</v>
      </c>
      <c r="S288" s="83">
        <v>2.0721695271233464E-4</v>
      </c>
      <c r="T288" s="83">
        <v>1.9994897191339338E-4</v>
      </c>
      <c r="U288" s="83">
        <v>2.004090863937103E-4</v>
      </c>
      <c r="V288" s="83">
        <v>7.6353601571213978E-5</v>
      </c>
      <c r="W288" s="83">
        <v>1.4288344000426149E-4</v>
      </c>
      <c r="X288" s="83">
        <v>8.9190159984464673E-5</v>
      </c>
      <c r="Y288" s="83">
        <v>1.2352537385835978E-4</v>
      </c>
      <c r="Z288" s="83">
        <v>1.872670079631907E-4</v>
      </c>
      <c r="AA288" s="83">
        <v>1.0001938542778872</v>
      </c>
      <c r="AB288" s="83">
        <v>1.8655148520370493E-4</v>
      </c>
      <c r="AC288" s="83">
        <v>1.8681610829988021E-4</v>
      </c>
      <c r="AD288" s="83">
        <v>1.089979018465934E-4</v>
      </c>
      <c r="AE288" s="83">
        <v>8.8572418326595818E-6</v>
      </c>
      <c r="AF288" s="83">
        <v>7.4345413975820387E-5</v>
      </c>
      <c r="AG288" s="83">
        <v>7.6118954856248396E-5</v>
      </c>
      <c r="AH288" s="83">
        <v>8.5569886747792904E-5</v>
      </c>
      <c r="AI288" s="83">
        <v>5.4137916115118709E-5</v>
      </c>
      <c r="AJ288" s="83">
        <v>1.0002717490628856E-4</v>
      </c>
      <c r="AK288" s="83">
        <v>1.2115151138986155E-4</v>
      </c>
    </row>
    <row r="289" spans="2:37">
      <c r="B289" s="81" t="s">
        <v>129</v>
      </c>
      <c r="C289" s="81" t="s">
        <v>130</v>
      </c>
      <c r="D289" s="83">
        <v>9.2435280959928575E-4</v>
      </c>
      <c r="E289" s="83">
        <v>1.30765636202677E-3</v>
      </c>
      <c r="F289" s="83">
        <v>1.173645292739214E-3</v>
      </c>
      <c r="G289" s="83">
        <v>1.8345230595468447E-3</v>
      </c>
      <c r="H289" s="83">
        <v>1.8228098948250401E-3</v>
      </c>
      <c r="I289" s="83">
        <v>6.6978194785897755E-4</v>
      </c>
      <c r="J289" s="83">
        <v>9.8872353023305055E-4</v>
      </c>
      <c r="K289" s="83">
        <v>1.2110604953065453E-3</v>
      </c>
      <c r="L289" s="83">
        <v>1.2104483690854454E-3</v>
      </c>
      <c r="M289" s="83">
        <v>1.5715736240505438E-3</v>
      </c>
      <c r="N289" s="83">
        <v>1.5660639460800174E-3</v>
      </c>
      <c r="O289" s="83">
        <v>8.915441393917144E-4</v>
      </c>
      <c r="P289" s="83">
        <v>4.0648019883712377E-4</v>
      </c>
      <c r="Q289" s="83">
        <v>4.029997031929743E-4</v>
      </c>
      <c r="R289" s="83">
        <v>4.0217449870454396E-4</v>
      </c>
      <c r="S289" s="83">
        <v>1.2341152405286671E-3</v>
      </c>
      <c r="T289" s="83">
        <v>1.1908295645526536E-3</v>
      </c>
      <c r="U289" s="83">
        <v>1.1935698533423224E-3</v>
      </c>
      <c r="V289" s="83">
        <v>4.5473665226175179E-4</v>
      </c>
      <c r="W289" s="83">
        <v>8.5096623910504543E-4</v>
      </c>
      <c r="X289" s="83">
        <v>5.3118692414525414E-4</v>
      </c>
      <c r="Y289" s="83">
        <v>7.3567603651729927E-4</v>
      </c>
      <c r="Z289" s="83">
        <v>1.1153000058658862E-3</v>
      </c>
      <c r="AA289" s="83">
        <v>1.1545315943056959E-3</v>
      </c>
      <c r="AB289" s="83">
        <v>1.0011110385903259</v>
      </c>
      <c r="AC289" s="83">
        <v>1.112614597461039E-3</v>
      </c>
      <c r="AD289" s="83">
        <v>6.4915524571615478E-4</v>
      </c>
      <c r="AE289" s="83">
        <v>5.2750786032008845E-5</v>
      </c>
      <c r="AF289" s="83">
        <v>4.4277655495853348E-4</v>
      </c>
      <c r="AG289" s="83">
        <v>4.533391744816343E-4</v>
      </c>
      <c r="AH289" s="83">
        <v>5.0962578101592542E-4</v>
      </c>
      <c r="AI289" s="83">
        <v>3.2242741963724343E-4</v>
      </c>
      <c r="AJ289" s="83">
        <v>5.9572858013334546E-4</v>
      </c>
      <c r="AK289" s="83">
        <v>7.2153810131003803E-4</v>
      </c>
    </row>
    <row r="290" spans="2:37">
      <c r="B290" s="81" t="s">
        <v>131</v>
      </c>
      <c r="C290" s="81" t="s">
        <v>132</v>
      </c>
      <c r="D290" s="83">
        <v>5.4342939824302688E-3</v>
      </c>
      <c r="E290" s="83">
        <v>7.6877454424888669E-3</v>
      </c>
      <c r="F290" s="83">
        <v>6.8998909135194767E-3</v>
      </c>
      <c r="G290" s="83">
        <v>1.0785208331272019E-2</v>
      </c>
      <c r="H290" s="83">
        <v>1.0716346334097475E-2</v>
      </c>
      <c r="I290" s="83">
        <v>3.9376653275585488E-3</v>
      </c>
      <c r="J290" s="83">
        <v>5.8127311074673942E-3</v>
      </c>
      <c r="K290" s="83">
        <v>7.1198558533687928E-3</v>
      </c>
      <c r="L290" s="83">
        <v>7.1162571475442259E-3</v>
      </c>
      <c r="M290" s="83">
        <v>9.2393218254254051E-3</v>
      </c>
      <c r="N290" s="83">
        <v>9.2069302866866938E-3</v>
      </c>
      <c r="O290" s="83">
        <v>5.2414109650054915E-3</v>
      </c>
      <c r="P290" s="83">
        <v>2.389707561418263E-3</v>
      </c>
      <c r="Q290" s="83">
        <v>2.3692456378556831E-3</v>
      </c>
      <c r="R290" s="83">
        <v>2.3643942394078348E-3</v>
      </c>
      <c r="S290" s="83">
        <v>7.2553952945063459E-3</v>
      </c>
      <c r="T290" s="83">
        <v>7.0009176902419788E-3</v>
      </c>
      <c r="U290" s="83">
        <v>7.0170279186365673E-3</v>
      </c>
      <c r="V290" s="83">
        <v>2.6734084943689203E-3</v>
      </c>
      <c r="W290" s="83">
        <v>5.0028524437811892E-3</v>
      </c>
      <c r="X290" s="83">
        <v>3.1228616124178306E-3</v>
      </c>
      <c r="Y290" s="83">
        <v>4.3250583724597736E-3</v>
      </c>
      <c r="Z290" s="83">
        <v>6.5568774687976899E-3</v>
      </c>
      <c r="AA290" s="83">
        <v>6.7875209879881999E-3</v>
      </c>
      <c r="AB290" s="83">
        <v>6.5318244970483602E-3</v>
      </c>
      <c r="AC290" s="83">
        <v>1.0065410898835989</v>
      </c>
      <c r="AD290" s="83">
        <v>3.8164004142396762E-3</v>
      </c>
      <c r="AE290" s="83">
        <v>3.1012323014032009E-4</v>
      </c>
      <c r="AF290" s="83">
        <v>2.6030947741863273E-3</v>
      </c>
      <c r="AG290" s="83">
        <v>2.6651926864953422E-3</v>
      </c>
      <c r="AH290" s="83">
        <v>2.9961030964645724E-3</v>
      </c>
      <c r="AI290" s="83">
        <v>1.8955591069872589E-3</v>
      </c>
      <c r="AJ290" s="83">
        <v>3.5023036708070046E-3</v>
      </c>
      <c r="AK290" s="83">
        <v>4.2419410871300262E-3</v>
      </c>
    </row>
    <row r="291" spans="2:37">
      <c r="B291" s="81" t="s">
        <v>133</v>
      </c>
      <c r="C291" s="81" t="s">
        <v>134</v>
      </c>
      <c r="D291" s="83">
        <v>1.0869860291222498E-2</v>
      </c>
      <c r="E291" s="83">
        <v>1.9503136069989595E-2</v>
      </c>
      <c r="F291" s="83">
        <v>2.4633303409186676E-2</v>
      </c>
      <c r="G291" s="83">
        <v>3.3540378097485002E-2</v>
      </c>
      <c r="H291" s="83">
        <v>3.3379404495761211E-2</v>
      </c>
      <c r="I291" s="83">
        <v>7.5664359361269301E-3</v>
      </c>
      <c r="J291" s="83">
        <v>1.6232655707739921E-2</v>
      </c>
      <c r="K291" s="83">
        <v>2.7683674948571109E-2</v>
      </c>
      <c r="L291" s="83">
        <v>2.7667822073922984E-2</v>
      </c>
      <c r="M291" s="83">
        <v>6.3517074765862325E-2</v>
      </c>
      <c r="N291" s="83">
        <v>5.3555007364240036E-2</v>
      </c>
      <c r="O291" s="83">
        <v>9.0610835185536854E-3</v>
      </c>
      <c r="P291" s="83">
        <v>8.0885010111955685E-3</v>
      </c>
      <c r="Q291" s="83">
        <v>8.0192430433592317E-3</v>
      </c>
      <c r="R291" s="83">
        <v>8.0028223976347755E-3</v>
      </c>
      <c r="S291" s="83">
        <v>1.4855581782200268E-2</v>
      </c>
      <c r="T291" s="83">
        <v>1.4078090351606624E-2</v>
      </c>
      <c r="U291" s="83">
        <v>2.7872533204370987E-2</v>
      </c>
      <c r="V291" s="83">
        <v>5.6966496653935248E-3</v>
      </c>
      <c r="W291" s="83">
        <v>1.8031511127159127E-2</v>
      </c>
      <c r="X291" s="83">
        <v>1.0872320083185659E-2</v>
      </c>
      <c r="Y291" s="83">
        <v>1.7068474946714315E-2</v>
      </c>
      <c r="Z291" s="83">
        <v>1.7465479322141226E-2</v>
      </c>
      <c r="AA291" s="83">
        <v>1.8089340018272591E-2</v>
      </c>
      <c r="AB291" s="83">
        <v>1.7407886395620607E-2</v>
      </c>
      <c r="AC291" s="83">
        <v>1.7438453738422854E-2</v>
      </c>
      <c r="AD291" s="83">
        <v>1.04113102283908</v>
      </c>
      <c r="AE291" s="83">
        <v>2.1522490681746809E-3</v>
      </c>
      <c r="AF291" s="83">
        <v>3.6987025738724033E-2</v>
      </c>
      <c r="AG291" s="83">
        <v>3.7869366675239761E-2</v>
      </c>
      <c r="AH291" s="83">
        <v>3.238263553490954E-2</v>
      </c>
      <c r="AI291" s="83">
        <v>5.8661490335473413E-3</v>
      </c>
      <c r="AJ291" s="83">
        <v>1.0043015389704481E-2</v>
      </c>
      <c r="AK291" s="83">
        <v>4.415104931091561E-2</v>
      </c>
    </row>
    <row r="292" spans="2:37">
      <c r="B292" s="81" t="s">
        <v>135</v>
      </c>
      <c r="C292" s="81" t="s">
        <v>136</v>
      </c>
      <c r="D292" s="83">
        <v>1.4478995622966992E-2</v>
      </c>
      <c r="E292" s="83">
        <v>3.3181728378607306E-2</v>
      </c>
      <c r="F292" s="83">
        <v>0.12857808945409691</v>
      </c>
      <c r="G292" s="83">
        <v>2.6908659927936337E-2</v>
      </c>
      <c r="H292" s="83">
        <v>2.6814588671676454E-2</v>
      </c>
      <c r="I292" s="83">
        <v>2.3444690457431572E-2</v>
      </c>
      <c r="J292" s="83">
        <v>8.5878069618457786E-2</v>
      </c>
      <c r="K292" s="83">
        <v>3.6864305639944452E-2</v>
      </c>
      <c r="L292" s="83">
        <v>3.6843329544914941E-2</v>
      </c>
      <c r="M292" s="83">
        <v>3.9198969443744715E-2</v>
      </c>
      <c r="N292" s="83">
        <v>3.8523321712587905E-2</v>
      </c>
      <c r="O292" s="83">
        <v>7.1530322095898838E-3</v>
      </c>
      <c r="P292" s="83">
        <v>4.4149406962639311E-2</v>
      </c>
      <c r="Q292" s="83">
        <v>4.3771376694338782E-2</v>
      </c>
      <c r="R292" s="83">
        <v>4.3681748001744798E-2</v>
      </c>
      <c r="S292" s="83">
        <v>6.5909773984469941E-2</v>
      </c>
      <c r="T292" s="83">
        <v>6.1793616592148076E-2</v>
      </c>
      <c r="U292" s="83">
        <v>1.5096308026693756E-2</v>
      </c>
      <c r="V292" s="83">
        <v>8.6986125131117351E-2</v>
      </c>
      <c r="W292" s="83">
        <v>7.0485778906333119E-2</v>
      </c>
      <c r="X292" s="83">
        <v>2.4650970053949194E-2</v>
      </c>
      <c r="Y292" s="83">
        <v>0.11212799982250933</v>
      </c>
      <c r="Z292" s="83">
        <v>0.10343266289500336</v>
      </c>
      <c r="AA292" s="83">
        <v>0.10697658962839719</v>
      </c>
      <c r="AB292" s="83">
        <v>0.10294661482182144</v>
      </c>
      <c r="AC292" s="83">
        <v>0.10303335351630533</v>
      </c>
      <c r="AD292" s="83">
        <v>7.2277138417933207E-2</v>
      </c>
      <c r="AE292" s="83">
        <v>5.5705969857851052</v>
      </c>
      <c r="AF292" s="83">
        <v>7.1973044933567334E-2</v>
      </c>
      <c r="AG292" s="83">
        <v>7.368999196032118E-2</v>
      </c>
      <c r="AH292" s="83">
        <v>4.9265098381042642E-2</v>
      </c>
      <c r="AI292" s="83">
        <v>3.682753682171537E-2</v>
      </c>
      <c r="AJ292" s="83">
        <v>1.1903730420744241E-2</v>
      </c>
      <c r="AK292" s="83">
        <v>0.19493314241798418</v>
      </c>
    </row>
    <row r="293" spans="2:37">
      <c r="B293" s="81" t="s">
        <v>137</v>
      </c>
      <c r="C293" s="81" t="s">
        <v>138</v>
      </c>
      <c r="D293" s="83">
        <v>4.4171614658128277E-3</v>
      </c>
      <c r="E293" s="83">
        <v>7.5931040850428538E-2</v>
      </c>
      <c r="F293" s="83">
        <v>1.7462736036188604E-2</v>
      </c>
      <c r="G293" s="83">
        <v>2.4435912270136396E-2</v>
      </c>
      <c r="H293" s="83">
        <v>2.4359478863955199E-2</v>
      </c>
      <c r="I293" s="83">
        <v>7.1858293855632987E-3</v>
      </c>
      <c r="J293" s="83">
        <v>5.3776866655888475E-2</v>
      </c>
      <c r="K293" s="83">
        <v>1.8337482188218346E-2</v>
      </c>
      <c r="L293" s="83">
        <v>1.8327693622551239E-2</v>
      </c>
      <c r="M293" s="83">
        <v>3.5277582643467705E-2</v>
      </c>
      <c r="N293" s="83">
        <v>3.5188701759250977E-2</v>
      </c>
      <c r="O293" s="83">
        <v>5.4949555140603725E-3</v>
      </c>
      <c r="P293" s="83">
        <v>1.1365881871834045E-2</v>
      </c>
      <c r="Q293" s="83">
        <v>1.1268561258283896E-2</v>
      </c>
      <c r="R293" s="83">
        <v>1.1245487128812291E-2</v>
      </c>
      <c r="S293" s="83">
        <v>1.1756305002185278E-2</v>
      </c>
      <c r="T293" s="83">
        <v>8.8515003616121864E-3</v>
      </c>
      <c r="U293" s="83">
        <v>9.0058850806391082E-3</v>
      </c>
      <c r="V293" s="83">
        <v>4.6564865970142501E-3</v>
      </c>
      <c r="W293" s="83">
        <v>2.0483198720353767E-2</v>
      </c>
      <c r="X293" s="83">
        <v>8.1436903931274632E-3</v>
      </c>
      <c r="Y293" s="83">
        <v>2.9394876609187607E-2</v>
      </c>
      <c r="Z293" s="83">
        <v>2.3891372178778767E-2</v>
      </c>
      <c r="AA293" s="83">
        <v>2.4717224970866442E-2</v>
      </c>
      <c r="AB293" s="83">
        <v>2.3786088595449464E-2</v>
      </c>
      <c r="AC293" s="83">
        <v>2.3813059281222185E-2</v>
      </c>
      <c r="AD293" s="83">
        <v>1.0945805709026438E-2</v>
      </c>
      <c r="AE293" s="83">
        <v>2.8288668211253848E-4</v>
      </c>
      <c r="AF293" s="83">
        <v>1.0377514327851245</v>
      </c>
      <c r="AG293" s="83">
        <v>3.8652008970777377E-2</v>
      </c>
      <c r="AH293" s="83">
        <v>3.95180677682112E-3</v>
      </c>
      <c r="AI293" s="83">
        <v>1.0284286461507705E-2</v>
      </c>
      <c r="AJ293" s="83">
        <v>2.0095279772757726E-2</v>
      </c>
      <c r="AK293" s="83">
        <v>4.063087118348091E-2</v>
      </c>
    </row>
    <row r="294" spans="2:37">
      <c r="B294" s="81" t="s">
        <v>139</v>
      </c>
      <c r="C294" s="81" t="s">
        <v>140</v>
      </c>
      <c r="D294" s="83">
        <v>3.3509755331390095E-3</v>
      </c>
      <c r="E294" s="83">
        <v>6.3205906502801557E-2</v>
      </c>
      <c r="F294" s="83">
        <v>1.3261877629666382E-2</v>
      </c>
      <c r="G294" s="83">
        <v>1.8531836328565688E-2</v>
      </c>
      <c r="H294" s="83">
        <v>1.8474223010501757E-2</v>
      </c>
      <c r="I294" s="83">
        <v>5.4599469104238954E-3</v>
      </c>
      <c r="J294" s="83">
        <v>4.074869945103473E-2</v>
      </c>
      <c r="K294" s="83">
        <v>1.4469725200850768E-2</v>
      </c>
      <c r="L294" s="83">
        <v>1.4462040196769622E-2</v>
      </c>
      <c r="M294" s="83">
        <v>2.6884235027088629E-2</v>
      </c>
      <c r="N294" s="83">
        <v>2.6816866498580505E-2</v>
      </c>
      <c r="O294" s="83">
        <v>4.2429068602188105E-3</v>
      </c>
      <c r="P294" s="83">
        <v>8.8081411742524946E-3</v>
      </c>
      <c r="Q294" s="83">
        <v>8.7327212716896158E-3</v>
      </c>
      <c r="R294" s="83">
        <v>8.7148396684712769E-3</v>
      </c>
      <c r="S294" s="83">
        <v>9.1138101484461928E-3</v>
      </c>
      <c r="T294" s="83">
        <v>7.0750108038771069E-3</v>
      </c>
      <c r="U294" s="83">
        <v>6.8928604602792104E-3</v>
      </c>
      <c r="V294" s="83">
        <v>3.5815227788651306E-3</v>
      </c>
      <c r="W294" s="83">
        <v>1.5521332846144693E-2</v>
      </c>
      <c r="X294" s="83">
        <v>6.1788217343268911E-3</v>
      </c>
      <c r="Y294" s="83">
        <v>2.2276604019496042E-2</v>
      </c>
      <c r="Z294" s="83">
        <v>1.8111780238795387E-2</v>
      </c>
      <c r="AA294" s="83">
        <v>1.8737285499887211E-2</v>
      </c>
      <c r="AB294" s="83">
        <v>1.8031422761408962E-2</v>
      </c>
      <c r="AC294" s="83">
        <v>1.8052220177157945E-2</v>
      </c>
      <c r="AD294" s="83">
        <v>8.3034546991385266E-3</v>
      </c>
      <c r="AE294" s="83">
        <v>2.1582910400359831E-4</v>
      </c>
      <c r="AF294" s="83">
        <v>3.2186061526204367E-2</v>
      </c>
      <c r="AG294" s="83">
        <v>1.0329538734576198</v>
      </c>
      <c r="AH294" s="83">
        <v>3.0176335531444847E-3</v>
      </c>
      <c r="AI294" s="83">
        <v>7.8518211591652402E-3</v>
      </c>
      <c r="AJ294" s="83">
        <v>1.5227450022081068E-2</v>
      </c>
      <c r="AK294" s="83">
        <v>3.078011058723381E-2</v>
      </c>
    </row>
    <row r="295" spans="2:37">
      <c r="B295" s="81" t="s">
        <v>141</v>
      </c>
      <c r="C295" s="81" t="s">
        <v>142</v>
      </c>
      <c r="D295" s="83">
        <v>6.4863810705475481E-5</v>
      </c>
      <c r="E295" s="83">
        <v>4.8534680673554127E-4</v>
      </c>
      <c r="F295" s="83">
        <v>1.9268610955862822E-4</v>
      </c>
      <c r="G295" s="83">
        <v>1.8558671305638782E-4</v>
      </c>
      <c r="H295" s="83">
        <v>1.846649246499394E-4</v>
      </c>
      <c r="I295" s="83">
        <v>5.4421292357808501E-5</v>
      </c>
      <c r="J295" s="83">
        <v>3.4287514957624421E-4</v>
      </c>
      <c r="K295" s="83">
        <v>1.4393629945067386E-4</v>
      </c>
      <c r="L295" s="83">
        <v>1.4386232974830849E-4</v>
      </c>
      <c r="M295" s="83">
        <v>6.6384710014819517E-3</v>
      </c>
      <c r="N295" s="83">
        <v>6.6397304913572448E-3</v>
      </c>
      <c r="O295" s="83">
        <v>4.4227985742898002E-5</v>
      </c>
      <c r="P295" s="83">
        <v>1.4456067214992582E-4</v>
      </c>
      <c r="Q295" s="83">
        <v>1.4332286821464851E-4</v>
      </c>
      <c r="R295" s="83">
        <v>1.4302939238027836E-4</v>
      </c>
      <c r="S295" s="83">
        <v>9.394740688712382E-5</v>
      </c>
      <c r="T295" s="83">
        <v>1.3511987488047777E-4</v>
      </c>
      <c r="U295" s="83">
        <v>5.5310795674446106E-4</v>
      </c>
      <c r="V295" s="83">
        <v>3.8784945066687858E-5</v>
      </c>
      <c r="W295" s="83">
        <v>2.3827309445016072E-4</v>
      </c>
      <c r="X295" s="83">
        <v>1.5560767127858132E-4</v>
      </c>
      <c r="Y295" s="83">
        <v>6.9354993522884913E-4</v>
      </c>
      <c r="Z295" s="83">
        <v>2.2902698291448384E-4</v>
      </c>
      <c r="AA295" s="83">
        <v>2.3757273706266713E-4</v>
      </c>
      <c r="AB295" s="83">
        <v>2.2862300190642829E-4</v>
      </c>
      <c r="AC295" s="83">
        <v>2.2884389097522733E-4</v>
      </c>
      <c r="AD295" s="83">
        <v>1.8563853644831187E-4</v>
      </c>
      <c r="AE295" s="83">
        <v>5.3449533903569068E-6</v>
      </c>
      <c r="AF295" s="83">
        <v>3.5644843936206618E-3</v>
      </c>
      <c r="AG295" s="83">
        <v>3.6495166565627883E-3</v>
      </c>
      <c r="AH295" s="83">
        <v>1.0018427246245449</v>
      </c>
      <c r="AI295" s="83">
        <v>9.01647282500703E-5</v>
      </c>
      <c r="AJ295" s="83">
        <v>1.3942456540291229E-4</v>
      </c>
      <c r="AK295" s="83">
        <v>7.92578600128751E-4</v>
      </c>
    </row>
    <row r="296" spans="2:37">
      <c r="B296" s="81" t="s">
        <v>143</v>
      </c>
      <c r="C296" s="81" t="s">
        <v>144</v>
      </c>
      <c r="D296" s="83">
        <v>2.6413827871087157E-4</v>
      </c>
      <c r="E296" s="83">
        <v>6.3524135521815788E-4</v>
      </c>
      <c r="F296" s="83">
        <v>2.5889250310894541E-3</v>
      </c>
      <c r="G296" s="83">
        <v>3.9242231071964063E-4</v>
      </c>
      <c r="H296" s="83">
        <v>3.8972892233341894E-4</v>
      </c>
      <c r="I296" s="83">
        <v>1.8826782873028125E-4</v>
      </c>
      <c r="J296" s="83">
        <v>5.8820701442192924E-4</v>
      </c>
      <c r="K296" s="83">
        <v>1.4302726067144196E-3</v>
      </c>
      <c r="L296" s="83">
        <v>1.4293983226282901E-3</v>
      </c>
      <c r="M296" s="83">
        <v>4.872768921391144E-4</v>
      </c>
      <c r="N296" s="83">
        <v>4.7489520742787953E-4</v>
      </c>
      <c r="O296" s="83">
        <v>1.230859105908422E-4</v>
      </c>
      <c r="P296" s="83">
        <v>8.5028244948698248E-3</v>
      </c>
      <c r="Q296" s="83">
        <v>8.4300188730903371E-3</v>
      </c>
      <c r="R296" s="83">
        <v>8.4127571000505424E-3</v>
      </c>
      <c r="S296" s="83">
        <v>5.6494869247629875E-4</v>
      </c>
      <c r="T296" s="83">
        <v>2.7377528473539522E-3</v>
      </c>
      <c r="U296" s="83">
        <v>4.5030041166923537E-4</v>
      </c>
      <c r="V296" s="83">
        <v>1.3704925619195327E-4</v>
      </c>
      <c r="W296" s="83">
        <v>5.3804198083915518E-4</v>
      </c>
      <c r="X296" s="83">
        <v>7.7833113748553408E-4</v>
      </c>
      <c r="Y296" s="83">
        <v>1.3278499325828994E-3</v>
      </c>
      <c r="Z296" s="83">
        <v>7.047535159804937E-4</v>
      </c>
      <c r="AA296" s="83">
        <v>7.3463272661970531E-4</v>
      </c>
      <c r="AB296" s="83">
        <v>7.0695796721068332E-4</v>
      </c>
      <c r="AC296" s="83">
        <v>7.0518597373968859E-4</v>
      </c>
      <c r="AD296" s="83">
        <v>1.3134956416407807E-3</v>
      </c>
      <c r="AE296" s="83">
        <v>6.6720312957238115E-4</v>
      </c>
      <c r="AF296" s="83">
        <v>3.7161318956013597E-3</v>
      </c>
      <c r="AG296" s="83">
        <v>3.8047817729973533E-3</v>
      </c>
      <c r="AH296" s="83">
        <v>4.3836488351244717E-3</v>
      </c>
      <c r="AI296" s="83">
        <v>1.0131376335393325</v>
      </c>
      <c r="AJ296" s="83">
        <v>2.5213411960007598E-3</v>
      </c>
      <c r="AK296" s="83">
        <v>4.6406924180003705E-3</v>
      </c>
    </row>
    <row r="297" spans="2:37">
      <c r="B297" s="81" t="s">
        <v>145</v>
      </c>
      <c r="C297" s="81" t="s">
        <v>146</v>
      </c>
      <c r="D297" s="83">
        <v>6.0717823398185214E-5</v>
      </c>
      <c r="E297" s="83">
        <v>5.4529770179399752E-4</v>
      </c>
      <c r="F297" s="83">
        <v>4.5503887167329377E-4</v>
      </c>
      <c r="G297" s="83">
        <v>5.9530350237965908E-4</v>
      </c>
      <c r="H297" s="83">
        <v>5.9358580342530273E-4</v>
      </c>
      <c r="I297" s="83">
        <v>7.7739328952851106E-5</v>
      </c>
      <c r="J297" s="83">
        <v>5.5742639135131211E-4</v>
      </c>
      <c r="K297" s="83">
        <v>1.166996658705777E-3</v>
      </c>
      <c r="L297" s="83">
        <v>1.1662586366425662E-3</v>
      </c>
      <c r="M297" s="83">
        <v>5.4084507398358659E-4</v>
      </c>
      <c r="N297" s="83">
        <v>5.3996929647368019E-4</v>
      </c>
      <c r="O297" s="83">
        <v>3.4891371298534496E-5</v>
      </c>
      <c r="P297" s="83">
        <v>8.1481812432271123E-4</v>
      </c>
      <c r="Q297" s="83">
        <v>8.0784122620912229E-4</v>
      </c>
      <c r="R297" s="83">
        <v>8.0618704582008653E-4</v>
      </c>
      <c r="S297" s="83">
        <v>8.0269822871071466E-5</v>
      </c>
      <c r="T297" s="83">
        <v>5.7255702913206364E-4</v>
      </c>
      <c r="U297" s="83">
        <v>4.1432321801250028E-4</v>
      </c>
      <c r="V297" s="83">
        <v>7.4001199510446427E-4</v>
      </c>
      <c r="W297" s="83">
        <v>3.1650022400795243E-4</v>
      </c>
      <c r="X297" s="83">
        <v>1.0820886757426394E-4</v>
      </c>
      <c r="Y297" s="83">
        <v>4.1014302973982206E-4</v>
      </c>
      <c r="Z297" s="83">
        <v>2.6172740417564338E-4</v>
      </c>
      <c r="AA297" s="83">
        <v>2.7000372424505477E-4</v>
      </c>
      <c r="AB297" s="83">
        <v>2.5983226327243471E-4</v>
      </c>
      <c r="AC297" s="83">
        <v>2.6058057814536795E-4</v>
      </c>
      <c r="AD297" s="83">
        <v>1.1707751102142931E-4</v>
      </c>
      <c r="AE297" s="83">
        <v>4.340894767034621E-5</v>
      </c>
      <c r="AF297" s="83">
        <v>4.8690095749667409E-4</v>
      </c>
      <c r="AG297" s="83">
        <v>4.9851618305881394E-4</v>
      </c>
      <c r="AH297" s="83">
        <v>2.9770300180193233E-3</v>
      </c>
      <c r="AI297" s="83">
        <v>8.7100537934463387E-3</v>
      </c>
      <c r="AJ297" s="83">
        <v>1.0066992847214178</v>
      </c>
      <c r="AK297" s="83">
        <v>3.6960076235379364E-3</v>
      </c>
    </row>
    <row r="298" spans="2:37">
      <c r="B298" s="81" t="s">
        <v>147</v>
      </c>
      <c r="C298" s="81" t="s">
        <v>148</v>
      </c>
      <c r="D298" s="83">
        <v>1.4660862836040165E-3</v>
      </c>
      <c r="E298" s="83">
        <v>8.4457116746389609E-3</v>
      </c>
      <c r="F298" s="83">
        <v>4.1104112851517282E-3</v>
      </c>
      <c r="G298" s="83">
        <v>2.8795532628257329E-3</v>
      </c>
      <c r="H298" s="83">
        <v>2.8616082597269351E-3</v>
      </c>
      <c r="I298" s="83">
        <v>4.9304213198109632E-3</v>
      </c>
      <c r="J298" s="83">
        <v>7.3598063157939951E-3</v>
      </c>
      <c r="K298" s="83">
        <v>1.0593065454259767E-2</v>
      </c>
      <c r="L298" s="83">
        <v>1.0586579665311763E-2</v>
      </c>
      <c r="M298" s="83">
        <v>5.4893975393216967E-3</v>
      </c>
      <c r="N298" s="83">
        <v>5.435320450650572E-3</v>
      </c>
      <c r="O298" s="83">
        <v>6.8593888346527607E-4</v>
      </c>
      <c r="P298" s="83">
        <v>4.4852723771203066E-3</v>
      </c>
      <c r="Q298" s="83">
        <v>4.4468671337257659E-3</v>
      </c>
      <c r="R298" s="83">
        <v>4.437761482557482E-3</v>
      </c>
      <c r="S298" s="83">
        <v>2.2684956075117849E-3</v>
      </c>
      <c r="T298" s="83">
        <v>2.7211920558531917E-3</v>
      </c>
      <c r="U298" s="83">
        <v>6.9674819085961039E-3</v>
      </c>
      <c r="V298" s="83">
        <v>1.1074575068538031E-2</v>
      </c>
      <c r="W298" s="83">
        <v>7.1707831129089027E-3</v>
      </c>
      <c r="X298" s="83">
        <v>3.0338023714131619E-3</v>
      </c>
      <c r="Y298" s="83">
        <v>1.8595841243098783E-2</v>
      </c>
      <c r="Z298" s="83">
        <v>4.6069979766833954E-3</v>
      </c>
      <c r="AA298" s="83">
        <v>4.7696911178160576E-3</v>
      </c>
      <c r="AB298" s="83">
        <v>4.5900094219729105E-3</v>
      </c>
      <c r="AC298" s="83">
        <v>4.599615385965262E-3</v>
      </c>
      <c r="AD298" s="83">
        <v>5.8971464824248742E-3</v>
      </c>
      <c r="AE298" s="83">
        <v>8.4149560500168346E-4</v>
      </c>
      <c r="AF298" s="83">
        <v>2.9438921228026719E-2</v>
      </c>
      <c r="AG298" s="83">
        <v>3.0141198981037672E-2</v>
      </c>
      <c r="AH298" s="83">
        <v>2.7231054318192774E-3</v>
      </c>
      <c r="AI298" s="83">
        <v>6.3067249387858629E-3</v>
      </c>
      <c r="AJ298" s="83">
        <v>8.87556274592783E-3</v>
      </c>
      <c r="AK298" s="83">
        <v>1.0613101166532102</v>
      </c>
    </row>
    <row r="300" spans="2:37">
      <c r="B300" s="24" t="s">
        <v>316</v>
      </c>
    </row>
    <row r="302" spans="2:37" ht="112">
      <c r="B302" s="81"/>
      <c r="C302" s="81"/>
      <c r="D302" s="82" t="s">
        <v>177</v>
      </c>
      <c r="E302" s="82" t="s">
        <v>178</v>
      </c>
      <c r="F302" s="82" t="s">
        <v>179</v>
      </c>
      <c r="G302" s="82" t="s">
        <v>180</v>
      </c>
      <c r="H302" s="82" t="s">
        <v>181</v>
      </c>
      <c r="I302" s="82" t="s">
        <v>182</v>
      </c>
      <c r="J302" s="82" t="s">
        <v>183</v>
      </c>
      <c r="K302" s="82" t="s">
        <v>184</v>
      </c>
      <c r="L302" s="82" t="s">
        <v>185</v>
      </c>
      <c r="M302" s="82" t="s">
        <v>186</v>
      </c>
      <c r="N302" s="82" t="s">
        <v>187</v>
      </c>
      <c r="O302" s="82" t="s">
        <v>188</v>
      </c>
      <c r="P302" s="82" t="s">
        <v>105</v>
      </c>
      <c r="Q302" s="82" t="s">
        <v>189</v>
      </c>
      <c r="R302" s="82" t="s">
        <v>190</v>
      </c>
      <c r="S302" s="82" t="s">
        <v>191</v>
      </c>
      <c r="T302" s="82" t="s">
        <v>192</v>
      </c>
      <c r="U302" s="82" t="s">
        <v>115</v>
      </c>
      <c r="V302" s="82" t="s">
        <v>193</v>
      </c>
      <c r="W302" s="82" t="s">
        <v>194</v>
      </c>
      <c r="X302" s="82" t="s">
        <v>195</v>
      </c>
      <c r="Y302" s="82" t="s">
        <v>196</v>
      </c>
      <c r="Z302" s="82" t="s">
        <v>197</v>
      </c>
      <c r="AA302" s="82" t="s">
        <v>198</v>
      </c>
      <c r="AB302" s="82" t="s">
        <v>199</v>
      </c>
      <c r="AC302" s="82" t="s">
        <v>200</v>
      </c>
      <c r="AD302" s="82" t="s">
        <v>201</v>
      </c>
      <c r="AE302" s="82" t="s">
        <v>202</v>
      </c>
      <c r="AF302" s="82" t="s">
        <v>203</v>
      </c>
      <c r="AG302" s="82" t="s">
        <v>204</v>
      </c>
      <c r="AH302" s="82" t="s">
        <v>205</v>
      </c>
      <c r="AI302" s="82" t="s">
        <v>143</v>
      </c>
      <c r="AJ302" s="82" t="s">
        <v>206</v>
      </c>
      <c r="AK302" s="82" t="s">
        <v>207</v>
      </c>
    </row>
    <row r="303" spans="2:37">
      <c r="B303" s="81"/>
      <c r="C303" s="81"/>
      <c r="D303" s="81" t="s">
        <v>82</v>
      </c>
      <c r="E303" s="81" t="s">
        <v>84</v>
      </c>
      <c r="F303" s="81" t="s">
        <v>86</v>
      </c>
      <c r="G303" s="81" t="s">
        <v>88</v>
      </c>
      <c r="H303" s="81" t="s">
        <v>90</v>
      </c>
      <c r="I303" s="81" t="s">
        <v>92</v>
      </c>
      <c r="J303" s="81" t="s">
        <v>94</v>
      </c>
      <c r="K303" s="81" t="s">
        <v>96</v>
      </c>
      <c r="L303" s="81" t="s">
        <v>98</v>
      </c>
      <c r="M303" s="81" t="s">
        <v>100</v>
      </c>
      <c r="N303" s="81" t="s">
        <v>102</v>
      </c>
      <c r="O303" s="81" t="s">
        <v>104</v>
      </c>
      <c r="P303" s="81" t="s">
        <v>106</v>
      </c>
      <c r="Q303" s="81" t="s">
        <v>108</v>
      </c>
      <c r="R303" s="81" t="s">
        <v>110</v>
      </c>
      <c r="S303" s="81" t="s">
        <v>112</v>
      </c>
      <c r="T303" s="81" t="s">
        <v>114</v>
      </c>
      <c r="U303" s="81" t="s">
        <v>116</v>
      </c>
      <c r="V303" s="81" t="s">
        <v>118</v>
      </c>
      <c r="W303" s="81" t="s">
        <v>120</v>
      </c>
      <c r="X303" s="81" t="s">
        <v>122</v>
      </c>
      <c r="Y303" s="81" t="s">
        <v>124</v>
      </c>
      <c r="Z303" s="81" t="s">
        <v>126</v>
      </c>
      <c r="AA303" s="81" t="s">
        <v>128</v>
      </c>
      <c r="AB303" s="81" t="s">
        <v>130</v>
      </c>
      <c r="AC303" s="81" t="s">
        <v>132</v>
      </c>
      <c r="AD303" s="81" t="s">
        <v>134</v>
      </c>
      <c r="AE303" s="81" t="s">
        <v>136</v>
      </c>
      <c r="AF303" s="81" t="s">
        <v>138</v>
      </c>
      <c r="AG303" s="81" t="s">
        <v>140</v>
      </c>
      <c r="AH303" s="81" t="s">
        <v>142</v>
      </c>
      <c r="AI303" s="81" t="s">
        <v>144</v>
      </c>
      <c r="AJ303" s="81" t="s">
        <v>146</v>
      </c>
      <c r="AK303" s="81" t="s">
        <v>148</v>
      </c>
    </row>
    <row r="304" spans="2:37">
      <c r="B304" s="81" t="s">
        <v>317</v>
      </c>
      <c r="C304" s="81"/>
      <c r="D304" s="85">
        <f>SUM(D265:D298)</f>
        <v>2.2199592471099301</v>
      </c>
      <c r="E304" s="85">
        <f t="shared" ref="E304:AK304" si="32">SUM(E265:E298)</f>
        <v>1.4087875224387554</v>
      </c>
      <c r="F304" s="85">
        <f t="shared" si="32"/>
        <v>2.0401277800367534</v>
      </c>
      <c r="G304" s="85">
        <f t="shared" si="32"/>
        <v>1.7132842641875239</v>
      </c>
      <c r="H304" s="85">
        <f t="shared" si="32"/>
        <v>1.6914344275391149</v>
      </c>
      <c r="I304" s="85">
        <f t="shared" si="32"/>
        <v>1.2229191597382001</v>
      </c>
      <c r="J304" s="85">
        <f t="shared" si="32"/>
        <v>1.4629107906480732</v>
      </c>
      <c r="K304" s="85">
        <f t="shared" si="32"/>
        <v>1.4956503515190793</v>
      </c>
      <c r="L304" s="85">
        <f t="shared" si="32"/>
        <v>1.4957154201217264</v>
      </c>
      <c r="M304" s="85">
        <f t="shared" si="32"/>
        <v>1.5565554955825829</v>
      </c>
      <c r="N304" s="85">
        <f t="shared" si="32"/>
        <v>1.5534717294885572</v>
      </c>
      <c r="O304" s="85">
        <f t="shared" si="32"/>
        <v>1.7936413453292901</v>
      </c>
      <c r="P304" s="85">
        <f t="shared" si="32"/>
        <v>1.3916639420358965</v>
      </c>
      <c r="Q304" s="85">
        <f t="shared" si="32"/>
        <v>1.3883103109165287</v>
      </c>
      <c r="R304" s="85">
        <f t="shared" si="32"/>
        <v>1.3875151852404219</v>
      </c>
      <c r="S304" s="85">
        <f t="shared" si="32"/>
        <v>1.370601927038988</v>
      </c>
      <c r="T304" s="85">
        <f t="shared" si="32"/>
        <v>1.3465653758877472</v>
      </c>
      <c r="U304" s="85">
        <f t="shared" si="32"/>
        <v>1.5780902516919832</v>
      </c>
      <c r="V304" s="85">
        <f t="shared" si="32"/>
        <v>1.188231943590772</v>
      </c>
      <c r="W304" s="85">
        <f t="shared" si="32"/>
        <v>1.2951889524816349</v>
      </c>
      <c r="X304" s="85">
        <f t="shared" si="32"/>
        <v>1.269017815621593</v>
      </c>
      <c r="Y304" s="85">
        <f t="shared" si="32"/>
        <v>1.6764969341742344</v>
      </c>
      <c r="Z304" s="85">
        <f t="shared" si="32"/>
        <v>1.3289629444471855</v>
      </c>
      <c r="AA304" s="85">
        <f t="shared" si="32"/>
        <v>1.3479330496486415</v>
      </c>
      <c r="AB304" s="85">
        <f t="shared" si="32"/>
        <v>1.3348258695699919</v>
      </c>
      <c r="AC304" s="85">
        <f t="shared" si="32"/>
        <v>1.3356476887719677</v>
      </c>
      <c r="AD304" s="85">
        <f t="shared" si="32"/>
        <v>1.262055181790563</v>
      </c>
      <c r="AE304" s="85">
        <f t="shared" si="32"/>
        <v>5.5926324591013099</v>
      </c>
      <c r="AF304" s="85">
        <f t="shared" si="32"/>
        <v>1.412084904391433</v>
      </c>
      <c r="AG304" s="85">
        <f t="shared" si="32"/>
        <v>1.4219153617802787</v>
      </c>
      <c r="AH304" s="85">
        <f t="shared" si="32"/>
        <v>1.3702237683636347</v>
      </c>
      <c r="AI304" s="85">
        <f t="shared" si="32"/>
        <v>1.2866297863444673</v>
      </c>
      <c r="AJ304" s="85">
        <f t="shared" si="32"/>
        <v>1.3079527507575934</v>
      </c>
      <c r="AK304" s="85">
        <f t="shared" si="32"/>
        <v>1.5575458328680674</v>
      </c>
    </row>
    <row r="305" spans="2:37">
      <c r="B305" s="84" t="s">
        <v>318</v>
      </c>
      <c r="C305" s="84"/>
      <c r="D305" s="83">
        <v>9.3252060972233597</v>
      </c>
      <c r="E305" s="83">
        <v>24.975167743940499</v>
      </c>
      <c r="F305" s="83">
        <v>59.260940907494302</v>
      </c>
      <c r="G305" s="83">
        <v>26.833633344807399</v>
      </c>
      <c r="H305" s="83">
        <v>27.369468435599298</v>
      </c>
      <c r="I305" s="83">
        <v>36.224440403735898</v>
      </c>
      <c r="J305" s="83">
        <v>75.533409137415703</v>
      </c>
      <c r="K305" s="83">
        <v>134.41149573356299</v>
      </c>
      <c r="L305" s="83">
        <v>40.776068204135797</v>
      </c>
      <c r="M305" s="83">
        <v>114.850638523344</v>
      </c>
      <c r="N305" s="83">
        <v>36.842199389057498</v>
      </c>
      <c r="O305" s="83">
        <v>11.5339624320489</v>
      </c>
      <c r="P305" s="83">
        <v>191.90730236488</v>
      </c>
      <c r="Q305" s="83">
        <v>70.833162920623593</v>
      </c>
      <c r="R305" s="83">
        <v>70.228150669198101</v>
      </c>
      <c r="S305" s="83">
        <v>140.17908333620201</v>
      </c>
      <c r="T305" s="83">
        <v>749.60794927457903</v>
      </c>
      <c r="U305" s="83">
        <v>18.654830035916099</v>
      </c>
      <c r="V305" s="83">
        <v>36.729507231205297</v>
      </c>
      <c r="W305" s="83">
        <v>34.623674314776302</v>
      </c>
      <c r="X305" s="83">
        <v>14.352260658751099</v>
      </c>
      <c r="Y305" s="83">
        <v>61.529583205443998</v>
      </c>
      <c r="Z305" s="83">
        <v>42.604361502634198</v>
      </c>
      <c r="AA305" s="83">
        <v>624.07930357145403</v>
      </c>
      <c r="AB305" s="83">
        <v>139.650916551178</v>
      </c>
      <c r="AC305" s="83">
        <v>43.3400670656751</v>
      </c>
      <c r="AD305" s="83">
        <v>32.282130744352003</v>
      </c>
      <c r="AE305" s="83">
        <v>1949.9631060056399</v>
      </c>
      <c r="AF305" s="83">
        <v>34.763475132802299</v>
      </c>
      <c r="AG305" s="83">
        <v>36.1200603460601</v>
      </c>
      <c r="AH305" s="83">
        <v>28.427615140788799</v>
      </c>
      <c r="AI305" s="83">
        <v>24.518238649785101</v>
      </c>
      <c r="AJ305" s="83">
        <v>22.0751465795516</v>
      </c>
      <c r="AK305" s="83">
        <v>83.610451882620097</v>
      </c>
    </row>
    <row r="306" spans="2:37">
      <c r="B306" s="84" t="s">
        <v>319</v>
      </c>
      <c r="C306" s="84"/>
      <c r="D306" s="83">
        <v>1.0332383815202899</v>
      </c>
      <c r="E306" s="83">
        <v>1.63730125866947</v>
      </c>
      <c r="F306" s="83">
        <v>1.0987952515770101</v>
      </c>
      <c r="G306" s="83">
        <v>1.03003150775582</v>
      </c>
      <c r="H306" s="83">
        <v>0.98150030444194303</v>
      </c>
      <c r="I306" s="83">
        <v>0.80304882861831695</v>
      </c>
      <c r="J306" s="83">
        <v>1.26348304337404</v>
      </c>
      <c r="K306" s="83">
        <v>1.70313217602195</v>
      </c>
      <c r="L306" s="83">
        <v>1.6120838642484301</v>
      </c>
      <c r="M306" s="83">
        <v>1.8752992941903199</v>
      </c>
      <c r="N306" s="83">
        <v>1.9581985756884099</v>
      </c>
      <c r="O306" s="83">
        <v>2.1659321633880402</v>
      </c>
      <c r="P306" s="83">
        <v>2.1183057279316699</v>
      </c>
      <c r="Q306" s="83">
        <v>2.03712746931093</v>
      </c>
      <c r="R306" s="83">
        <v>1.9667009030129601</v>
      </c>
      <c r="S306" s="83">
        <v>1.52040253730398</v>
      </c>
      <c r="T306" s="83">
        <v>8.8180284395259907</v>
      </c>
      <c r="U306" s="83">
        <v>7.9218795766691299</v>
      </c>
      <c r="V306" s="83">
        <v>0.58384361891514402</v>
      </c>
      <c r="W306" s="83">
        <v>0.74154539758498195</v>
      </c>
      <c r="X306" s="83">
        <v>0.69377689626442096</v>
      </c>
      <c r="Y306" s="83">
        <v>1.1030755487192101</v>
      </c>
      <c r="Z306" s="83">
        <v>0.34526627732192799</v>
      </c>
      <c r="AA306" s="83">
        <v>0.36002314913029598</v>
      </c>
      <c r="AB306" s="83">
        <v>0.34906937675409599</v>
      </c>
      <c r="AC306" s="83">
        <v>0.72245053240539203</v>
      </c>
      <c r="AD306" s="83">
        <v>0.64183034674557404</v>
      </c>
      <c r="AE306" s="83">
        <v>2.5935923577274802</v>
      </c>
      <c r="AF306" s="83">
        <v>1.02312382442178</v>
      </c>
      <c r="AG306" s="83">
        <v>1.03246862689397</v>
      </c>
      <c r="AH306" s="83">
        <v>0.73163845161484498</v>
      </c>
      <c r="AI306" s="83">
        <v>0.89947293653649096</v>
      </c>
      <c r="AJ306" s="83">
        <v>0.79309490414551997</v>
      </c>
      <c r="AK306" s="83">
        <v>1.0247247653342599</v>
      </c>
    </row>
    <row r="307" spans="2:37">
      <c r="B307" s="84" t="s">
        <v>320</v>
      </c>
      <c r="C307" s="84"/>
      <c r="D307" s="83">
        <v>4.26282255425562</v>
      </c>
      <c r="E307" s="83">
        <v>2.0085148131316701E-2</v>
      </c>
      <c r="F307" s="83">
        <v>0.85973819227171699</v>
      </c>
      <c r="G307" s="83">
        <v>0.60279640057747697</v>
      </c>
      <c r="H307" s="83">
        <v>0.55504434992518004</v>
      </c>
      <c r="I307" s="83">
        <v>2.6618874656815499E-2</v>
      </c>
      <c r="J307" s="83">
        <v>2.1295872404080901E-2</v>
      </c>
      <c r="K307" s="83">
        <v>5.0731224759932102E-2</v>
      </c>
      <c r="L307" s="83">
        <v>5.6768205273996203E-2</v>
      </c>
      <c r="M307" s="83">
        <v>2.4577033437218902E-2</v>
      </c>
      <c r="N307" s="83">
        <v>2.1110431000228198E-2</v>
      </c>
      <c r="O307" s="83">
        <v>5.3599300338263399E-3</v>
      </c>
      <c r="P307" s="83">
        <v>8.6665957118128804E-3</v>
      </c>
      <c r="Q307" s="83">
        <v>9.2675299026620597E-3</v>
      </c>
      <c r="R307" s="83">
        <v>8.2215462863527398E-3</v>
      </c>
      <c r="S307" s="83">
        <v>1.28143384403366E-2</v>
      </c>
      <c r="T307" s="83">
        <v>1.02555713188712E-2</v>
      </c>
      <c r="U307" s="83">
        <v>2.5570319375490699E-2</v>
      </c>
      <c r="V307" s="83">
        <v>6.9123493631859699E-3</v>
      </c>
      <c r="W307" s="83">
        <v>3.0591294982645401E-2</v>
      </c>
      <c r="X307" s="83">
        <v>3.6115026754665699E-2</v>
      </c>
      <c r="Y307" s="83">
        <v>0.25477760172505498</v>
      </c>
      <c r="Z307" s="83">
        <v>1.0806172296358199E-2</v>
      </c>
      <c r="AA307" s="83">
        <v>1.4776449792424699E-2</v>
      </c>
      <c r="AB307" s="83">
        <v>1.39631195074079E-2</v>
      </c>
      <c r="AC307" s="83">
        <v>1.312553920689E-2</v>
      </c>
      <c r="AD307" s="83">
        <v>1.2346762495830801E-2</v>
      </c>
      <c r="AE307" s="83">
        <v>1.04585864656283E-2</v>
      </c>
      <c r="AF307" s="83">
        <v>2.91096241625581E-2</v>
      </c>
      <c r="AG307" s="83">
        <v>3.0660710179873599E-2</v>
      </c>
      <c r="AH307" s="83">
        <v>0.185035327939086</v>
      </c>
      <c r="AI307" s="83">
        <v>9.8751370702289606E-2</v>
      </c>
      <c r="AJ307" s="83">
        <v>0.17846075010628901</v>
      </c>
      <c r="AK307" s="83">
        <v>2.3543820635401998E-2</v>
      </c>
    </row>
    <row r="308" spans="2:37">
      <c r="B308" s="84" t="s">
        <v>321</v>
      </c>
      <c r="C308" s="84"/>
      <c r="D308" s="83">
        <v>7.1455193402539399</v>
      </c>
      <c r="E308" s="83">
        <v>3.01319306403816E-2</v>
      </c>
      <c r="F308" s="83">
        <v>1.4363001548307499</v>
      </c>
      <c r="G308" s="83">
        <v>1.0028940119383301</v>
      </c>
      <c r="H308" s="83">
        <v>0.92109279533147803</v>
      </c>
      <c r="I308" s="83">
        <v>2.2666974322904401E-2</v>
      </c>
      <c r="J308" s="83">
        <v>2.7539615777851599E-2</v>
      </c>
      <c r="K308" s="83">
        <v>8.1312920197938607E-2</v>
      </c>
      <c r="L308" s="83">
        <v>8.2422496730263806E-2</v>
      </c>
      <c r="M308" s="83">
        <v>2.8854049259059902E-2</v>
      </c>
      <c r="N308" s="83">
        <v>2.8703908003528799E-2</v>
      </c>
      <c r="O308" s="83">
        <v>6.3478303017740698E-3</v>
      </c>
      <c r="P308" s="83">
        <v>1.1180204058067999E-2</v>
      </c>
      <c r="Q308" s="83">
        <v>1.10844733148826E-2</v>
      </c>
      <c r="R308" s="83">
        <v>1.1061776134068699E-2</v>
      </c>
      <c r="S308" s="83">
        <v>1.6081767905403801E-2</v>
      </c>
      <c r="T308" s="83">
        <v>1.3038067244153E-2</v>
      </c>
      <c r="U308" s="83">
        <v>3.9439522125486598E-2</v>
      </c>
      <c r="V308" s="83">
        <v>4.2085019951414102E-3</v>
      </c>
      <c r="W308" s="83">
        <v>4.2971988951702199E-2</v>
      </c>
      <c r="X308" s="83">
        <v>5.8110996944919099E-2</v>
      </c>
      <c r="Y308" s="83">
        <v>0.42036623410145901</v>
      </c>
      <c r="Z308" s="83">
        <v>1.6178414300528E-2</v>
      </c>
      <c r="AA308" s="83">
        <v>1.7053056522857699E-2</v>
      </c>
      <c r="AB308" s="83">
        <v>1.64106413140634E-2</v>
      </c>
      <c r="AC308" s="83">
        <v>1.6478760984426001E-2</v>
      </c>
      <c r="AD308" s="83">
        <v>1.7022830009990501E-2</v>
      </c>
      <c r="AE308" s="83">
        <v>3.42512819710884E-3</v>
      </c>
      <c r="AF308" s="83">
        <v>4.67335445117232E-2</v>
      </c>
      <c r="AG308" s="83">
        <v>4.7848392721537403E-2</v>
      </c>
      <c r="AH308" s="83">
        <v>0.30877938538086802</v>
      </c>
      <c r="AI308" s="83">
        <v>0.16398685679644101</v>
      </c>
      <c r="AJ308" s="83">
        <v>0.29599515682219601</v>
      </c>
      <c r="AK308" s="83">
        <v>3.0290984058015499E-2</v>
      </c>
    </row>
    <row r="309" spans="2:37">
      <c r="B309" s="84" t="s">
        <v>322</v>
      </c>
      <c r="C309" s="84"/>
      <c r="D309" s="83">
        <v>0.26878215128562499</v>
      </c>
      <c r="E309" s="83">
        <v>3.0390877273913E-2</v>
      </c>
      <c r="F309" s="83">
        <v>9.3983457290416794E-2</v>
      </c>
      <c r="G309" s="83">
        <v>0.10010350282744</v>
      </c>
      <c r="H309" s="83">
        <v>0.11156787965583</v>
      </c>
      <c r="I309" s="83">
        <v>0.182512050286329</v>
      </c>
      <c r="J309" s="83">
        <v>6.8538806484023301E-2</v>
      </c>
      <c r="K309" s="83">
        <v>3.3881966667854299E-2</v>
      </c>
      <c r="L309" s="83">
        <v>0.108480689134747</v>
      </c>
      <c r="M309" s="83">
        <v>0.103224143219626</v>
      </c>
      <c r="N309" s="83">
        <v>5.6375780255901398E-2</v>
      </c>
      <c r="O309" s="83">
        <v>2.2057634262154301E-2</v>
      </c>
      <c r="P309" s="83">
        <v>2.81179637342562E-2</v>
      </c>
      <c r="Q309" s="83">
        <v>3.7242079437159098E-2</v>
      </c>
      <c r="R309" s="83">
        <v>2.2920237750320201E-2</v>
      </c>
      <c r="S309" s="83">
        <v>4.5274899900627698E-2</v>
      </c>
      <c r="T309" s="83">
        <v>3.4854582679149898E-2</v>
      </c>
      <c r="U309" s="83">
        <v>2.98049076023797E-2</v>
      </c>
      <c r="V309" s="83">
        <v>6.1213761228678602E-2</v>
      </c>
      <c r="W309" s="83">
        <v>7.0352270245408202E-2</v>
      </c>
      <c r="X309" s="83">
        <v>2.2265296050145301E-2</v>
      </c>
      <c r="Y309" s="83">
        <v>7.1275854988553503E-2</v>
      </c>
      <c r="Z309" s="83">
        <v>1.6623568395524299E-2</v>
      </c>
      <c r="AA309" s="83">
        <v>6.4490368439914694E-2</v>
      </c>
      <c r="AB309" s="83">
        <v>5.8500537232716997E-2</v>
      </c>
      <c r="AC309" s="83">
        <v>4.63213545150764E-2</v>
      </c>
      <c r="AD309" s="83">
        <v>3.1037235885765201E-2</v>
      </c>
      <c r="AE309" s="83">
        <v>0.11685649780049399</v>
      </c>
      <c r="AF309" s="83">
        <v>1.8814512785013698E-2</v>
      </c>
      <c r="AG309" s="83">
        <v>3.11460990742209E-2</v>
      </c>
      <c r="AH309" s="83">
        <v>2.3071505661916E-2</v>
      </c>
      <c r="AI309" s="83">
        <v>1.89473632295247E-2</v>
      </c>
      <c r="AJ309" s="83">
        <v>3.7184897742180902E-2</v>
      </c>
      <c r="AK309" s="83">
        <v>7.7055831072678702E-2</v>
      </c>
    </row>
    <row r="310" spans="2:37">
      <c r="B310" s="84" t="s">
        <v>323</v>
      </c>
      <c r="C310" s="84"/>
      <c r="D310" s="83">
        <v>393.19128071562199</v>
      </c>
      <c r="E310" s="83">
        <v>140.64686831037599</v>
      </c>
      <c r="F310" s="83">
        <v>210.099568961389</v>
      </c>
      <c r="G310" s="83">
        <v>179.73755510945099</v>
      </c>
      <c r="H310" s="83">
        <v>175.46574789529001</v>
      </c>
      <c r="I310" s="83">
        <v>117.295221812233</v>
      </c>
      <c r="J310" s="83">
        <v>122.925699298406</v>
      </c>
      <c r="K310" s="83">
        <v>137.82645481534999</v>
      </c>
      <c r="L310" s="83">
        <v>137.89306936175399</v>
      </c>
      <c r="M310" s="83">
        <v>138.142827875059</v>
      </c>
      <c r="N310" s="83">
        <v>138.0618186305</v>
      </c>
      <c r="O310" s="83">
        <v>158.10071466168699</v>
      </c>
      <c r="P310" s="83">
        <v>140.89237880466999</v>
      </c>
      <c r="Q310" s="83">
        <v>141.42633213549701</v>
      </c>
      <c r="R310" s="83">
        <v>141.55292924414599</v>
      </c>
      <c r="S310" s="83">
        <v>117.279182766711</v>
      </c>
      <c r="T310" s="83">
        <v>147.902792007611</v>
      </c>
      <c r="U310" s="83">
        <v>202.445477198546</v>
      </c>
      <c r="V310" s="83">
        <v>243.00936061291199</v>
      </c>
      <c r="W310" s="83">
        <v>228.61115309711599</v>
      </c>
      <c r="X310" s="83">
        <v>219.08796635138401</v>
      </c>
      <c r="Y310" s="83">
        <v>464.45145652347799</v>
      </c>
      <c r="Z310" s="83">
        <v>315.299132359726</v>
      </c>
      <c r="AA310" s="83">
        <v>307.83864164340599</v>
      </c>
      <c r="AB310" s="83">
        <v>319.66731612819001</v>
      </c>
      <c r="AC310" s="83">
        <v>319.45462059353798</v>
      </c>
      <c r="AD310" s="83">
        <v>80.919969600220895</v>
      </c>
      <c r="AE310" s="83">
        <v>114.964488026753</v>
      </c>
      <c r="AF310" s="83">
        <v>83.447688991540602</v>
      </c>
      <c r="AG310" s="83">
        <v>253.35244306344401</v>
      </c>
      <c r="AH310" s="83">
        <v>206.78692813037799</v>
      </c>
      <c r="AI310" s="83">
        <v>389.64614525856302</v>
      </c>
      <c r="AJ310" s="83">
        <v>325.60977292748203</v>
      </c>
      <c r="AK310" s="83">
        <v>371.97375693623297</v>
      </c>
    </row>
    <row r="313" spans="2:37">
      <c r="B313" s="24" t="s">
        <v>324</v>
      </c>
    </row>
    <row r="315" spans="2:37">
      <c r="B315" s="24" t="s">
        <v>325</v>
      </c>
    </row>
    <row r="317" spans="2:37">
      <c r="D317" s="81" t="s">
        <v>82</v>
      </c>
      <c r="E317" s="81" t="s">
        <v>84</v>
      </c>
      <c r="F317" s="81" t="s">
        <v>86</v>
      </c>
      <c r="G317" s="81" t="s">
        <v>88</v>
      </c>
      <c r="H317" s="81" t="s">
        <v>90</v>
      </c>
      <c r="I317" s="81" t="s">
        <v>92</v>
      </c>
      <c r="J317" s="81" t="s">
        <v>94</v>
      </c>
      <c r="K317" s="81" t="s">
        <v>96</v>
      </c>
      <c r="L317" s="81" t="s">
        <v>98</v>
      </c>
      <c r="M317" s="81" t="s">
        <v>100</v>
      </c>
      <c r="N317" s="81" t="s">
        <v>102</v>
      </c>
      <c r="O317" s="81" t="s">
        <v>104</v>
      </c>
      <c r="P317" s="81" t="s">
        <v>106</v>
      </c>
      <c r="Q317" s="81" t="s">
        <v>108</v>
      </c>
      <c r="R317" s="81" t="s">
        <v>110</v>
      </c>
      <c r="S317" s="81" t="s">
        <v>112</v>
      </c>
      <c r="T317" s="81" t="s">
        <v>114</v>
      </c>
      <c r="U317" s="81" t="s">
        <v>116</v>
      </c>
      <c r="V317" s="81" t="s">
        <v>118</v>
      </c>
      <c r="W317" s="81" t="s">
        <v>120</v>
      </c>
      <c r="X317" s="81" t="s">
        <v>122</v>
      </c>
      <c r="Y317" s="81" t="s">
        <v>124</v>
      </c>
      <c r="Z317" s="81" t="s">
        <v>126</v>
      </c>
      <c r="AA317" s="81" t="s">
        <v>128</v>
      </c>
      <c r="AB317" s="81" t="s">
        <v>130</v>
      </c>
      <c r="AC317" s="81" t="s">
        <v>132</v>
      </c>
      <c r="AD317" s="81" t="s">
        <v>134</v>
      </c>
      <c r="AE317" s="81" t="s">
        <v>136</v>
      </c>
      <c r="AF317" s="81" t="s">
        <v>138</v>
      </c>
      <c r="AG317" s="81" t="s">
        <v>140</v>
      </c>
      <c r="AH317" s="81" t="s">
        <v>142</v>
      </c>
      <c r="AI317" s="81" t="s">
        <v>144</v>
      </c>
      <c r="AJ317" s="81" t="s">
        <v>146</v>
      </c>
      <c r="AK317" s="81" t="s">
        <v>148</v>
      </c>
    </row>
    <row r="318" spans="2:37">
      <c r="C318" s="81" t="s">
        <v>82</v>
      </c>
      <c r="D318" s="13">
        <f t="array" ref="D318:AK351">IF(AR8:AR41=TRANSPOSE(AR8:AR41),AR8:AR904,0)</f>
        <v>3054.4679740601191</v>
      </c>
      <c r="E318" s="13">
        <v>0</v>
      </c>
      <c r="F318" s="13">
        <v>0</v>
      </c>
      <c r="G318" s="13">
        <v>0</v>
      </c>
      <c r="H318" s="13">
        <v>0</v>
      </c>
      <c r="I318" s="13">
        <v>0</v>
      </c>
      <c r="J318" s="13">
        <v>0</v>
      </c>
      <c r="K318" s="13">
        <v>0</v>
      </c>
      <c r="L318" s="13">
        <v>0</v>
      </c>
      <c r="M318" s="13">
        <v>0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13">
        <v>0</v>
      </c>
      <c r="AF318" s="13">
        <v>0</v>
      </c>
      <c r="AG318" s="13">
        <v>0</v>
      </c>
      <c r="AH318" s="13">
        <v>0</v>
      </c>
      <c r="AI318" s="13">
        <v>0</v>
      </c>
      <c r="AJ318" s="13">
        <v>0</v>
      </c>
      <c r="AK318" s="13">
        <v>0</v>
      </c>
    </row>
    <row r="319" spans="2:37">
      <c r="C319" s="81" t="s">
        <v>84</v>
      </c>
      <c r="D319" s="13">
        <v>0</v>
      </c>
      <c r="E319" s="13">
        <v>145.42287215822921</v>
      </c>
      <c r="F319" s="13">
        <v>0</v>
      </c>
      <c r="G319" s="13">
        <v>0</v>
      </c>
      <c r="H319" s="13">
        <v>0</v>
      </c>
      <c r="I319" s="13">
        <v>0</v>
      </c>
      <c r="J319" s="13">
        <v>0</v>
      </c>
      <c r="K319" s="13">
        <v>0</v>
      </c>
      <c r="L319" s="13">
        <v>0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13">
        <v>0</v>
      </c>
      <c r="AF319" s="13">
        <v>0</v>
      </c>
      <c r="AG319" s="13">
        <v>0</v>
      </c>
      <c r="AH319" s="13">
        <v>0</v>
      </c>
      <c r="AI319" s="13">
        <v>0</v>
      </c>
      <c r="AJ319" s="13">
        <v>0</v>
      </c>
      <c r="AK319" s="13">
        <v>0</v>
      </c>
    </row>
    <row r="320" spans="2:37">
      <c r="C320" s="81" t="s">
        <v>86</v>
      </c>
      <c r="D320" s="13">
        <v>0</v>
      </c>
      <c r="E320" s="13">
        <v>0</v>
      </c>
      <c r="F320" s="13">
        <v>643.01734705315471</v>
      </c>
      <c r="G320" s="13">
        <v>0</v>
      </c>
      <c r="H320" s="13">
        <v>0</v>
      </c>
      <c r="I320" s="13">
        <v>0</v>
      </c>
      <c r="J320" s="13">
        <v>0</v>
      </c>
      <c r="K320" s="13">
        <v>0</v>
      </c>
      <c r="L320" s="13">
        <v>0</v>
      </c>
      <c r="M320" s="13">
        <v>0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0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13">
        <v>0</v>
      </c>
      <c r="AF320" s="13">
        <v>0</v>
      </c>
      <c r="AG320" s="13">
        <v>0</v>
      </c>
      <c r="AH320" s="13">
        <v>0</v>
      </c>
      <c r="AI320" s="13">
        <v>0</v>
      </c>
      <c r="AJ320" s="13">
        <v>0</v>
      </c>
      <c r="AK320" s="13">
        <v>0</v>
      </c>
    </row>
    <row r="321" spans="3:37">
      <c r="C321" s="81" t="s">
        <v>88</v>
      </c>
      <c r="D321" s="13">
        <v>0</v>
      </c>
      <c r="E321" s="13">
        <v>0</v>
      </c>
      <c r="F321" s="13">
        <v>0</v>
      </c>
      <c r="G321" s="13">
        <v>128.31083302728101</v>
      </c>
      <c r="H321" s="13">
        <v>0</v>
      </c>
      <c r="I321" s="13">
        <v>0</v>
      </c>
      <c r="J321" s="13">
        <v>0</v>
      </c>
      <c r="K321" s="13">
        <v>0</v>
      </c>
      <c r="L321" s="13">
        <v>0</v>
      </c>
      <c r="M321" s="13">
        <v>0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13">
        <v>0</v>
      </c>
      <c r="AF321" s="13">
        <v>0</v>
      </c>
      <c r="AG321" s="13">
        <v>0</v>
      </c>
      <c r="AH321" s="13">
        <v>0</v>
      </c>
      <c r="AI321" s="13">
        <v>0</v>
      </c>
      <c r="AJ321" s="13">
        <v>0</v>
      </c>
      <c r="AK321" s="13">
        <v>0</v>
      </c>
    </row>
    <row r="322" spans="3:37">
      <c r="C322" s="81" t="s">
        <v>90</v>
      </c>
      <c r="D322" s="13">
        <v>0</v>
      </c>
      <c r="E322" s="13">
        <v>0</v>
      </c>
      <c r="F322" s="13">
        <v>0</v>
      </c>
      <c r="G322" s="13">
        <v>0</v>
      </c>
      <c r="H322" s="13">
        <v>13.595505515447863</v>
      </c>
      <c r="I322" s="13">
        <v>0</v>
      </c>
      <c r="J322" s="13">
        <v>0</v>
      </c>
      <c r="K322" s="13">
        <v>0</v>
      </c>
      <c r="L322" s="13">
        <v>0</v>
      </c>
      <c r="M322" s="13">
        <v>0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13">
        <v>0</v>
      </c>
      <c r="AF322" s="13">
        <v>0</v>
      </c>
      <c r="AG322" s="13">
        <v>0</v>
      </c>
      <c r="AH322" s="13">
        <v>0</v>
      </c>
      <c r="AI322" s="13">
        <v>0</v>
      </c>
      <c r="AJ322" s="13">
        <v>0</v>
      </c>
      <c r="AK322" s="13">
        <v>0</v>
      </c>
    </row>
    <row r="323" spans="3:37">
      <c r="C323" s="81" t="s">
        <v>92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  <c r="I323" s="13">
        <v>3.9497931900125209</v>
      </c>
      <c r="J323" s="13">
        <v>0</v>
      </c>
      <c r="K323" s="13">
        <v>0</v>
      </c>
      <c r="L323" s="13">
        <v>0</v>
      </c>
      <c r="M323" s="13">
        <v>0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13">
        <v>0</v>
      </c>
      <c r="AF323" s="13">
        <v>0</v>
      </c>
      <c r="AG323" s="13">
        <v>0</v>
      </c>
      <c r="AH323" s="13">
        <v>0</v>
      </c>
      <c r="AI323" s="13">
        <v>0</v>
      </c>
      <c r="AJ323" s="13">
        <v>0</v>
      </c>
      <c r="AK323" s="13">
        <v>0</v>
      </c>
    </row>
    <row r="324" spans="3:37">
      <c r="C324" s="81" t="s">
        <v>94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  <c r="I324" s="13">
        <v>0</v>
      </c>
      <c r="J324" s="13">
        <v>39.479936014642256</v>
      </c>
      <c r="K324" s="13">
        <v>0</v>
      </c>
      <c r="L324" s="13">
        <v>0</v>
      </c>
      <c r="M324" s="13">
        <v>0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13">
        <v>0</v>
      </c>
      <c r="AF324" s="13">
        <v>0</v>
      </c>
      <c r="AG324" s="13">
        <v>0</v>
      </c>
      <c r="AH324" s="13">
        <v>0</v>
      </c>
      <c r="AI324" s="13">
        <v>0</v>
      </c>
      <c r="AJ324" s="13">
        <v>0</v>
      </c>
      <c r="AK324" s="13">
        <v>0</v>
      </c>
    </row>
    <row r="325" spans="3:37">
      <c r="C325" s="81" t="s">
        <v>96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  <c r="I325" s="13">
        <v>0</v>
      </c>
      <c r="J325" s="13">
        <v>0</v>
      </c>
      <c r="K325" s="13">
        <v>84.707158757927587</v>
      </c>
      <c r="L325" s="13">
        <v>0</v>
      </c>
      <c r="M325" s="13">
        <v>0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13">
        <v>0</v>
      </c>
      <c r="AF325" s="13">
        <v>0</v>
      </c>
      <c r="AG325" s="13">
        <v>0</v>
      </c>
      <c r="AH325" s="13">
        <v>0</v>
      </c>
      <c r="AI325" s="13">
        <v>0</v>
      </c>
      <c r="AJ325" s="13">
        <v>0</v>
      </c>
      <c r="AK325" s="13">
        <v>0</v>
      </c>
    </row>
    <row r="326" spans="3:37">
      <c r="C326" s="81" t="s">
        <v>98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  <c r="I326" s="13">
        <v>0</v>
      </c>
      <c r="J326" s="13">
        <v>0</v>
      </c>
      <c r="K326" s="13">
        <v>0</v>
      </c>
      <c r="L326" s="13">
        <v>39.147975706403393</v>
      </c>
      <c r="M326" s="13">
        <v>0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0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13">
        <v>0</v>
      </c>
      <c r="AF326" s="13">
        <v>0</v>
      </c>
      <c r="AG326" s="13">
        <v>0</v>
      </c>
      <c r="AH326" s="13">
        <v>0</v>
      </c>
      <c r="AI326" s="13">
        <v>0</v>
      </c>
      <c r="AJ326" s="13">
        <v>0</v>
      </c>
      <c r="AK326" s="13">
        <v>0</v>
      </c>
    </row>
    <row r="327" spans="3:37">
      <c r="C327" s="81" t="s">
        <v>100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  <c r="I327" s="13">
        <v>0</v>
      </c>
      <c r="J327" s="13">
        <v>0</v>
      </c>
      <c r="K327" s="13">
        <v>0</v>
      </c>
      <c r="L327" s="13">
        <v>0</v>
      </c>
      <c r="M327" s="13">
        <v>76.339825237158536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13">
        <v>0</v>
      </c>
      <c r="AF327" s="13">
        <v>0</v>
      </c>
      <c r="AG327" s="13">
        <v>0</v>
      </c>
      <c r="AH327" s="13">
        <v>0</v>
      </c>
      <c r="AI327" s="13">
        <v>0</v>
      </c>
      <c r="AJ327" s="13">
        <v>0</v>
      </c>
      <c r="AK327" s="13">
        <v>0</v>
      </c>
    </row>
    <row r="328" spans="3:37">
      <c r="C328" s="81" t="s">
        <v>102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  <c r="I328" s="13">
        <v>0</v>
      </c>
      <c r="J328" s="13">
        <v>0</v>
      </c>
      <c r="K328" s="13">
        <v>0</v>
      </c>
      <c r="L328" s="13">
        <v>0</v>
      </c>
      <c r="M328" s="13">
        <v>0</v>
      </c>
      <c r="N328" s="13">
        <v>280.28864204944927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0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13">
        <v>0</v>
      </c>
      <c r="AF328" s="13">
        <v>0</v>
      </c>
      <c r="AG328" s="13">
        <v>0</v>
      </c>
      <c r="AH328" s="13">
        <v>0</v>
      </c>
      <c r="AI328" s="13">
        <v>0</v>
      </c>
      <c r="AJ328" s="13">
        <v>0</v>
      </c>
      <c r="AK328" s="13">
        <v>0</v>
      </c>
    </row>
    <row r="329" spans="3:37">
      <c r="C329" s="81" t="s">
        <v>104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  <c r="I329" s="13">
        <v>0</v>
      </c>
      <c r="J329" s="13">
        <v>0</v>
      </c>
      <c r="K329" s="13">
        <v>0</v>
      </c>
      <c r="L329" s="13">
        <v>0</v>
      </c>
      <c r="M329" s="13">
        <v>0</v>
      </c>
      <c r="N329" s="13">
        <v>0</v>
      </c>
      <c r="O329" s="13">
        <v>1728.3904192499404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13">
        <v>0</v>
      </c>
      <c r="AF329" s="13">
        <v>0</v>
      </c>
      <c r="AG329" s="13">
        <v>0</v>
      </c>
      <c r="AH329" s="13">
        <v>0</v>
      </c>
      <c r="AI329" s="13">
        <v>0</v>
      </c>
      <c r="AJ329" s="13">
        <v>0</v>
      </c>
      <c r="AK329" s="13">
        <v>0</v>
      </c>
    </row>
    <row r="330" spans="3:37">
      <c r="C330" s="81" t="s">
        <v>106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  <c r="I330" s="13">
        <v>0</v>
      </c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0</v>
      </c>
      <c r="P330" s="13">
        <v>34.198262460436275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13">
        <v>0</v>
      </c>
      <c r="AF330" s="13">
        <v>0</v>
      </c>
      <c r="AG330" s="13">
        <v>0</v>
      </c>
      <c r="AH330" s="13">
        <v>0</v>
      </c>
      <c r="AI330" s="13">
        <v>0</v>
      </c>
      <c r="AJ330" s="13">
        <v>0</v>
      </c>
      <c r="AK330" s="13">
        <v>0</v>
      </c>
    </row>
    <row r="331" spans="3:37">
      <c r="C331" s="81" t="s">
        <v>108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  <c r="I331" s="13">
        <v>0</v>
      </c>
      <c r="J331" s="13">
        <v>0</v>
      </c>
      <c r="K331" s="13">
        <v>0</v>
      </c>
      <c r="L331" s="13">
        <v>0</v>
      </c>
      <c r="M331" s="13">
        <v>0</v>
      </c>
      <c r="N331" s="13">
        <v>0</v>
      </c>
      <c r="O331" s="13">
        <v>0</v>
      </c>
      <c r="P331" s="13">
        <v>0</v>
      </c>
      <c r="Q331" s="13">
        <v>7.8271879553734518</v>
      </c>
      <c r="R331" s="13">
        <v>0</v>
      </c>
      <c r="S331" s="13">
        <v>0</v>
      </c>
      <c r="T331" s="13">
        <v>0</v>
      </c>
      <c r="U331" s="13">
        <v>0</v>
      </c>
      <c r="V331" s="13">
        <v>0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13">
        <v>0</v>
      </c>
      <c r="AF331" s="13">
        <v>0</v>
      </c>
      <c r="AG331" s="13">
        <v>0</v>
      </c>
      <c r="AH331" s="13">
        <v>0</v>
      </c>
      <c r="AI331" s="13">
        <v>0</v>
      </c>
      <c r="AJ331" s="13">
        <v>0</v>
      </c>
      <c r="AK331" s="13">
        <v>0</v>
      </c>
    </row>
    <row r="332" spans="3:37">
      <c r="C332" s="81" t="s">
        <v>110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  <c r="I332" s="13">
        <v>0</v>
      </c>
      <c r="J332" s="13">
        <v>0</v>
      </c>
      <c r="K332" s="13">
        <v>0</v>
      </c>
      <c r="L332" s="13">
        <v>0</v>
      </c>
      <c r="M332" s="13">
        <v>0</v>
      </c>
      <c r="N332" s="13">
        <v>0</v>
      </c>
      <c r="O332" s="13">
        <v>0</v>
      </c>
      <c r="P332" s="13">
        <v>0</v>
      </c>
      <c r="Q332" s="13">
        <v>0</v>
      </c>
      <c r="R332" s="13">
        <v>19.937445092155528</v>
      </c>
      <c r="S332" s="13">
        <v>0</v>
      </c>
      <c r="T332" s="13">
        <v>0</v>
      </c>
      <c r="U332" s="13">
        <v>0</v>
      </c>
      <c r="V332" s="13">
        <v>0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13">
        <v>0</v>
      </c>
      <c r="AF332" s="13">
        <v>0</v>
      </c>
      <c r="AG332" s="13">
        <v>0</v>
      </c>
      <c r="AH332" s="13">
        <v>0</v>
      </c>
      <c r="AI332" s="13">
        <v>0</v>
      </c>
      <c r="AJ332" s="13">
        <v>0</v>
      </c>
      <c r="AK332" s="13">
        <v>0</v>
      </c>
    </row>
    <row r="333" spans="3:37">
      <c r="C333" s="81" t="s">
        <v>112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  <c r="I333" s="13">
        <v>0</v>
      </c>
      <c r="J333" s="13">
        <v>0</v>
      </c>
      <c r="K333" s="13">
        <v>0</v>
      </c>
      <c r="L333" s="13">
        <v>0</v>
      </c>
      <c r="M333" s="13">
        <v>0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28.147399663737804</v>
      </c>
      <c r="T333" s="13">
        <v>0</v>
      </c>
      <c r="U333" s="13">
        <v>0</v>
      </c>
      <c r="V333" s="13">
        <v>0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13">
        <v>0</v>
      </c>
      <c r="AF333" s="13">
        <v>0</v>
      </c>
      <c r="AG333" s="13">
        <v>0</v>
      </c>
      <c r="AH333" s="13">
        <v>0</v>
      </c>
      <c r="AI333" s="13">
        <v>0</v>
      </c>
      <c r="AJ333" s="13">
        <v>0</v>
      </c>
      <c r="AK333" s="13">
        <v>0</v>
      </c>
    </row>
    <row r="334" spans="3:37">
      <c r="C334" s="81" t="s">
        <v>114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  <c r="I334" s="13">
        <v>0</v>
      </c>
      <c r="J334" s="13">
        <v>0</v>
      </c>
      <c r="K334" s="13">
        <v>0</v>
      </c>
      <c r="L334" s="13">
        <v>0</v>
      </c>
      <c r="M334" s="13">
        <v>0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358.57144050723031</v>
      </c>
      <c r="U334" s="13">
        <v>0</v>
      </c>
      <c r="V334" s="13">
        <v>0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13">
        <v>0</v>
      </c>
      <c r="AF334" s="13">
        <v>0</v>
      </c>
      <c r="AG334" s="13">
        <v>0</v>
      </c>
      <c r="AH334" s="13">
        <v>0</v>
      </c>
      <c r="AI334" s="13">
        <v>0</v>
      </c>
      <c r="AJ334" s="13">
        <v>0</v>
      </c>
      <c r="AK334" s="13">
        <v>0</v>
      </c>
    </row>
    <row r="335" spans="3:37">
      <c r="C335" s="81" t="s">
        <v>116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  <c r="I335" s="13">
        <v>0</v>
      </c>
      <c r="J335" s="13">
        <v>0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1972.3872867580462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13">
        <v>0</v>
      </c>
      <c r="AF335" s="13">
        <v>0</v>
      </c>
      <c r="AG335" s="13">
        <v>0</v>
      </c>
      <c r="AH335" s="13">
        <v>0</v>
      </c>
      <c r="AI335" s="13">
        <v>0</v>
      </c>
      <c r="AJ335" s="13">
        <v>0</v>
      </c>
      <c r="AK335" s="13">
        <v>0</v>
      </c>
    </row>
    <row r="336" spans="3:37">
      <c r="C336" s="81" t="s">
        <v>118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  <c r="I336" s="13">
        <v>0</v>
      </c>
      <c r="J336" s="13">
        <v>0</v>
      </c>
      <c r="K336" s="13">
        <v>0</v>
      </c>
      <c r="L336" s="13">
        <v>0</v>
      </c>
      <c r="M336" s="13">
        <v>0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26.125838310126756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13">
        <v>0</v>
      </c>
      <c r="AF336" s="13">
        <v>0</v>
      </c>
      <c r="AG336" s="13">
        <v>0</v>
      </c>
      <c r="AH336" s="13">
        <v>0</v>
      </c>
      <c r="AI336" s="13">
        <v>0</v>
      </c>
      <c r="AJ336" s="13">
        <v>0</v>
      </c>
      <c r="AK336" s="13">
        <v>0</v>
      </c>
    </row>
    <row r="337" spans="3:37">
      <c r="C337" s="81" t="s">
        <v>120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  <c r="I337" s="13">
        <v>0</v>
      </c>
      <c r="J337" s="13">
        <v>0</v>
      </c>
      <c r="K337" s="13">
        <v>0</v>
      </c>
      <c r="L337" s="13">
        <v>0</v>
      </c>
      <c r="M337" s="13">
        <v>0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0</v>
      </c>
      <c r="W337" s="13">
        <v>371.81284322832039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13">
        <v>0</v>
      </c>
      <c r="AF337" s="13">
        <v>0</v>
      </c>
      <c r="AG337" s="13">
        <v>0</v>
      </c>
      <c r="AH337" s="13">
        <v>0</v>
      </c>
      <c r="AI337" s="13">
        <v>0</v>
      </c>
      <c r="AJ337" s="13">
        <v>0</v>
      </c>
      <c r="AK337" s="13">
        <v>0</v>
      </c>
    </row>
    <row r="338" spans="3:37">
      <c r="C338" s="81" t="s">
        <v>122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  <c r="I338" s="13">
        <v>0</v>
      </c>
      <c r="J338" s="13">
        <v>0</v>
      </c>
      <c r="K338" s="13">
        <v>0</v>
      </c>
      <c r="L338" s="13">
        <v>0</v>
      </c>
      <c r="M338" s="13">
        <v>0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0</v>
      </c>
      <c r="W338" s="13">
        <v>0</v>
      </c>
      <c r="X338" s="13">
        <v>1686.8461875126563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13">
        <v>0</v>
      </c>
      <c r="AF338" s="13">
        <v>0</v>
      </c>
      <c r="AG338" s="13">
        <v>0</v>
      </c>
      <c r="AH338" s="13">
        <v>0</v>
      </c>
      <c r="AI338" s="13">
        <v>0</v>
      </c>
      <c r="AJ338" s="13">
        <v>0</v>
      </c>
      <c r="AK338" s="13">
        <v>0</v>
      </c>
    </row>
    <row r="339" spans="3:37">
      <c r="C339" s="81" t="s">
        <v>124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  <c r="I339" s="13">
        <v>0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0</v>
      </c>
      <c r="W339" s="13">
        <v>0</v>
      </c>
      <c r="X339" s="13">
        <v>0</v>
      </c>
      <c r="Y339" s="13">
        <v>309.10548489822537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13">
        <v>0</v>
      </c>
      <c r="AF339" s="13">
        <v>0</v>
      </c>
      <c r="AG339" s="13">
        <v>0</v>
      </c>
      <c r="AH339" s="13">
        <v>0</v>
      </c>
      <c r="AI339" s="13">
        <v>0</v>
      </c>
      <c r="AJ339" s="13">
        <v>0</v>
      </c>
      <c r="AK339" s="13">
        <v>0</v>
      </c>
    </row>
    <row r="340" spans="3:37">
      <c r="C340" s="81" t="s">
        <v>126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  <c r="I340" s="13">
        <v>0</v>
      </c>
      <c r="J340" s="13">
        <v>0</v>
      </c>
      <c r="K340" s="13">
        <v>0</v>
      </c>
      <c r="L340" s="13">
        <v>0</v>
      </c>
      <c r="M340" s="13">
        <v>0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0</v>
      </c>
      <c r="W340" s="13">
        <v>0</v>
      </c>
      <c r="X340" s="13">
        <v>0</v>
      </c>
      <c r="Y340" s="13">
        <v>0</v>
      </c>
      <c r="Z340" s="13">
        <v>494.98646345062889</v>
      </c>
      <c r="AA340" s="13">
        <v>0</v>
      </c>
      <c r="AB340" s="13">
        <v>0</v>
      </c>
      <c r="AC340" s="13">
        <v>0</v>
      </c>
      <c r="AD340" s="13">
        <v>0</v>
      </c>
      <c r="AE340" s="13">
        <v>0</v>
      </c>
      <c r="AF340" s="13">
        <v>0</v>
      </c>
      <c r="AG340" s="13">
        <v>0</v>
      </c>
      <c r="AH340" s="13">
        <v>0</v>
      </c>
      <c r="AI340" s="13">
        <v>0</v>
      </c>
      <c r="AJ340" s="13">
        <v>0</v>
      </c>
      <c r="AK340" s="13">
        <v>0</v>
      </c>
    </row>
    <row r="341" spans="3:37">
      <c r="C341" s="81" t="s">
        <v>128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  <c r="I341" s="13">
        <v>0</v>
      </c>
      <c r="J341" s="13">
        <v>0</v>
      </c>
      <c r="K341" s="13">
        <v>0</v>
      </c>
      <c r="L341" s="13">
        <v>0</v>
      </c>
      <c r="M341" s="13">
        <v>0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0</v>
      </c>
      <c r="W341" s="13">
        <v>0</v>
      </c>
      <c r="X341" s="13">
        <v>0</v>
      </c>
      <c r="Y341" s="13">
        <v>0</v>
      </c>
      <c r="Z341" s="13">
        <v>0</v>
      </c>
      <c r="AA341" s="13">
        <v>4.6249417908365444</v>
      </c>
      <c r="AB341" s="13">
        <v>0</v>
      </c>
      <c r="AC341" s="13">
        <v>0</v>
      </c>
      <c r="AD341" s="13">
        <v>0</v>
      </c>
      <c r="AE341" s="13">
        <v>0</v>
      </c>
      <c r="AF341" s="13">
        <v>0</v>
      </c>
      <c r="AG341" s="13">
        <v>0</v>
      </c>
      <c r="AH341" s="13">
        <v>0</v>
      </c>
      <c r="AI341" s="13">
        <v>0</v>
      </c>
      <c r="AJ341" s="13">
        <v>0</v>
      </c>
      <c r="AK341" s="13">
        <v>0</v>
      </c>
    </row>
    <row r="342" spans="3:37">
      <c r="C342" s="81" t="s">
        <v>130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  <c r="I342" s="13">
        <v>0</v>
      </c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25.6915287789394</v>
      </c>
      <c r="AC342" s="13">
        <v>0</v>
      </c>
      <c r="AD342" s="13">
        <v>0</v>
      </c>
      <c r="AE342" s="13">
        <v>0</v>
      </c>
      <c r="AF342" s="13">
        <v>0</v>
      </c>
      <c r="AG342" s="13">
        <v>0</v>
      </c>
      <c r="AH342" s="13">
        <v>0</v>
      </c>
      <c r="AI342" s="13">
        <v>0</v>
      </c>
      <c r="AJ342" s="13">
        <v>0</v>
      </c>
      <c r="AK342" s="13">
        <v>0</v>
      </c>
    </row>
    <row r="343" spans="3:37">
      <c r="C343" s="81" t="s">
        <v>132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  <c r="I343" s="13">
        <v>0</v>
      </c>
      <c r="J343" s="13">
        <v>0</v>
      </c>
      <c r="K343" s="13">
        <v>0</v>
      </c>
      <c r="L343" s="13">
        <v>0</v>
      </c>
      <c r="M343" s="13">
        <v>0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150.9709246971882</v>
      </c>
      <c r="AD343" s="13">
        <v>0</v>
      </c>
      <c r="AE343" s="13">
        <v>0</v>
      </c>
      <c r="AF343" s="13">
        <v>0</v>
      </c>
      <c r="AG343" s="13">
        <v>0</v>
      </c>
      <c r="AH343" s="13">
        <v>0</v>
      </c>
      <c r="AI343" s="13">
        <v>0</v>
      </c>
      <c r="AJ343" s="13">
        <v>0</v>
      </c>
      <c r="AK343" s="13">
        <v>0</v>
      </c>
    </row>
    <row r="344" spans="3:37">
      <c r="C344" s="81" t="s">
        <v>134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  <c r="I344" s="13">
        <v>0</v>
      </c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518.3540690597988</v>
      </c>
      <c r="AE344" s="13">
        <v>0</v>
      </c>
      <c r="AF344" s="13">
        <v>0</v>
      </c>
      <c r="AG344" s="13">
        <v>0</v>
      </c>
      <c r="AH344" s="13">
        <v>0</v>
      </c>
      <c r="AI344" s="13">
        <v>0</v>
      </c>
      <c r="AJ344" s="13">
        <v>0</v>
      </c>
      <c r="AK344" s="13">
        <v>0</v>
      </c>
    </row>
    <row r="345" spans="3:37">
      <c r="C345" s="81" t="s">
        <v>136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  <c r="I345" s="13">
        <v>0</v>
      </c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13">
        <v>1592.6661745555984</v>
      </c>
      <c r="AF345" s="13">
        <v>0</v>
      </c>
      <c r="AG345" s="13">
        <v>0</v>
      </c>
      <c r="AH345" s="13">
        <v>0</v>
      </c>
      <c r="AI345" s="13">
        <v>0</v>
      </c>
      <c r="AJ345" s="13">
        <v>0</v>
      </c>
      <c r="AK345" s="13">
        <v>0</v>
      </c>
    </row>
    <row r="346" spans="3:37">
      <c r="C346" s="81" t="s">
        <v>138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  <c r="I346" s="13">
        <v>0</v>
      </c>
      <c r="J346" s="13">
        <v>0</v>
      </c>
      <c r="K346" s="13">
        <v>0</v>
      </c>
      <c r="L346" s="13">
        <v>0</v>
      </c>
      <c r="M346" s="13">
        <v>0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13">
        <v>0</v>
      </c>
      <c r="AF346" s="13">
        <v>273.7316117257742</v>
      </c>
      <c r="AG346" s="13">
        <v>0</v>
      </c>
      <c r="AH346" s="13">
        <v>0</v>
      </c>
      <c r="AI346" s="13">
        <v>0</v>
      </c>
      <c r="AJ346" s="13">
        <v>0</v>
      </c>
      <c r="AK346" s="13">
        <v>0</v>
      </c>
    </row>
    <row r="347" spans="3:37">
      <c r="C347" s="81" t="s">
        <v>140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  <c r="I347" s="13">
        <v>0</v>
      </c>
      <c r="J347" s="13">
        <v>0</v>
      </c>
      <c r="K347" s="13">
        <v>0</v>
      </c>
      <c r="L347" s="13">
        <v>0</v>
      </c>
      <c r="M347" s="13">
        <v>0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0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13">
        <v>0</v>
      </c>
      <c r="AF347" s="13">
        <v>0</v>
      </c>
      <c r="AG347" s="13">
        <v>205.87631948621203</v>
      </c>
      <c r="AH347" s="13">
        <v>0</v>
      </c>
      <c r="AI347" s="13">
        <v>0</v>
      </c>
      <c r="AJ347" s="13">
        <v>0</v>
      </c>
      <c r="AK347" s="13">
        <v>0</v>
      </c>
    </row>
    <row r="348" spans="3:37">
      <c r="C348" s="81" t="s">
        <v>142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  <c r="I348" s="13">
        <v>0</v>
      </c>
      <c r="J348" s="13">
        <v>0</v>
      </c>
      <c r="K348" s="13">
        <v>0</v>
      </c>
      <c r="L348" s="13">
        <v>0</v>
      </c>
      <c r="M348" s="13">
        <v>0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0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13">
        <v>0</v>
      </c>
      <c r="AF348" s="13">
        <v>0</v>
      </c>
      <c r="AG348" s="13">
        <v>0</v>
      </c>
      <c r="AH348" s="13">
        <v>609.42890026017676</v>
      </c>
      <c r="AI348" s="13">
        <v>0</v>
      </c>
      <c r="AJ348" s="13">
        <v>0</v>
      </c>
      <c r="AK348" s="13">
        <v>0</v>
      </c>
    </row>
    <row r="349" spans="3:37">
      <c r="C349" s="81" t="s">
        <v>144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  <c r="I349" s="13">
        <v>0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13">
        <v>0</v>
      </c>
      <c r="AF349" s="13">
        <v>0</v>
      </c>
      <c r="AG349" s="13">
        <v>0</v>
      </c>
      <c r="AH349" s="13">
        <v>0</v>
      </c>
      <c r="AI349" s="13">
        <v>593.04897564706414</v>
      </c>
      <c r="AJ349" s="13">
        <v>0</v>
      </c>
      <c r="AK349" s="13">
        <v>0</v>
      </c>
    </row>
    <row r="350" spans="3:37">
      <c r="C350" s="81" t="s">
        <v>146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  <c r="I350" s="13">
        <v>0</v>
      </c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13">
        <v>0</v>
      </c>
      <c r="AF350" s="13">
        <v>0</v>
      </c>
      <c r="AG350" s="13">
        <v>0</v>
      </c>
      <c r="AH350" s="13">
        <v>0</v>
      </c>
      <c r="AI350" s="13">
        <v>0</v>
      </c>
      <c r="AJ350" s="13">
        <v>332.9210060847268</v>
      </c>
      <c r="AK350" s="13">
        <v>0</v>
      </c>
    </row>
    <row r="351" spans="3:37">
      <c r="C351" s="81" t="s">
        <v>148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  <c r="I351" s="13">
        <v>0</v>
      </c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13">
        <v>0</v>
      </c>
      <c r="AF351" s="13">
        <v>0</v>
      </c>
      <c r="AG351" s="13">
        <v>0</v>
      </c>
      <c r="AH351" s="13">
        <v>0</v>
      </c>
      <c r="AI351" s="13">
        <v>0</v>
      </c>
      <c r="AJ351" s="13">
        <v>0</v>
      </c>
      <c r="AK351" s="13">
        <v>229.81577302654119</v>
      </c>
    </row>
    <row r="353" spans="2:37">
      <c r="B353" s="24" t="s">
        <v>44</v>
      </c>
    </row>
    <row r="355" spans="2:37">
      <c r="D355" s="81" t="s">
        <v>82</v>
      </c>
      <c r="E355" s="81" t="s">
        <v>84</v>
      </c>
      <c r="F355" s="81" t="s">
        <v>86</v>
      </c>
      <c r="G355" s="81" t="s">
        <v>88</v>
      </c>
      <c r="H355" s="81" t="s">
        <v>90</v>
      </c>
      <c r="I355" s="81" t="s">
        <v>92</v>
      </c>
      <c r="J355" s="81" t="s">
        <v>94</v>
      </c>
      <c r="K355" s="81" t="s">
        <v>96</v>
      </c>
      <c r="L355" s="81" t="s">
        <v>98</v>
      </c>
      <c r="M355" s="81" t="s">
        <v>100</v>
      </c>
      <c r="N355" s="81" t="s">
        <v>102</v>
      </c>
      <c r="O355" s="81" t="s">
        <v>104</v>
      </c>
      <c r="P355" s="81" t="s">
        <v>106</v>
      </c>
      <c r="Q355" s="81" t="s">
        <v>108</v>
      </c>
      <c r="R355" s="81" t="s">
        <v>110</v>
      </c>
      <c r="S355" s="81" t="s">
        <v>112</v>
      </c>
      <c r="T355" s="81" t="s">
        <v>114</v>
      </c>
      <c r="U355" s="81" t="s">
        <v>116</v>
      </c>
      <c r="V355" s="81" t="s">
        <v>118</v>
      </c>
      <c r="W355" s="81" t="s">
        <v>120</v>
      </c>
      <c r="X355" s="81" t="s">
        <v>122</v>
      </c>
      <c r="Y355" s="81" t="s">
        <v>124</v>
      </c>
      <c r="Z355" s="81" t="s">
        <v>126</v>
      </c>
      <c r="AA355" s="81" t="s">
        <v>128</v>
      </c>
      <c r="AB355" s="81" t="s">
        <v>130</v>
      </c>
      <c r="AC355" s="81" t="s">
        <v>132</v>
      </c>
      <c r="AD355" s="81" t="s">
        <v>134</v>
      </c>
      <c r="AE355" s="81" t="s">
        <v>136</v>
      </c>
      <c r="AF355" s="81" t="s">
        <v>138</v>
      </c>
      <c r="AG355" s="81" t="s">
        <v>140</v>
      </c>
      <c r="AH355" s="81" t="s">
        <v>142</v>
      </c>
      <c r="AI355" s="81" t="s">
        <v>144</v>
      </c>
      <c r="AJ355" s="81" t="s">
        <v>146</v>
      </c>
      <c r="AK355" s="81" t="s">
        <v>148</v>
      </c>
    </row>
    <row r="356" spans="2:37">
      <c r="C356" s="81" t="s">
        <v>82</v>
      </c>
      <c r="D356" s="86">
        <f t="array" ref="D356:AK389">MINVERSE(D318:AK351)</f>
        <v>3.2738925681736992E-4</v>
      </c>
      <c r="E356" s="86">
        <v>0</v>
      </c>
      <c r="F356" s="86">
        <v>0</v>
      </c>
      <c r="G356" s="86">
        <v>0</v>
      </c>
      <c r="H356" s="86">
        <v>0</v>
      </c>
      <c r="I356" s="86">
        <v>0</v>
      </c>
      <c r="J356" s="86">
        <v>0</v>
      </c>
      <c r="K356" s="86">
        <v>0</v>
      </c>
      <c r="L356" s="86">
        <v>0</v>
      </c>
      <c r="M356" s="86">
        <v>0</v>
      </c>
      <c r="N356" s="86">
        <v>0</v>
      </c>
      <c r="O356" s="86">
        <v>0</v>
      </c>
      <c r="P356" s="86">
        <v>0</v>
      </c>
      <c r="Q356" s="86">
        <v>0</v>
      </c>
      <c r="R356" s="86">
        <v>0</v>
      </c>
      <c r="S356" s="86">
        <v>0</v>
      </c>
      <c r="T356" s="86">
        <v>0</v>
      </c>
      <c r="U356" s="86">
        <v>0</v>
      </c>
      <c r="V356" s="86">
        <v>0</v>
      </c>
      <c r="W356" s="86">
        <v>0</v>
      </c>
      <c r="X356" s="86">
        <v>0</v>
      </c>
      <c r="Y356" s="86">
        <v>0</v>
      </c>
      <c r="Z356" s="86">
        <v>0</v>
      </c>
      <c r="AA356" s="86">
        <v>0</v>
      </c>
      <c r="AB356" s="86">
        <v>0</v>
      </c>
      <c r="AC356" s="86">
        <v>0</v>
      </c>
      <c r="AD356" s="86">
        <v>0</v>
      </c>
      <c r="AE356" s="86">
        <v>0</v>
      </c>
      <c r="AF356" s="86">
        <v>0</v>
      </c>
      <c r="AG356" s="86">
        <v>0</v>
      </c>
      <c r="AH356" s="86">
        <v>0</v>
      </c>
      <c r="AI356" s="86">
        <v>0</v>
      </c>
      <c r="AJ356" s="86">
        <v>0</v>
      </c>
      <c r="AK356" s="86">
        <v>0</v>
      </c>
    </row>
    <row r="357" spans="2:37">
      <c r="C357" s="81" t="s">
        <v>84</v>
      </c>
      <c r="D357" s="86">
        <v>0</v>
      </c>
      <c r="E357" s="86">
        <v>6.8764973842074667E-3</v>
      </c>
      <c r="F357" s="86">
        <v>0</v>
      </c>
      <c r="G357" s="86">
        <v>0</v>
      </c>
      <c r="H357" s="86">
        <v>0</v>
      </c>
      <c r="I357" s="86">
        <v>0</v>
      </c>
      <c r="J357" s="86">
        <v>0</v>
      </c>
      <c r="K357" s="86">
        <v>0</v>
      </c>
      <c r="L357" s="86">
        <v>0</v>
      </c>
      <c r="M357" s="86">
        <v>0</v>
      </c>
      <c r="N357" s="86">
        <v>0</v>
      </c>
      <c r="O357" s="86">
        <v>0</v>
      </c>
      <c r="P357" s="86">
        <v>0</v>
      </c>
      <c r="Q357" s="86">
        <v>0</v>
      </c>
      <c r="R357" s="86">
        <v>0</v>
      </c>
      <c r="S357" s="86">
        <v>0</v>
      </c>
      <c r="T357" s="86">
        <v>0</v>
      </c>
      <c r="U357" s="86">
        <v>0</v>
      </c>
      <c r="V357" s="86">
        <v>0</v>
      </c>
      <c r="W357" s="86">
        <v>0</v>
      </c>
      <c r="X357" s="86">
        <v>0</v>
      </c>
      <c r="Y357" s="86">
        <v>0</v>
      </c>
      <c r="Z357" s="86">
        <v>0</v>
      </c>
      <c r="AA357" s="86">
        <v>0</v>
      </c>
      <c r="AB357" s="86">
        <v>0</v>
      </c>
      <c r="AC357" s="86">
        <v>0</v>
      </c>
      <c r="AD357" s="86">
        <v>0</v>
      </c>
      <c r="AE357" s="86">
        <v>0</v>
      </c>
      <c r="AF357" s="86">
        <v>0</v>
      </c>
      <c r="AG357" s="86">
        <v>0</v>
      </c>
      <c r="AH357" s="86">
        <v>0</v>
      </c>
      <c r="AI357" s="86">
        <v>0</v>
      </c>
      <c r="AJ357" s="86">
        <v>0</v>
      </c>
      <c r="AK357" s="86">
        <v>0</v>
      </c>
    </row>
    <row r="358" spans="2:37">
      <c r="C358" s="81" t="s">
        <v>86</v>
      </c>
      <c r="D358" s="86">
        <v>0</v>
      </c>
      <c r="E358" s="86">
        <v>0</v>
      </c>
      <c r="F358" s="86">
        <v>1.5551679975397857E-3</v>
      </c>
      <c r="G358" s="86">
        <v>0</v>
      </c>
      <c r="H358" s="86">
        <v>0</v>
      </c>
      <c r="I358" s="86">
        <v>0</v>
      </c>
      <c r="J358" s="86">
        <v>0</v>
      </c>
      <c r="K358" s="86">
        <v>0</v>
      </c>
      <c r="L358" s="86">
        <v>0</v>
      </c>
      <c r="M358" s="86">
        <v>0</v>
      </c>
      <c r="N358" s="86">
        <v>0</v>
      </c>
      <c r="O358" s="86">
        <v>0</v>
      </c>
      <c r="P358" s="86">
        <v>0</v>
      </c>
      <c r="Q358" s="86">
        <v>0</v>
      </c>
      <c r="R358" s="86">
        <v>0</v>
      </c>
      <c r="S358" s="86">
        <v>0</v>
      </c>
      <c r="T358" s="86">
        <v>0</v>
      </c>
      <c r="U358" s="86">
        <v>0</v>
      </c>
      <c r="V358" s="86">
        <v>0</v>
      </c>
      <c r="W358" s="86">
        <v>0</v>
      </c>
      <c r="X358" s="86">
        <v>0</v>
      </c>
      <c r="Y358" s="86">
        <v>0</v>
      </c>
      <c r="Z358" s="86">
        <v>0</v>
      </c>
      <c r="AA358" s="86">
        <v>0</v>
      </c>
      <c r="AB358" s="86">
        <v>0</v>
      </c>
      <c r="AC358" s="86">
        <v>0</v>
      </c>
      <c r="AD358" s="86">
        <v>0</v>
      </c>
      <c r="AE358" s="86">
        <v>0</v>
      </c>
      <c r="AF358" s="86">
        <v>0</v>
      </c>
      <c r="AG358" s="86">
        <v>0</v>
      </c>
      <c r="AH358" s="86">
        <v>0</v>
      </c>
      <c r="AI358" s="86">
        <v>0</v>
      </c>
      <c r="AJ358" s="86">
        <v>0</v>
      </c>
      <c r="AK358" s="86">
        <v>0</v>
      </c>
    </row>
    <row r="359" spans="2:37">
      <c r="C359" s="81" t="s">
        <v>88</v>
      </c>
      <c r="D359" s="86">
        <v>0</v>
      </c>
      <c r="E359" s="86">
        <v>0</v>
      </c>
      <c r="F359" s="86">
        <v>0</v>
      </c>
      <c r="G359" s="86">
        <v>7.7935742166632448E-3</v>
      </c>
      <c r="H359" s="86">
        <v>0</v>
      </c>
      <c r="I359" s="86">
        <v>0</v>
      </c>
      <c r="J359" s="86">
        <v>0</v>
      </c>
      <c r="K359" s="86">
        <v>0</v>
      </c>
      <c r="L359" s="86">
        <v>0</v>
      </c>
      <c r="M359" s="86">
        <v>0</v>
      </c>
      <c r="N359" s="86">
        <v>0</v>
      </c>
      <c r="O359" s="86">
        <v>0</v>
      </c>
      <c r="P359" s="86">
        <v>0</v>
      </c>
      <c r="Q359" s="86">
        <v>0</v>
      </c>
      <c r="R359" s="86">
        <v>0</v>
      </c>
      <c r="S359" s="86">
        <v>0</v>
      </c>
      <c r="T359" s="86">
        <v>0</v>
      </c>
      <c r="U359" s="86">
        <v>0</v>
      </c>
      <c r="V359" s="86">
        <v>0</v>
      </c>
      <c r="W359" s="86">
        <v>0</v>
      </c>
      <c r="X359" s="86">
        <v>0</v>
      </c>
      <c r="Y359" s="86">
        <v>0</v>
      </c>
      <c r="Z359" s="86">
        <v>0</v>
      </c>
      <c r="AA359" s="86">
        <v>0</v>
      </c>
      <c r="AB359" s="86">
        <v>0</v>
      </c>
      <c r="AC359" s="86">
        <v>0</v>
      </c>
      <c r="AD359" s="86">
        <v>0</v>
      </c>
      <c r="AE359" s="86">
        <v>0</v>
      </c>
      <c r="AF359" s="86">
        <v>0</v>
      </c>
      <c r="AG359" s="86">
        <v>0</v>
      </c>
      <c r="AH359" s="86">
        <v>0</v>
      </c>
      <c r="AI359" s="86">
        <v>0</v>
      </c>
      <c r="AJ359" s="86">
        <v>0</v>
      </c>
      <c r="AK359" s="86">
        <v>0</v>
      </c>
    </row>
    <row r="360" spans="2:37">
      <c r="C360" s="81" t="s">
        <v>90</v>
      </c>
      <c r="D360" s="86">
        <v>0</v>
      </c>
      <c r="E360" s="86">
        <v>0</v>
      </c>
      <c r="F360" s="86">
        <v>0</v>
      </c>
      <c r="G360" s="86">
        <v>0</v>
      </c>
      <c r="H360" s="86">
        <v>7.3553719562965289E-2</v>
      </c>
      <c r="I360" s="86">
        <v>0</v>
      </c>
      <c r="J360" s="86">
        <v>0</v>
      </c>
      <c r="K360" s="86">
        <v>0</v>
      </c>
      <c r="L360" s="86">
        <v>0</v>
      </c>
      <c r="M360" s="86">
        <v>0</v>
      </c>
      <c r="N360" s="86">
        <v>0</v>
      </c>
      <c r="O360" s="86">
        <v>0</v>
      </c>
      <c r="P360" s="86">
        <v>0</v>
      </c>
      <c r="Q360" s="86">
        <v>0</v>
      </c>
      <c r="R360" s="86">
        <v>0</v>
      </c>
      <c r="S360" s="86">
        <v>0</v>
      </c>
      <c r="T360" s="86">
        <v>0</v>
      </c>
      <c r="U360" s="86">
        <v>0</v>
      </c>
      <c r="V360" s="86">
        <v>0</v>
      </c>
      <c r="W360" s="86">
        <v>0</v>
      </c>
      <c r="X360" s="86">
        <v>0</v>
      </c>
      <c r="Y360" s="86">
        <v>0</v>
      </c>
      <c r="Z360" s="86">
        <v>0</v>
      </c>
      <c r="AA360" s="86">
        <v>0</v>
      </c>
      <c r="AB360" s="86">
        <v>0</v>
      </c>
      <c r="AC360" s="86">
        <v>0</v>
      </c>
      <c r="AD360" s="86">
        <v>0</v>
      </c>
      <c r="AE360" s="86">
        <v>0</v>
      </c>
      <c r="AF360" s="86">
        <v>0</v>
      </c>
      <c r="AG360" s="86">
        <v>0</v>
      </c>
      <c r="AH360" s="86">
        <v>0</v>
      </c>
      <c r="AI360" s="86">
        <v>0</v>
      </c>
      <c r="AJ360" s="86">
        <v>0</v>
      </c>
      <c r="AK360" s="86">
        <v>0</v>
      </c>
    </row>
    <row r="361" spans="2:37">
      <c r="C361" s="81" t="s">
        <v>92</v>
      </c>
      <c r="D361" s="86">
        <v>0</v>
      </c>
      <c r="E361" s="86">
        <v>0</v>
      </c>
      <c r="F361" s="86">
        <v>0</v>
      </c>
      <c r="G361" s="86">
        <v>0</v>
      </c>
      <c r="H361" s="86">
        <v>0</v>
      </c>
      <c r="I361" s="86">
        <v>0.25317781258234179</v>
      </c>
      <c r="J361" s="86">
        <v>0</v>
      </c>
      <c r="K361" s="86">
        <v>0</v>
      </c>
      <c r="L361" s="86">
        <v>0</v>
      </c>
      <c r="M361" s="86">
        <v>0</v>
      </c>
      <c r="N361" s="86">
        <v>0</v>
      </c>
      <c r="O361" s="86">
        <v>0</v>
      </c>
      <c r="P361" s="86">
        <v>0</v>
      </c>
      <c r="Q361" s="86">
        <v>0</v>
      </c>
      <c r="R361" s="86">
        <v>0</v>
      </c>
      <c r="S361" s="86">
        <v>0</v>
      </c>
      <c r="T361" s="86">
        <v>0</v>
      </c>
      <c r="U361" s="86">
        <v>0</v>
      </c>
      <c r="V361" s="86">
        <v>0</v>
      </c>
      <c r="W361" s="86">
        <v>0</v>
      </c>
      <c r="X361" s="86">
        <v>0</v>
      </c>
      <c r="Y361" s="86">
        <v>0</v>
      </c>
      <c r="Z361" s="86">
        <v>0</v>
      </c>
      <c r="AA361" s="86">
        <v>0</v>
      </c>
      <c r="AB361" s="86">
        <v>0</v>
      </c>
      <c r="AC361" s="86">
        <v>0</v>
      </c>
      <c r="AD361" s="86">
        <v>0</v>
      </c>
      <c r="AE361" s="86">
        <v>0</v>
      </c>
      <c r="AF361" s="86">
        <v>0</v>
      </c>
      <c r="AG361" s="86">
        <v>0</v>
      </c>
      <c r="AH361" s="86">
        <v>0</v>
      </c>
      <c r="AI361" s="86">
        <v>0</v>
      </c>
      <c r="AJ361" s="86">
        <v>0</v>
      </c>
      <c r="AK361" s="86">
        <v>0</v>
      </c>
    </row>
    <row r="362" spans="2:37">
      <c r="C362" s="81" t="s">
        <v>94</v>
      </c>
      <c r="D362" s="86">
        <v>0</v>
      </c>
      <c r="E362" s="86">
        <v>0</v>
      </c>
      <c r="F362" s="86">
        <v>0</v>
      </c>
      <c r="G362" s="86">
        <v>0</v>
      </c>
      <c r="H362" s="86">
        <v>0</v>
      </c>
      <c r="I362" s="86">
        <v>0</v>
      </c>
      <c r="J362" s="86">
        <v>2.5329321699739372E-2</v>
      </c>
      <c r="K362" s="86">
        <v>0</v>
      </c>
      <c r="L362" s="86">
        <v>0</v>
      </c>
      <c r="M362" s="86">
        <v>0</v>
      </c>
      <c r="N362" s="86">
        <v>0</v>
      </c>
      <c r="O362" s="86">
        <v>0</v>
      </c>
      <c r="P362" s="86">
        <v>0</v>
      </c>
      <c r="Q362" s="86">
        <v>0</v>
      </c>
      <c r="R362" s="86">
        <v>0</v>
      </c>
      <c r="S362" s="86">
        <v>0</v>
      </c>
      <c r="T362" s="86">
        <v>0</v>
      </c>
      <c r="U362" s="86">
        <v>0</v>
      </c>
      <c r="V362" s="86">
        <v>0</v>
      </c>
      <c r="W362" s="86">
        <v>0</v>
      </c>
      <c r="X362" s="86">
        <v>0</v>
      </c>
      <c r="Y362" s="86">
        <v>0</v>
      </c>
      <c r="Z362" s="86">
        <v>0</v>
      </c>
      <c r="AA362" s="86">
        <v>0</v>
      </c>
      <c r="AB362" s="86">
        <v>0</v>
      </c>
      <c r="AC362" s="86">
        <v>0</v>
      </c>
      <c r="AD362" s="86">
        <v>0</v>
      </c>
      <c r="AE362" s="86">
        <v>0</v>
      </c>
      <c r="AF362" s="86">
        <v>0</v>
      </c>
      <c r="AG362" s="86">
        <v>0</v>
      </c>
      <c r="AH362" s="86">
        <v>0</v>
      </c>
      <c r="AI362" s="86">
        <v>0</v>
      </c>
      <c r="AJ362" s="86">
        <v>0</v>
      </c>
      <c r="AK362" s="86">
        <v>0</v>
      </c>
    </row>
    <row r="363" spans="2:37">
      <c r="C363" s="81" t="s">
        <v>96</v>
      </c>
      <c r="D363" s="86">
        <v>0</v>
      </c>
      <c r="E363" s="86">
        <v>0</v>
      </c>
      <c r="F363" s="86">
        <v>0</v>
      </c>
      <c r="G363" s="86">
        <v>0</v>
      </c>
      <c r="H363" s="86">
        <v>0</v>
      </c>
      <c r="I363" s="86">
        <v>0</v>
      </c>
      <c r="J363" s="86">
        <v>0</v>
      </c>
      <c r="K363" s="86">
        <v>1.1805377664215562E-2</v>
      </c>
      <c r="L363" s="86">
        <v>0</v>
      </c>
      <c r="M363" s="86">
        <v>0</v>
      </c>
      <c r="N363" s="86">
        <v>0</v>
      </c>
      <c r="O363" s="86">
        <v>0</v>
      </c>
      <c r="P363" s="86">
        <v>0</v>
      </c>
      <c r="Q363" s="86">
        <v>0</v>
      </c>
      <c r="R363" s="86">
        <v>0</v>
      </c>
      <c r="S363" s="86">
        <v>0</v>
      </c>
      <c r="T363" s="86">
        <v>0</v>
      </c>
      <c r="U363" s="86">
        <v>0</v>
      </c>
      <c r="V363" s="86">
        <v>0</v>
      </c>
      <c r="W363" s="86">
        <v>0</v>
      </c>
      <c r="X363" s="86">
        <v>0</v>
      </c>
      <c r="Y363" s="86">
        <v>0</v>
      </c>
      <c r="Z363" s="86">
        <v>0</v>
      </c>
      <c r="AA363" s="86">
        <v>0</v>
      </c>
      <c r="AB363" s="86">
        <v>0</v>
      </c>
      <c r="AC363" s="86">
        <v>0</v>
      </c>
      <c r="AD363" s="86">
        <v>0</v>
      </c>
      <c r="AE363" s="86">
        <v>0</v>
      </c>
      <c r="AF363" s="86">
        <v>0</v>
      </c>
      <c r="AG363" s="86">
        <v>0</v>
      </c>
      <c r="AH363" s="86">
        <v>0</v>
      </c>
      <c r="AI363" s="86">
        <v>0</v>
      </c>
      <c r="AJ363" s="86">
        <v>0</v>
      </c>
      <c r="AK363" s="86">
        <v>0</v>
      </c>
    </row>
    <row r="364" spans="2:37">
      <c r="C364" s="81" t="s">
        <v>98</v>
      </c>
      <c r="D364" s="86">
        <v>0</v>
      </c>
      <c r="E364" s="86">
        <v>0</v>
      </c>
      <c r="F364" s="86">
        <v>0</v>
      </c>
      <c r="G364" s="86">
        <v>0</v>
      </c>
      <c r="H364" s="86">
        <v>0</v>
      </c>
      <c r="I364" s="86">
        <v>0</v>
      </c>
      <c r="J364" s="86">
        <v>0</v>
      </c>
      <c r="K364" s="86">
        <v>0</v>
      </c>
      <c r="L364" s="86">
        <v>2.5544104949376246E-2</v>
      </c>
      <c r="M364" s="86">
        <v>0</v>
      </c>
      <c r="N364" s="86">
        <v>0</v>
      </c>
      <c r="O364" s="86">
        <v>0</v>
      </c>
      <c r="P364" s="86">
        <v>0</v>
      </c>
      <c r="Q364" s="86">
        <v>0</v>
      </c>
      <c r="R364" s="86">
        <v>0</v>
      </c>
      <c r="S364" s="86">
        <v>0</v>
      </c>
      <c r="T364" s="86">
        <v>0</v>
      </c>
      <c r="U364" s="86">
        <v>0</v>
      </c>
      <c r="V364" s="86">
        <v>0</v>
      </c>
      <c r="W364" s="86">
        <v>0</v>
      </c>
      <c r="X364" s="86">
        <v>0</v>
      </c>
      <c r="Y364" s="86">
        <v>0</v>
      </c>
      <c r="Z364" s="86">
        <v>0</v>
      </c>
      <c r="AA364" s="86">
        <v>0</v>
      </c>
      <c r="AB364" s="86">
        <v>0</v>
      </c>
      <c r="AC364" s="86">
        <v>0</v>
      </c>
      <c r="AD364" s="86">
        <v>0</v>
      </c>
      <c r="AE364" s="86">
        <v>0</v>
      </c>
      <c r="AF364" s="86">
        <v>0</v>
      </c>
      <c r="AG364" s="86">
        <v>0</v>
      </c>
      <c r="AH364" s="86">
        <v>0</v>
      </c>
      <c r="AI364" s="86">
        <v>0</v>
      </c>
      <c r="AJ364" s="86">
        <v>0</v>
      </c>
      <c r="AK364" s="86">
        <v>0</v>
      </c>
    </row>
    <row r="365" spans="2:37">
      <c r="C365" s="81" t="s">
        <v>100</v>
      </c>
      <c r="D365" s="86">
        <v>0</v>
      </c>
      <c r="E365" s="86">
        <v>0</v>
      </c>
      <c r="F365" s="86">
        <v>0</v>
      </c>
      <c r="G365" s="86">
        <v>0</v>
      </c>
      <c r="H365" s="86">
        <v>0</v>
      </c>
      <c r="I365" s="86">
        <v>0</v>
      </c>
      <c r="J365" s="86">
        <v>0</v>
      </c>
      <c r="K365" s="86">
        <v>0</v>
      </c>
      <c r="L365" s="86">
        <v>0</v>
      </c>
      <c r="M365" s="86">
        <v>1.309932262607864E-2</v>
      </c>
      <c r="N365" s="86">
        <v>0</v>
      </c>
      <c r="O365" s="86">
        <v>0</v>
      </c>
      <c r="P365" s="86">
        <v>0</v>
      </c>
      <c r="Q365" s="86">
        <v>0</v>
      </c>
      <c r="R365" s="86">
        <v>0</v>
      </c>
      <c r="S365" s="86">
        <v>0</v>
      </c>
      <c r="T365" s="86">
        <v>0</v>
      </c>
      <c r="U365" s="86">
        <v>0</v>
      </c>
      <c r="V365" s="86">
        <v>0</v>
      </c>
      <c r="W365" s="86">
        <v>0</v>
      </c>
      <c r="X365" s="86">
        <v>0</v>
      </c>
      <c r="Y365" s="86">
        <v>0</v>
      </c>
      <c r="Z365" s="86">
        <v>0</v>
      </c>
      <c r="AA365" s="86">
        <v>0</v>
      </c>
      <c r="AB365" s="86">
        <v>0</v>
      </c>
      <c r="AC365" s="86">
        <v>0</v>
      </c>
      <c r="AD365" s="86">
        <v>0</v>
      </c>
      <c r="AE365" s="86">
        <v>0</v>
      </c>
      <c r="AF365" s="86">
        <v>0</v>
      </c>
      <c r="AG365" s="86">
        <v>0</v>
      </c>
      <c r="AH365" s="86">
        <v>0</v>
      </c>
      <c r="AI365" s="86">
        <v>0</v>
      </c>
      <c r="AJ365" s="86">
        <v>0</v>
      </c>
      <c r="AK365" s="86">
        <v>0</v>
      </c>
    </row>
    <row r="366" spans="2:37">
      <c r="C366" s="81" t="s">
        <v>102</v>
      </c>
      <c r="D366" s="86">
        <v>0</v>
      </c>
      <c r="E366" s="86">
        <v>0</v>
      </c>
      <c r="F366" s="86">
        <v>0</v>
      </c>
      <c r="G366" s="86">
        <v>0</v>
      </c>
      <c r="H366" s="86">
        <v>0</v>
      </c>
      <c r="I366" s="86">
        <v>0</v>
      </c>
      <c r="J366" s="86">
        <v>0</v>
      </c>
      <c r="K366" s="86">
        <v>0</v>
      </c>
      <c r="L366" s="86">
        <v>0</v>
      </c>
      <c r="M366" s="86">
        <v>0</v>
      </c>
      <c r="N366" s="86">
        <v>3.5677507040173871E-3</v>
      </c>
      <c r="O366" s="86">
        <v>0</v>
      </c>
      <c r="P366" s="86">
        <v>0</v>
      </c>
      <c r="Q366" s="86">
        <v>0</v>
      </c>
      <c r="R366" s="86">
        <v>0</v>
      </c>
      <c r="S366" s="86">
        <v>0</v>
      </c>
      <c r="T366" s="86">
        <v>0</v>
      </c>
      <c r="U366" s="86">
        <v>0</v>
      </c>
      <c r="V366" s="86">
        <v>0</v>
      </c>
      <c r="W366" s="86">
        <v>0</v>
      </c>
      <c r="X366" s="86">
        <v>0</v>
      </c>
      <c r="Y366" s="86">
        <v>0</v>
      </c>
      <c r="Z366" s="86">
        <v>0</v>
      </c>
      <c r="AA366" s="86">
        <v>0</v>
      </c>
      <c r="AB366" s="86">
        <v>0</v>
      </c>
      <c r="AC366" s="86">
        <v>0</v>
      </c>
      <c r="AD366" s="86">
        <v>0</v>
      </c>
      <c r="AE366" s="86">
        <v>0</v>
      </c>
      <c r="AF366" s="86">
        <v>0</v>
      </c>
      <c r="AG366" s="86">
        <v>0</v>
      </c>
      <c r="AH366" s="86">
        <v>0</v>
      </c>
      <c r="AI366" s="86">
        <v>0</v>
      </c>
      <c r="AJ366" s="86">
        <v>0</v>
      </c>
      <c r="AK366" s="86">
        <v>0</v>
      </c>
    </row>
    <row r="367" spans="2:37">
      <c r="C367" s="81" t="s">
        <v>104</v>
      </c>
      <c r="D367" s="86">
        <v>0</v>
      </c>
      <c r="E367" s="86">
        <v>0</v>
      </c>
      <c r="F367" s="86">
        <v>0</v>
      </c>
      <c r="G367" s="86">
        <v>0</v>
      </c>
      <c r="H367" s="86">
        <v>0</v>
      </c>
      <c r="I367" s="86">
        <v>0</v>
      </c>
      <c r="J367" s="86">
        <v>0</v>
      </c>
      <c r="K367" s="86">
        <v>0</v>
      </c>
      <c r="L367" s="86">
        <v>0</v>
      </c>
      <c r="M367" s="86">
        <v>0</v>
      </c>
      <c r="N367" s="86">
        <v>0</v>
      </c>
      <c r="O367" s="86">
        <v>5.7857298262157934E-4</v>
      </c>
      <c r="P367" s="86">
        <v>0</v>
      </c>
      <c r="Q367" s="86">
        <v>0</v>
      </c>
      <c r="R367" s="86">
        <v>0</v>
      </c>
      <c r="S367" s="86">
        <v>0</v>
      </c>
      <c r="T367" s="86">
        <v>0</v>
      </c>
      <c r="U367" s="86">
        <v>0</v>
      </c>
      <c r="V367" s="86">
        <v>0</v>
      </c>
      <c r="W367" s="86">
        <v>0</v>
      </c>
      <c r="X367" s="86">
        <v>0</v>
      </c>
      <c r="Y367" s="86">
        <v>0</v>
      </c>
      <c r="Z367" s="86">
        <v>0</v>
      </c>
      <c r="AA367" s="86">
        <v>0</v>
      </c>
      <c r="AB367" s="86">
        <v>0</v>
      </c>
      <c r="AC367" s="86">
        <v>0</v>
      </c>
      <c r="AD367" s="86">
        <v>0</v>
      </c>
      <c r="AE367" s="86">
        <v>0</v>
      </c>
      <c r="AF367" s="86">
        <v>0</v>
      </c>
      <c r="AG367" s="86">
        <v>0</v>
      </c>
      <c r="AH367" s="86">
        <v>0</v>
      </c>
      <c r="AI367" s="86">
        <v>0</v>
      </c>
      <c r="AJ367" s="86">
        <v>0</v>
      </c>
      <c r="AK367" s="86">
        <v>0</v>
      </c>
    </row>
    <row r="368" spans="2:37">
      <c r="C368" s="81" t="s">
        <v>106</v>
      </c>
      <c r="D368" s="86">
        <v>0</v>
      </c>
      <c r="E368" s="86">
        <v>0</v>
      </c>
      <c r="F368" s="86">
        <v>0</v>
      </c>
      <c r="G368" s="86">
        <v>0</v>
      </c>
      <c r="H368" s="86">
        <v>0</v>
      </c>
      <c r="I368" s="86">
        <v>0</v>
      </c>
      <c r="J368" s="86">
        <v>0</v>
      </c>
      <c r="K368" s="86">
        <v>0</v>
      </c>
      <c r="L368" s="86">
        <v>0</v>
      </c>
      <c r="M368" s="86">
        <v>0</v>
      </c>
      <c r="N368" s="86">
        <v>0</v>
      </c>
      <c r="O368" s="86">
        <v>0</v>
      </c>
      <c r="P368" s="86">
        <v>2.9241251690985553E-2</v>
      </c>
      <c r="Q368" s="86">
        <v>0</v>
      </c>
      <c r="R368" s="86">
        <v>0</v>
      </c>
      <c r="S368" s="86">
        <v>0</v>
      </c>
      <c r="T368" s="86">
        <v>0</v>
      </c>
      <c r="U368" s="86">
        <v>0</v>
      </c>
      <c r="V368" s="86">
        <v>0</v>
      </c>
      <c r="W368" s="86">
        <v>0</v>
      </c>
      <c r="X368" s="86">
        <v>0</v>
      </c>
      <c r="Y368" s="86">
        <v>0</v>
      </c>
      <c r="Z368" s="86">
        <v>0</v>
      </c>
      <c r="AA368" s="86">
        <v>0</v>
      </c>
      <c r="AB368" s="86">
        <v>0</v>
      </c>
      <c r="AC368" s="86">
        <v>0</v>
      </c>
      <c r="AD368" s="86">
        <v>0</v>
      </c>
      <c r="AE368" s="86">
        <v>0</v>
      </c>
      <c r="AF368" s="86">
        <v>0</v>
      </c>
      <c r="AG368" s="86">
        <v>0</v>
      </c>
      <c r="AH368" s="86">
        <v>0</v>
      </c>
      <c r="AI368" s="86">
        <v>0</v>
      </c>
      <c r="AJ368" s="86">
        <v>0</v>
      </c>
      <c r="AK368" s="86">
        <v>0</v>
      </c>
    </row>
    <row r="369" spans="3:37">
      <c r="C369" s="81" t="s">
        <v>108</v>
      </c>
      <c r="D369" s="86">
        <v>0</v>
      </c>
      <c r="E369" s="86">
        <v>0</v>
      </c>
      <c r="F369" s="86">
        <v>0</v>
      </c>
      <c r="G369" s="86">
        <v>0</v>
      </c>
      <c r="H369" s="86">
        <v>0</v>
      </c>
      <c r="I369" s="86">
        <v>0</v>
      </c>
      <c r="J369" s="86">
        <v>0</v>
      </c>
      <c r="K369" s="86">
        <v>0</v>
      </c>
      <c r="L369" s="86">
        <v>0</v>
      </c>
      <c r="M369" s="86">
        <v>0</v>
      </c>
      <c r="N369" s="86">
        <v>0</v>
      </c>
      <c r="O369" s="86">
        <v>0</v>
      </c>
      <c r="P369" s="86">
        <v>0</v>
      </c>
      <c r="Q369" s="86">
        <v>0.12775980412141361</v>
      </c>
      <c r="R369" s="86">
        <v>0</v>
      </c>
      <c r="S369" s="86">
        <v>0</v>
      </c>
      <c r="T369" s="86">
        <v>0</v>
      </c>
      <c r="U369" s="86">
        <v>0</v>
      </c>
      <c r="V369" s="86">
        <v>0</v>
      </c>
      <c r="W369" s="86">
        <v>0</v>
      </c>
      <c r="X369" s="86">
        <v>0</v>
      </c>
      <c r="Y369" s="86">
        <v>0</v>
      </c>
      <c r="Z369" s="86">
        <v>0</v>
      </c>
      <c r="AA369" s="86">
        <v>0</v>
      </c>
      <c r="AB369" s="86">
        <v>0</v>
      </c>
      <c r="AC369" s="86">
        <v>0</v>
      </c>
      <c r="AD369" s="86">
        <v>0</v>
      </c>
      <c r="AE369" s="86">
        <v>0</v>
      </c>
      <c r="AF369" s="86">
        <v>0</v>
      </c>
      <c r="AG369" s="86">
        <v>0</v>
      </c>
      <c r="AH369" s="86">
        <v>0</v>
      </c>
      <c r="AI369" s="86">
        <v>0</v>
      </c>
      <c r="AJ369" s="86">
        <v>0</v>
      </c>
      <c r="AK369" s="86">
        <v>0</v>
      </c>
    </row>
    <row r="370" spans="3:37">
      <c r="C370" s="81" t="s">
        <v>110</v>
      </c>
      <c r="D370" s="86">
        <v>0</v>
      </c>
      <c r="E370" s="86">
        <v>0</v>
      </c>
      <c r="F370" s="86">
        <v>0</v>
      </c>
      <c r="G370" s="86">
        <v>0</v>
      </c>
      <c r="H370" s="86">
        <v>0</v>
      </c>
      <c r="I370" s="86">
        <v>0</v>
      </c>
      <c r="J370" s="86">
        <v>0</v>
      </c>
      <c r="K370" s="86">
        <v>0</v>
      </c>
      <c r="L370" s="86">
        <v>0</v>
      </c>
      <c r="M370" s="86">
        <v>0</v>
      </c>
      <c r="N370" s="86">
        <v>0</v>
      </c>
      <c r="O370" s="86">
        <v>0</v>
      </c>
      <c r="P370" s="86">
        <v>0</v>
      </c>
      <c r="Q370" s="86">
        <v>0</v>
      </c>
      <c r="R370" s="86">
        <v>5.0156877943877284E-2</v>
      </c>
      <c r="S370" s="86">
        <v>0</v>
      </c>
      <c r="T370" s="86">
        <v>0</v>
      </c>
      <c r="U370" s="86">
        <v>0</v>
      </c>
      <c r="V370" s="86">
        <v>0</v>
      </c>
      <c r="W370" s="86">
        <v>0</v>
      </c>
      <c r="X370" s="86">
        <v>0</v>
      </c>
      <c r="Y370" s="86">
        <v>0</v>
      </c>
      <c r="Z370" s="86">
        <v>0</v>
      </c>
      <c r="AA370" s="86">
        <v>0</v>
      </c>
      <c r="AB370" s="86">
        <v>0</v>
      </c>
      <c r="AC370" s="86">
        <v>0</v>
      </c>
      <c r="AD370" s="86">
        <v>0</v>
      </c>
      <c r="AE370" s="86">
        <v>0</v>
      </c>
      <c r="AF370" s="86">
        <v>0</v>
      </c>
      <c r="AG370" s="86">
        <v>0</v>
      </c>
      <c r="AH370" s="86">
        <v>0</v>
      </c>
      <c r="AI370" s="86">
        <v>0</v>
      </c>
      <c r="AJ370" s="86">
        <v>0</v>
      </c>
      <c r="AK370" s="86">
        <v>0</v>
      </c>
    </row>
    <row r="371" spans="3:37">
      <c r="C371" s="81" t="s">
        <v>112</v>
      </c>
      <c r="D371" s="86">
        <v>0</v>
      </c>
      <c r="E371" s="86">
        <v>0</v>
      </c>
      <c r="F371" s="86">
        <v>0</v>
      </c>
      <c r="G371" s="86">
        <v>0</v>
      </c>
      <c r="H371" s="86">
        <v>0</v>
      </c>
      <c r="I371" s="86">
        <v>0</v>
      </c>
      <c r="J371" s="86">
        <v>0</v>
      </c>
      <c r="K371" s="86">
        <v>0</v>
      </c>
      <c r="L371" s="86">
        <v>0</v>
      </c>
      <c r="M371" s="86">
        <v>0</v>
      </c>
      <c r="N371" s="86">
        <v>0</v>
      </c>
      <c r="O371" s="86">
        <v>0</v>
      </c>
      <c r="P371" s="86">
        <v>0</v>
      </c>
      <c r="Q371" s="86">
        <v>0</v>
      </c>
      <c r="R371" s="86">
        <v>0</v>
      </c>
      <c r="S371" s="86">
        <v>3.5527260491074651E-2</v>
      </c>
      <c r="T371" s="86">
        <v>0</v>
      </c>
      <c r="U371" s="86">
        <v>0</v>
      </c>
      <c r="V371" s="86">
        <v>0</v>
      </c>
      <c r="W371" s="86">
        <v>0</v>
      </c>
      <c r="X371" s="86">
        <v>0</v>
      </c>
      <c r="Y371" s="86">
        <v>0</v>
      </c>
      <c r="Z371" s="86">
        <v>0</v>
      </c>
      <c r="AA371" s="86">
        <v>0</v>
      </c>
      <c r="AB371" s="86">
        <v>0</v>
      </c>
      <c r="AC371" s="86">
        <v>0</v>
      </c>
      <c r="AD371" s="86">
        <v>0</v>
      </c>
      <c r="AE371" s="86">
        <v>0</v>
      </c>
      <c r="AF371" s="86">
        <v>0</v>
      </c>
      <c r="AG371" s="86">
        <v>0</v>
      </c>
      <c r="AH371" s="86">
        <v>0</v>
      </c>
      <c r="AI371" s="86">
        <v>0</v>
      </c>
      <c r="AJ371" s="86">
        <v>0</v>
      </c>
      <c r="AK371" s="86">
        <v>0</v>
      </c>
    </row>
    <row r="372" spans="3:37">
      <c r="C372" s="81" t="s">
        <v>114</v>
      </c>
      <c r="D372" s="86">
        <v>0</v>
      </c>
      <c r="E372" s="86">
        <v>0</v>
      </c>
      <c r="F372" s="86">
        <v>0</v>
      </c>
      <c r="G372" s="86">
        <v>0</v>
      </c>
      <c r="H372" s="86">
        <v>0</v>
      </c>
      <c r="I372" s="86">
        <v>0</v>
      </c>
      <c r="J372" s="86">
        <v>0</v>
      </c>
      <c r="K372" s="86">
        <v>0</v>
      </c>
      <c r="L372" s="86">
        <v>0</v>
      </c>
      <c r="M372" s="86">
        <v>0</v>
      </c>
      <c r="N372" s="86">
        <v>0</v>
      </c>
      <c r="O372" s="86">
        <v>0</v>
      </c>
      <c r="P372" s="86">
        <v>0</v>
      </c>
      <c r="Q372" s="86">
        <v>0</v>
      </c>
      <c r="R372" s="86">
        <v>0</v>
      </c>
      <c r="S372" s="86">
        <v>0</v>
      </c>
      <c r="T372" s="86">
        <v>2.7888445286814072E-3</v>
      </c>
      <c r="U372" s="86">
        <v>0</v>
      </c>
      <c r="V372" s="86">
        <v>0</v>
      </c>
      <c r="W372" s="86">
        <v>0</v>
      </c>
      <c r="X372" s="86">
        <v>0</v>
      </c>
      <c r="Y372" s="86">
        <v>0</v>
      </c>
      <c r="Z372" s="86">
        <v>0</v>
      </c>
      <c r="AA372" s="86">
        <v>0</v>
      </c>
      <c r="AB372" s="86">
        <v>0</v>
      </c>
      <c r="AC372" s="86">
        <v>0</v>
      </c>
      <c r="AD372" s="86">
        <v>0</v>
      </c>
      <c r="AE372" s="86">
        <v>0</v>
      </c>
      <c r="AF372" s="86">
        <v>0</v>
      </c>
      <c r="AG372" s="86">
        <v>0</v>
      </c>
      <c r="AH372" s="86">
        <v>0</v>
      </c>
      <c r="AI372" s="86">
        <v>0</v>
      </c>
      <c r="AJ372" s="86">
        <v>0</v>
      </c>
      <c r="AK372" s="86">
        <v>0</v>
      </c>
    </row>
    <row r="373" spans="3:37">
      <c r="C373" s="81" t="s">
        <v>116</v>
      </c>
      <c r="D373" s="86">
        <v>0</v>
      </c>
      <c r="E373" s="86">
        <v>0</v>
      </c>
      <c r="F373" s="86">
        <v>0</v>
      </c>
      <c r="G373" s="86">
        <v>0</v>
      </c>
      <c r="H373" s="86">
        <v>0</v>
      </c>
      <c r="I373" s="86">
        <v>0</v>
      </c>
      <c r="J373" s="86">
        <v>0</v>
      </c>
      <c r="K373" s="86">
        <v>0</v>
      </c>
      <c r="L373" s="86">
        <v>0</v>
      </c>
      <c r="M373" s="86">
        <v>0</v>
      </c>
      <c r="N373" s="86">
        <v>0</v>
      </c>
      <c r="O373" s="86">
        <v>0</v>
      </c>
      <c r="P373" s="86">
        <v>0</v>
      </c>
      <c r="Q373" s="86">
        <v>0</v>
      </c>
      <c r="R373" s="86">
        <v>0</v>
      </c>
      <c r="S373" s="86">
        <v>0</v>
      </c>
      <c r="T373" s="86">
        <v>0</v>
      </c>
      <c r="U373" s="86">
        <v>5.0699982032619462E-4</v>
      </c>
      <c r="V373" s="86">
        <v>0</v>
      </c>
      <c r="W373" s="86">
        <v>0</v>
      </c>
      <c r="X373" s="86">
        <v>0</v>
      </c>
      <c r="Y373" s="86">
        <v>0</v>
      </c>
      <c r="Z373" s="86">
        <v>0</v>
      </c>
      <c r="AA373" s="86">
        <v>0</v>
      </c>
      <c r="AB373" s="86">
        <v>0</v>
      </c>
      <c r="AC373" s="86">
        <v>0</v>
      </c>
      <c r="AD373" s="86">
        <v>0</v>
      </c>
      <c r="AE373" s="86">
        <v>0</v>
      </c>
      <c r="AF373" s="86">
        <v>0</v>
      </c>
      <c r="AG373" s="86">
        <v>0</v>
      </c>
      <c r="AH373" s="86">
        <v>0</v>
      </c>
      <c r="AI373" s="86">
        <v>0</v>
      </c>
      <c r="AJ373" s="86">
        <v>0</v>
      </c>
      <c r="AK373" s="86">
        <v>0</v>
      </c>
    </row>
    <row r="374" spans="3:37">
      <c r="C374" s="81" t="s">
        <v>118</v>
      </c>
      <c r="D374" s="86">
        <v>0</v>
      </c>
      <c r="E374" s="86">
        <v>0</v>
      </c>
      <c r="F374" s="86">
        <v>0</v>
      </c>
      <c r="G374" s="86">
        <v>0</v>
      </c>
      <c r="H374" s="86">
        <v>0</v>
      </c>
      <c r="I374" s="86">
        <v>0</v>
      </c>
      <c r="J374" s="86">
        <v>0</v>
      </c>
      <c r="K374" s="86">
        <v>0</v>
      </c>
      <c r="L374" s="86">
        <v>0</v>
      </c>
      <c r="M374" s="86">
        <v>0</v>
      </c>
      <c r="N374" s="86">
        <v>0</v>
      </c>
      <c r="O374" s="86">
        <v>0</v>
      </c>
      <c r="P374" s="86">
        <v>0</v>
      </c>
      <c r="Q374" s="86">
        <v>0</v>
      </c>
      <c r="R374" s="86">
        <v>0</v>
      </c>
      <c r="S374" s="86">
        <v>0</v>
      </c>
      <c r="T374" s="86">
        <v>0</v>
      </c>
      <c r="U374" s="86">
        <v>0</v>
      </c>
      <c r="V374" s="86">
        <v>3.827628373602792E-2</v>
      </c>
      <c r="W374" s="86">
        <v>0</v>
      </c>
      <c r="X374" s="86">
        <v>0</v>
      </c>
      <c r="Y374" s="86">
        <v>0</v>
      </c>
      <c r="Z374" s="86">
        <v>0</v>
      </c>
      <c r="AA374" s="86">
        <v>0</v>
      </c>
      <c r="AB374" s="86">
        <v>0</v>
      </c>
      <c r="AC374" s="86">
        <v>0</v>
      </c>
      <c r="AD374" s="86">
        <v>0</v>
      </c>
      <c r="AE374" s="86">
        <v>0</v>
      </c>
      <c r="AF374" s="86">
        <v>0</v>
      </c>
      <c r="AG374" s="86">
        <v>0</v>
      </c>
      <c r="AH374" s="86">
        <v>0</v>
      </c>
      <c r="AI374" s="86">
        <v>0</v>
      </c>
      <c r="AJ374" s="86">
        <v>0</v>
      </c>
      <c r="AK374" s="86">
        <v>0</v>
      </c>
    </row>
    <row r="375" spans="3:37">
      <c r="C375" s="81" t="s">
        <v>120</v>
      </c>
      <c r="D375" s="86">
        <v>0</v>
      </c>
      <c r="E375" s="86">
        <v>0</v>
      </c>
      <c r="F375" s="86">
        <v>0</v>
      </c>
      <c r="G375" s="86">
        <v>0</v>
      </c>
      <c r="H375" s="86">
        <v>0</v>
      </c>
      <c r="I375" s="86">
        <v>0</v>
      </c>
      <c r="J375" s="86">
        <v>0</v>
      </c>
      <c r="K375" s="86">
        <v>0</v>
      </c>
      <c r="L375" s="86">
        <v>0</v>
      </c>
      <c r="M375" s="86">
        <v>0</v>
      </c>
      <c r="N375" s="86">
        <v>0</v>
      </c>
      <c r="O375" s="86">
        <v>0</v>
      </c>
      <c r="P375" s="86">
        <v>0</v>
      </c>
      <c r="Q375" s="86">
        <v>0</v>
      </c>
      <c r="R375" s="86">
        <v>0</v>
      </c>
      <c r="S375" s="86">
        <v>0</v>
      </c>
      <c r="T375" s="86">
        <v>0</v>
      </c>
      <c r="U375" s="86">
        <v>0</v>
      </c>
      <c r="V375" s="86">
        <v>0</v>
      </c>
      <c r="W375" s="86">
        <v>2.6895251689461586E-3</v>
      </c>
      <c r="X375" s="86">
        <v>0</v>
      </c>
      <c r="Y375" s="86">
        <v>0</v>
      </c>
      <c r="Z375" s="86">
        <v>0</v>
      </c>
      <c r="AA375" s="86">
        <v>0</v>
      </c>
      <c r="AB375" s="86">
        <v>0</v>
      </c>
      <c r="AC375" s="86">
        <v>0</v>
      </c>
      <c r="AD375" s="86">
        <v>0</v>
      </c>
      <c r="AE375" s="86">
        <v>0</v>
      </c>
      <c r="AF375" s="86">
        <v>0</v>
      </c>
      <c r="AG375" s="86">
        <v>0</v>
      </c>
      <c r="AH375" s="86">
        <v>0</v>
      </c>
      <c r="AI375" s="86">
        <v>0</v>
      </c>
      <c r="AJ375" s="86">
        <v>0</v>
      </c>
      <c r="AK375" s="86">
        <v>0</v>
      </c>
    </row>
    <row r="376" spans="3:37">
      <c r="C376" s="81" t="s">
        <v>122</v>
      </c>
      <c r="D376" s="86">
        <v>0</v>
      </c>
      <c r="E376" s="86">
        <v>0</v>
      </c>
      <c r="F376" s="86">
        <v>0</v>
      </c>
      <c r="G376" s="86">
        <v>0</v>
      </c>
      <c r="H376" s="86">
        <v>0</v>
      </c>
      <c r="I376" s="86">
        <v>0</v>
      </c>
      <c r="J376" s="86">
        <v>0</v>
      </c>
      <c r="K376" s="86">
        <v>0</v>
      </c>
      <c r="L376" s="86">
        <v>0</v>
      </c>
      <c r="M376" s="86">
        <v>0</v>
      </c>
      <c r="N376" s="86">
        <v>0</v>
      </c>
      <c r="O376" s="86">
        <v>0</v>
      </c>
      <c r="P376" s="86">
        <v>0</v>
      </c>
      <c r="Q376" s="86">
        <v>0</v>
      </c>
      <c r="R376" s="86">
        <v>0</v>
      </c>
      <c r="S376" s="86">
        <v>0</v>
      </c>
      <c r="T376" s="86">
        <v>0</v>
      </c>
      <c r="U376" s="86">
        <v>0</v>
      </c>
      <c r="V376" s="86">
        <v>0</v>
      </c>
      <c r="W376" s="86">
        <v>0</v>
      </c>
      <c r="X376" s="86">
        <v>5.9282227828641139E-4</v>
      </c>
      <c r="Y376" s="86">
        <v>0</v>
      </c>
      <c r="Z376" s="86">
        <v>0</v>
      </c>
      <c r="AA376" s="86">
        <v>0</v>
      </c>
      <c r="AB376" s="86">
        <v>0</v>
      </c>
      <c r="AC376" s="86">
        <v>0</v>
      </c>
      <c r="AD376" s="86">
        <v>0</v>
      </c>
      <c r="AE376" s="86">
        <v>0</v>
      </c>
      <c r="AF376" s="86">
        <v>0</v>
      </c>
      <c r="AG376" s="86">
        <v>0</v>
      </c>
      <c r="AH376" s="86">
        <v>0</v>
      </c>
      <c r="AI376" s="86">
        <v>0</v>
      </c>
      <c r="AJ376" s="86">
        <v>0</v>
      </c>
      <c r="AK376" s="86">
        <v>0</v>
      </c>
    </row>
    <row r="377" spans="3:37">
      <c r="C377" s="81" t="s">
        <v>124</v>
      </c>
      <c r="D377" s="86">
        <v>0</v>
      </c>
      <c r="E377" s="86">
        <v>0</v>
      </c>
      <c r="F377" s="86">
        <v>0</v>
      </c>
      <c r="G377" s="86">
        <v>0</v>
      </c>
      <c r="H377" s="86">
        <v>0</v>
      </c>
      <c r="I377" s="86">
        <v>0</v>
      </c>
      <c r="J377" s="86">
        <v>0</v>
      </c>
      <c r="K377" s="86">
        <v>0</v>
      </c>
      <c r="L377" s="86">
        <v>0</v>
      </c>
      <c r="M377" s="86">
        <v>0</v>
      </c>
      <c r="N377" s="86">
        <v>0</v>
      </c>
      <c r="O377" s="86">
        <v>0</v>
      </c>
      <c r="P377" s="86">
        <v>0</v>
      </c>
      <c r="Q377" s="86">
        <v>0</v>
      </c>
      <c r="R377" s="86">
        <v>0</v>
      </c>
      <c r="S377" s="86">
        <v>0</v>
      </c>
      <c r="T377" s="86">
        <v>0</v>
      </c>
      <c r="U377" s="86">
        <v>0</v>
      </c>
      <c r="V377" s="86">
        <v>0</v>
      </c>
      <c r="W377" s="86">
        <v>0</v>
      </c>
      <c r="X377" s="86">
        <v>0</v>
      </c>
      <c r="Y377" s="86">
        <v>3.2351415580000316E-3</v>
      </c>
      <c r="Z377" s="86">
        <v>0</v>
      </c>
      <c r="AA377" s="86">
        <v>0</v>
      </c>
      <c r="AB377" s="86">
        <v>0</v>
      </c>
      <c r="AC377" s="86">
        <v>0</v>
      </c>
      <c r="AD377" s="86">
        <v>0</v>
      </c>
      <c r="AE377" s="86">
        <v>0</v>
      </c>
      <c r="AF377" s="86">
        <v>0</v>
      </c>
      <c r="AG377" s="86">
        <v>0</v>
      </c>
      <c r="AH377" s="86">
        <v>0</v>
      </c>
      <c r="AI377" s="86">
        <v>0</v>
      </c>
      <c r="AJ377" s="86">
        <v>0</v>
      </c>
      <c r="AK377" s="86">
        <v>0</v>
      </c>
    </row>
    <row r="378" spans="3:37">
      <c r="C378" s="81" t="s">
        <v>126</v>
      </c>
      <c r="D378" s="86">
        <v>0</v>
      </c>
      <c r="E378" s="86">
        <v>0</v>
      </c>
      <c r="F378" s="86">
        <v>0</v>
      </c>
      <c r="G378" s="86">
        <v>0</v>
      </c>
      <c r="H378" s="86">
        <v>0</v>
      </c>
      <c r="I378" s="86">
        <v>0</v>
      </c>
      <c r="J378" s="86">
        <v>0</v>
      </c>
      <c r="K378" s="86">
        <v>0</v>
      </c>
      <c r="L378" s="86">
        <v>0</v>
      </c>
      <c r="M378" s="86">
        <v>0</v>
      </c>
      <c r="N378" s="86">
        <v>0</v>
      </c>
      <c r="O378" s="86">
        <v>0</v>
      </c>
      <c r="P378" s="86">
        <v>0</v>
      </c>
      <c r="Q378" s="86">
        <v>0</v>
      </c>
      <c r="R378" s="86">
        <v>0</v>
      </c>
      <c r="S378" s="86">
        <v>0</v>
      </c>
      <c r="T378" s="86">
        <v>0</v>
      </c>
      <c r="U378" s="86">
        <v>0</v>
      </c>
      <c r="V378" s="86">
        <v>0</v>
      </c>
      <c r="W378" s="86">
        <v>0</v>
      </c>
      <c r="X378" s="86">
        <v>0</v>
      </c>
      <c r="Y378" s="86">
        <v>0</v>
      </c>
      <c r="Z378" s="86">
        <v>2.0202572672974569E-3</v>
      </c>
      <c r="AA378" s="86">
        <v>0</v>
      </c>
      <c r="AB378" s="86">
        <v>0</v>
      </c>
      <c r="AC378" s="86">
        <v>0</v>
      </c>
      <c r="AD378" s="86">
        <v>0</v>
      </c>
      <c r="AE378" s="86">
        <v>0</v>
      </c>
      <c r="AF378" s="86">
        <v>0</v>
      </c>
      <c r="AG378" s="86">
        <v>0</v>
      </c>
      <c r="AH378" s="86">
        <v>0</v>
      </c>
      <c r="AI378" s="86">
        <v>0</v>
      </c>
      <c r="AJ378" s="86">
        <v>0</v>
      </c>
      <c r="AK378" s="86">
        <v>0</v>
      </c>
    </row>
    <row r="379" spans="3:37">
      <c r="C379" s="81" t="s">
        <v>128</v>
      </c>
      <c r="D379" s="86">
        <v>0</v>
      </c>
      <c r="E379" s="86">
        <v>0</v>
      </c>
      <c r="F379" s="86">
        <v>0</v>
      </c>
      <c r="G379" s="86">
        <v>0</v>
      </c>
      <c r="H379" s="86">
        <v>0</v>
      </c>
      <c r="I379" s="86">
        <v>0</v>
      </c>
      <c r="J379" s="86">
        <v>0</v>
      </c>
      <c r="K379" s="86">
        <v>0</v>
      </c>
      <c r="L379" s="86">
        <v>0</v>
      </c>
      <c r="M379" s="86">
        <v>0</v>
      </c>
      <c r="N379" s="86">
        <v>0</v>
      </c>
      <c r="O379" s="86">
        <v>0</v>
      </c>
      <c r="P379" s="86">
        <v>0</v>
      </c>
      <c r="Q379" s="86">
        <v>0</v>
      </c>
      <c r="R379" s="86">
        <v>0</v>
      </c>
      <c r="S379" s="86">
        <v>0</v>
      </c>
      <c r="T379" s="86">
        <v>0</v>
      </c>
      <c r="U379" s="86">
        <v>0</v>
      </c>
      <c r="V379" s="86">
        <v>0</v>
      </c>
      <c r="W379" s="86">
        <v>0</v>
      </c>
      <c r="X379" s="86">
        <v>0</v>
      </c>
      <c r="Y379" s="86">
        <v>0</v>
      </c>
      <c r="Z379" s="86">
        <v>0</v>
      </c>
      <c r="AA379" s="86">
        <v>0.21621893749696755</v>
      </c>
      <c r="AB379" s="86">
        <v>0</v>
      </c>
      <c r="AC379" s="86">
        <v>0</v>
      </c>
      <c r="AD379" s="86">
        <v>0</v>
      </c>
      <c r="AE379" s="86">
        <v>0</v>
      </c>
      <c r="AF379" s="86">
        <v>0</v>
      </c>
      <c r="AG379" s="86">
        <v>0</v>
      </c>
      <c r="AH379" s="86">
        <v>0</v>
      </c>
      <c r="AI379" s="86">
        <v>0</v>
      </c>
      <c r="AJ379" s="86">
        <v>0</v>
      </c>
      <c r="AK379" s="86">
        <v>0</v>
      </c>
    </row>
    <row r="380" spans="3:37">
      <c r="C380" s="81" t="s">
        <v>130</v>
      </c>
      <c r="D380" s="86">
        <v>0</v>
      </c>
      <c r="E380" s="86">
        <v>0</v>
      </c>
      <c r="F380" s="86">
        <v>0</v>
      </c>
      <c r="G380" s="86">
        <v>0</v>
      </c>
      <c r="H380" s="86">
        <v>0</v>
      </c>
      <c r="I380" s="86">
        <v>0</v>
      </c>
      <c r="J380" s="86">
        <v>0</v>
      </c>
      <c r="K380" s="86">
        <v>0</v>
      </c>
      <c r="L380" s="86">
        <v>0</v>
      </c>
      <c r="M380" s="86">
        <v>0</v>
      </c>
      <c r="N380" s="86">
        <v>0</v>
      </c>
      <c r="O380" s="86">
        <v>0</v>
      </c>
      <c r="P380" s="86">
        <v>0</v>
      </c>
      <c r="Q380" s="86">
        <v>0</v>
      </c>
      <c r="R380" s="86">
        <v>0</v>
      </c>
      <c r="S380" s="86">
        <v>0</v>
      </c>
      <c r="T380" s="86">
        <v>0</v>
      </c>
      <c r="U380" s="86">
        <v>0</v>
      </c>
      <c r="V380" s="86">
        <v>0</v>
      </c>
      <c r="W380" s="86">
        <v>0</v>
      </c>
      <c r="X380" s="86">
        <v>0</v>
      </c>
      <c r="Y380" s="86">
        <v>0</v>
      </c>
      <c r="Z380" s="86">
        <v>0</v>
      </c>
      <c r="AA380" s="86">
        <v>0</v>
      </c>
      <c r="AB380" s="86">
        <v>3.8923335726901112E-2</v>
      </c>
      <c r="AC380" s="86">
        <v>0</v>
      </c>
      <c r="AD380" s="86">
        <v>0</v>
      </c>
      <c r="AE380" s="86">
        <v>0</v>
      </c>
      <c r="AF380" s="86">
        <v>0</v>
      </c>
      <c r="AG380" s="86">
        <v>0</v>
      </c>
      <c r="AH380" s="86">
        <v>0</v>
      </c>
      <c r="AI380" s="86">
        <v>0</v>
      </c>
      <c r="AJ380" s="86">
        <v>0</v>
      </c>
      <c r="AK380" s="86">
        <v>0</v>
      </c>
    </row>
    <row r="381" spans="3:37">
      <c r="C381" s="81" t="s">
        <v>132</v>
      </c>
      <c r="D381" s="86">
        <v>0</v>
      </c>
      <c r="E381" s="86">
        <v>0</v>
      </c>
      <c r="F381" s="86">
        <v>0</v>
      </c>
      <c r="G381" s="86">
        <v>0</v>
      </c>
      <c r="H381" s="86">
        <v>0</v>
      </c>
      <c r="I381" s="86">
        <v>0</v>
      </c>
      <c r="J381" s="86">
        <v>0</v>
      </c>
      <c r="K381" s="86">
        <v>0</v>
      </c>
      <c r="L381" s="86">
        <v>0</v>
      </c>
      <c r="M381" s="86">
        <v>0</v>
      </c>
      <c r="N381" s="86">
        <v>0</v>
      </c>
      <c r="O381" s="86">
        <v>0</v>
      </c>
      <c r="P381" s="86">
        <v>0</v>
      </c>
      <c r="Q381" s="86">
        <v>0</v>
      </c>
      <c r="R381" s="86">
        <v>0</v>
      </c>
      <c r="S381" s="86">
        <v>0</v>
      </c>
      <c r="T381" s="86">
        <v>0</v>
      </c>
      <c r="U381" s="86">
        <v>0</v>
      </c>
      <c r="V381" s="86">
        <v>0</v>
      </c>
      <c r="W381" s="86">
        <v>0</v>
      </c>
      <c r="X381" s="86">
        <v>0</v>
      </c>
      <c r="Y381" s="86">
        <v>0</v>
      </c>
      <c r="Z381" s="86">
        <v>0</v>
      </c>
      <c r="AA381" s="86">
        <v>0</v>
      </c>
      <c r="AB381" s="86">
        <v>0</v>
      </c>
      <c r="AC381" s="86">
        <v>6.6237919785267418E-3</v>
      </c>
      <c r="AD381" s="86">
        <v>0</v>
      </c>
      <c r="AE381" s="86">
        <v>0</v>
      </c>
      <c r="AF381" s="86">
        <v>0</v>
      </c>
      <c r="AG381" s="86">
        <v>0</v>
      </c>
      <c r="AH381" s="86">
        <v>0</v>
      </c>
      <c r="AI381" s="86">
        <v>0</v>
      </c>
      <c r="AJ381" s="86">
        <v>0</v>
      </c>
      <c r="AK381" s="86">
        <v>0</v>
      </c>
    </row>
    <row r="382" spans="3:37">
      <c r="C382" s="81" t="s">
        <v>134</v>
      </c>
      <c r="D382" s="86">
        <v>0</v>
      </c>
      <c r="E382" s="86">
        <v>0</v>
      </c>
      <c r="F382" s="86">
        <v>0</v>
      </c>
      <c r="G382" s="86">
        <v>0</v>
      </c>
      <c r="H382" s="86">
        <v>0</v>
      </c>
      <c r="I382" s="86">
        <v>0</v>
      </c>
      <c r="J382" s="86">
        <v>0</v>
      </c>
      <c r="K382" s="86">
        <v>0</v>
      </c>
      <c r="L382" s="86">
        <v>0</v>
      </c>
      <c r="M382" s="86">
        <v>0</v>
      </c>
      <c r="N382" s="86">
        <v>0</v>
      </c>
      <c r="O382" s="86">
        <v>0</v>
      </c>
      <c r="P382" s="86">
        <v>0</v>
      </c>
      <c r="Q382" s="86">
        <v>0</v>
      </c>
      <c r="R382" s="86">
        <v>0</v>
      </c>
      <c r="S382" s="86">
        <v>0</v>
      </c>
      <c r="T382" s="86">
        <v>0</v>
      </c>
      <c r="U382" s="86">
        <v>0</v>
      </c>
      <c r="V382" s="86">
        <v>0</v>
      </c>
      <c r="W382" s="86">
        <v>0</v>
      </c>
      <c r="X382" s="86">
        <v>0</v>
      </c>
      <c r="Y382" s="86">
        <v>0</v>
      </c>
      <c r="Z382" s="86">
        <v>0</v>
      </c>
      <c r="AA382" s="86">
        <v>0</v>
      </c>
      <c r="AB382" s="86">
        <v>0</v>
      </c>
      <c r="AC382" s="86">
        <v>0</v>
      </c>
      <c r="AD382" s="86">
        <v>1.9291832739228236E-3</v>
      </c>
      <c r="AE382" s="86">
        <v>0</v>
      </c>
      <c r="AF382" s="86">
        <v>0</v>
      </c>
      <c r="AG382" s="86">
        <v>0</v>
      </c>
      <c r="AH382" s="86">
        <v>0</v>
      </c>
      <c r="AI382" s="86">
        <v>0</v>
      </c>
      <c r="AJ382" s="86">
        <v>0</v>
      </c>
      <c r="AK382" s="86">
        <v>0</v>
      </c>
    </row>
    <row r="383" spans="3:37">
      <c r="C383" s="81" t="s">
        <v>136</v>
      </c>
      <c r="D383" s="86">
        <v>0</v>
      </c>
      <c r="E383" s="86">
        <v>0</v>
      </c>
      <c r="F383" s="86">
        <v>0</v>
      </c>
      <c r="G383" s="86">
        <v>0</v>
      </c>
      <c r="H383" s="86">
        <v>0</v>
      </c>
      <c r="I383" s="86">
        <v>0</v>
      </c>
      <c r="J383" s="86">
        <v>0</v>
      </c>
      <c r="K383" s="86">
        <v>0</v>
      </c>
      <c r="L383" s="86">
        <v>0</v>
      </c>
      <c r="M383" s="86">
        <v>0</v>
      </c>
      <c r="N383" s="86">
        <v>0</v>
      </c>
      <c r="O383" s="86">
        <v>0</v>
      </c>
      <c r="P383" s="86">
        <v>0</v>
      </c>
      <c r="Q383" s="86">
        <v>0</v>
      </c>
      <c r="R383" s="86">
        <v>0</v>
      </c>
      <c r="S383" s="86">
        <v>0</v>
      </c>
      <c r="T383" s="86">
        <v>0</v>
      </c>
      <c r="U383" s="86">
        <v>0</v>
      </c>
      <c r="V383" s="86">
        <v>0</v>
      </c>
      <c r="W383" s="86">
        <v>0</v>
      </c>
      <c r="X383" s="86">
        <v>0</v>
      </c>
      <c r="Y383" s="86">
        <v>0</v>
      </c>
      <c r="Z383" s="86">
        <v>0</v>
      </c>
      <c r="AA383" s="86">
        <v>0</v>
      </c>
      <c r="AB383" s="86">
        <v>0</v>
      </c>
      <c r="AC383" s="86">
        <v>0</v>
      </c>
      <c r="AD383" s="86">
        <v>0</v>
      </c>
      <c r="AE383" s="86">
        <v>6.2787796713208274E-4</v>
      </c>
      <c r="AF383" s="86">
        <v>0</v>
      </c>
      <c r="AG383" s="86">
        <v>0</v>
      </c>
      <c r="AH383" s="86">
        <v>0</v>
      </c>
      <c r="AI383" s="86">
        <v>0</v>
      </c>
      <c r="AJ383" s="86">
        <v>0</v>
      </c>
      <c r="AK383" s="86">
        <v>0</v>
      </c>
    </row>
    <row r="384" spans="3:37">
      <c r="C384" s="81" t="s">
        <v>138</v>
      </c>
      <c r="D384" s="86">
        <v>0</v>
      </c>
      <c r="E384" s="86">
        <v>0</v>
      </c>
      <c r="F384" s="86">
        <v>0</v>
      </c>
      <c r="G384" s="86">
        <v>0</v>
      </c>
      <c r="H384" s="86">
        <v>0</v>
      </c>
      <c r="I384" s="86">
        <v>0</v>
      </c>
      <c r="J384" s="86">
        <v>0</v>
      </c>
      <c r="K384" s="86">
        <v>0</v>
      </c>
      <c r="L384" s="86">
        <v>0</v>
      </c>
      <c r="M384" s="86">
        <v>0</v>
      </c>
      <c r="N384" s="86">
        <v>0</v>
      </c>
      <c r="O384" s="86">
        <v>0</v>
      </c>
      <c r="P384" s="86">
        <v>0</v>
      </c>
      <c r="Q384" s="86">
        <v>0</v>
      </c>
      <c r="R384" s="86">
        <v>0</v>
      </c>
      <c r="S384" s="86">
        <v>0</v>
      </c>
      <c r="T384" s="86">
        <v>0</v>
      </c>
      <c r="U384" s="86">
        <v>0</v>
      </c>
      <c r="V384" s="86">
        <v>0</v>
      </c>
      <c r="W384" s="86">
        <v>0</v>
      </c>
      <c r="X384" s="86">
        <v>0</v>
      </c>
      <c r="Y384" s="86">
        <v>0</v>
      </c>
      <c r="Z384" s="86">
        <v>0</v>
      </c>
      <c r="AA384" s="86">
        <v>0</v>
      </c>
      <c r="AB384" s="86">
        <v>0</v>
      </c>
      <c r="AC384" s="86">
        <v>0</v>
      </c>
      <c r="AD384" s="86">
        <v>0</v>
      </c>
      <c r="AE384" s="86">
        <v>0</v>
      </c>
      <c r="AF384" s="86">
        <v>3.6532134293711222E-3</v>
      </c>
      <c r="AG384" s="86">
        <v>0</v>
      </c>
      <c r="AH384" s="86">
        <v>0</v>
      </c>
      <c r="AI384" s="86">
        <v>0</v>
      </c>
      <c r="AJ384" s="86">
        <v>0</v>
      </c>
      <c r="AK384" s="86">
        <v>0</v>
      </c>
    </row>
    <row r="385" spans="2:37">
      <c r="C385" s="81" t="s">
        <v>140</v>
      </c>
      <c r="D385" s="86">
        <v>0</v>
      </c>
      <c r="E385" s="86">
        <v>0</v>
      </c>
      <c r="F385" s="86">
        <v>0</v>
      </c>
      <c r="G385" s="86">
        <v>0</v>
      </c>
      <c r="H385" s="86">
        <v>0</v>
      </c>
      <c r="I385" s="86">
        <v>0</v>
      </c>
      <c r="J385" s="86">
        <v>0</v>
      </c>
      <c r="K385" s="86">
        <v>0</v>
      </c>
      <c r="L385" s="86">
        <v>0</v>
      </c>
      <c r="M385" s="86">
        <v>0</v>
      </c>
      <c r="N385" s="86">
        <v>0</v>
      </c>
      <c r="O385" s="86">
        <v>0</v>
      </c>
      <c r="P385" s="86">
        <v>0</v>
      </c>
      <c r="Q385" s="86">
        <v>0</v>
      </c>
      <c r="R385" s="86">
        <v>0</v>
      </c>
      <c r="S385" s="86">
        <v>0</v>
      </c>
      <c r="T385" s="86">
        <v>0</v>
      </c>
      <c r="U385" s="86">
        <v>0</v>
      </c>
      <c r="V385" s="86">
        <v>0</v>
      </c>
      <c r="W385" s="86">
        <v>0</v>
      </c>
      <c r="X385" s="86">
        <v>0</v>
      </c>
      <c r="Y385" s="86">
        <v>0</v>
      </c>
      <c r="Z385" s="86">
        <v>0</v>
      </c>
      <c r="AA385" s="86">
        <v>0</v>
      </c>
      <c r="AB385" s="86">
        <v>0</v>
      </c>
      <c r="AC385" s="86">
        <v>0</v>
      </c>
      <c r="AD385" s="86">
        <v>0</v>
      </c>
      <c r="AE385" s="86">
        <v>0</v>
      </c>
      <c r="AF385" s="86">
        <v>0</v>
      </c>
      <c r="AG385" s="86">
        <v>4.8572852015987787E-3</v>
      </c>
      <c r="AH385" s="86">
        <v>0</v>
      </c>
      <c r="AI385" s="86">
        <v>0</v>
      </c>
      <c r="AJ385" s="86">
        <v>0</v>
      </c>
      <c r="AK385" s="86">
        <v>0</v>
      </c>
    </row>
    <row r="386" spans="2:37">
      <c r="C386" s="81" t="s">
        <v>142</v>
      </c>
      <c r="D386" s="86">
        <v>0</v>
      </c>
      <c r="E386" s="86">
        <v>0</v>
      </c>
      <c r="F386" s="86">
        <v>0</v>
      </c>
      <c r="G386" s="86">
        <v>0</v>
      </c>
      <c r="H386" s="86">
        <v>0</v>
      </c>
      <c r="I386" s="86">
        <v>0</v>
      </c>
      <c r="J386" s="86">
        <v>0</v>
      </c>
      <c r="K386" s="86">
        <v>0</v>
      </c>
      <c r="L386" s="86">
        <v>0</v>
      </c>
      <c r="M386" s="86">
        <v>0</v>
      </c>
      <c r="N386" s="86">
        <v>0</v>
      </c>
      <c r="O386" s="86">
        <v>0</v>
      </c>
      <c r="P386" s="86">
        <v>0</v>
      </c>
      <c r="Q386" s="86">
        <v>0</v>
      </c>
      <c r="R386" s="86">
        <v>0</v>
      </c>
      <c r="S386" s="86">
        <v>0</v>
      </c>
      <c r="T386" s="86">
        <v>0</v>
      </c>
      <c r="U386" s="86">
        <v>0</v>
      </c>
      <c r="V386" s="86">
        <v>0</v>
      </c>
      <c r="W386" s="86">
        <v>0</v>
      </c>
      <c r="X386" s="86">
        <v>0</v>
      </c>
      <c r="Y386" s="86">
        <v>0</v>
      </c>
      <c r="Z386" s="86">
        <v>0</v>
      </c>
      <c r="AA386" s="86">
        <v>0</v>
      </c>
      <c r="AB386" s="86">
        <v>0</v>
      </c>
      <c r="AC386" s="86">
        <v>0</v>
      </c>
      <c r="AD386" s="86">
        <v>0</v>
      </c>
      <c r="AE386" s="86">
        <v>0</v>
      </c>
      <c r="AF386" s="86">
        <v>0</v>
      </c>
      <c r="AG386" s="86">
        <v>0</v>
      </c>
      <c r="AH386" s="86">
        <v>1.6408805023409309E-3</v>
      </c>
      <c r="AI386" s="86">
        <v>0</v>
      </c>
      <c r="AJ386" s="86">
        <v>0</v>
      </c>
      <c r="AK386" s="86">
        <v>0</v>
      </c>
    </row>
    <row r="387" spans="2:37">
      <c r="C387" s="81" t="s">
        <v>144</v>
      </c>
      <c r="D387" s="86">
        <v>0</v>
      </c>
      <c r="E387" s="86">
        <v>0</v>
      </c>
      <c r="F387" s="86">
        <v>0</v>
      </c>
      <c r="G387" s="86">
        <v>0</v>
      </c>
      <c r="H387" s="86">
        <v>0</v>
      </c>
      <c r="I387" s="86">
        <v>0</v>
      </c>
      <c r="J387" s="86">
        <v>0</v>
      </c>
      <c r="K387" s="86">
        <v>0</v>
      </c>
      <c r="L387" s="86">
        <v>0</v>
      </c>
      <c r="M387" s="86">
        <v>0</v>
      </c>
      <c r="N387" s="86">
        <v>0</v>
      </c>
      <c r="O387" s="86">
        <v>0</v>
      </c>
      <c r="P387" s="86">
        <v>0</v>
      </c>
      <c r="Q387" s="86">
        <v>0</v>
      </c>
      <c r="R387" s="86">
        <v>0</v>
      </c>
      <c r="S387" s="86">
        <v>0</v>
      </c>
      <c r="T387" s="86">
        <v>0</v>
      </c>
      <c r="U387" s="86">
        <v>0</v>
      </c>
      <c r="V387" s="86">
        <v>0</v>
      </c>
      <c r="W387" s="86">
        <v>0</v>
      </c>
      <c r="X387" s="86">
        <v>0</v>
      </c>
      <c r="Y387" s="86">
        <v>0</v>
      </c>
      <c r="Z387" s="86">
        <v>0</v>
      </c>
      <c r="AA387" s="86">
        <v>0</v>
      </c>
      <c r="AB387" s="86">
        <v>0</v>
      </c>
      <c r="AC387" s="86">
        <v>0</v>
      </c>
      <c r="AD387" s="86">
        <v>0</v>
      </c>
      <c r="AE387" s="86">
        <v>0</v>
      </c>
      <c r="AF387" s="86">
        <v>0</v>
      </c>
      <c r="AG387" s="86">
        <v>0</v>
      </c>
      <c r="AH387" s="86">
        <v>0</v>
      </c>
      <c r="AI387" s="86">
        <v>1.6862013780715489E-3</v>
      </c>
      <c r="AJ387" s="86">
        <v>0</v>
      </c>
      <c r="AK387" s="86">
        <v>0</v>
      </c>
    </row>
    <row r="388" spans="2:37">
      <c r="C388" s="81" t="s">
        <v>146</v>
      </c>
      <c r="D388" s="86">
        <v>0</v>
      </c>
      <c r="E388" s="86">
        <v>0</v>
      </c>
      <c r="F388" s="86">
        <v>0</v>
      </c>
      <c r="G388" s="86">
        <v>0</v>
      </c>
      <c r="H388" s="86">
        <v>0</v>
      </c>
      <c r="I388" s="86">
        <v>0</v>
      </c>
      <c r="J388" s="86">
        <v>0</v>
      </c>
      <c r="K388" s="86">
        <v>0</v>
      </c>
      <c r="L388" s="86">
        <v>0</v>
      </c>
      <c r="M388" s="86">
        <v>0</v>
      </c>
      <c r="N388" s="86">
        <v>0</v>
      </c>
      <c r="O388" s="86">
        <v>0</v>
      </c>
      <c r="P388" s="86">
        <v>0</v>
      </c>
      <c r="Q388" s="86">
        <v>0</v>
      </c>
      <c r="R388" s="86">
        <v>0</v>
      </c>
      <c r="S388" s="86">
        <v>0</v>
      </c>
      <c r="T388" s="86">
        <v>0</v>
      </c>
      <c r="U388" s="86">
        <v>0</v>
      </c>
      <c r="V388" s="86">
        <v>0</v>
      </c>
      <c r="W388" s="86">
        <v>0</v>
      </c>
      <c r="X388" s="86">
        <v>0</v>
      </c>
      <c r="Y388" s="86">
        <v>0</v>
      </c>
      <c r="Z388" s="86">
        <v>0</v>
      </c>
      <c r="AA388" s="86">
        <v>0</v>
      </c>
      <c r="AB388" s="86">
        <v>0</v>
      </c>
      <c r="AC388" s="86">
        <v>0</v>
      </c>
      <c r="AD388" s="86">
        <v>0</v>
      </c>
      <c r="AE388" s="86">
        <v>0</v>
      </c>
      <c r="AF388" s="86">
        <v>0</v>
      </c>
      <c r="AG388" s="86">
        <v>0</v>
      </c>
      <c r="AH388" s="86">
        <v>0</v>
      </c>
      <c r="AI388" s="86">
        <v>0</v>
      </c>
      <c r="AJ388" s="86">
        <v>3.0037155412942157E-3</v>
      </c>
      <c r="AK388" s="86">
        <v>0</v>
      </c>
    </row>
    <row r="389" spans="2:37">
      <c r="C389" s="81" t="s">
        <v>148</v>
      </c>
      <c r="D389" s="86">
        <v>0</v>
      </c>
      <c r="E389" s="86">
        <v>0</v>
      </c>
      <c r="F389" s="86">
        <v>0</v>
      </c>
      <c r="G389" s="86">
        <v>0</v>
      </c>
      <c r="H389" s="86">
        <v>0</v>
      </c>
      <c r="I389" s="86">
        <v>0</v>
      </c>
      <c r="J389" s="86">
        <v>0</v>
      </c>
      <c r="K389" s="86">
        <v>0</v>
      </c>
      <c r="L389" s="86">
        <v>0</v>
      </c>
      <c r="M389" s="86">
        <v>0</v>
      </c>
      <c r="N389" s="86">
        <v>0</v>
      </c>
      <c r="O389" s="86">
        <v>0</v>
      </c>
      <c r="P389" s="86">
        <v>0</v>
      </c>
      <c r="Q389" s="86">
        <v>0</v>
      </c>
      <c r="R389" s="86">
        <v>0</v>
      </c>
      <c r="S389" s="86">
        <v>0</v>
      </c>
      <c r="T389" s="86">
        <v>0</v>
      </c>
      <c r="U389" s="86">
        <v>0</v>
      </c>
      <c r="V389" s="86">
        <v>0</v>
      </c>
      <c r="W389" s="86">
        <v>0</v>
      </c>
      <c r="X389" s="86">
        <v>0</v>
      </c>
      <c r="Y389" s="86">
        <v>0</v>
      </c>
      <c r="Z389" s="86">
        <v>0</v>
      </c>
      <c r="AA389" s="86">
        <v>0</v>
      </c>
      <c r="AB389" s="86">
        <v>0</v>
      </c>
      <c r="AC389" s="86">
        <v>0</v>
      </c>
      <c r="AD389" s="86">
        <v>0</v>
      </c>
      <c r="AE389" s="86">
        <v>0</v>
      </c>
      <c r="AF389" s="86">
        <v>0</v>
      </c>
      <c r="AG389" s="86">
        <v>0</v>
      </c>
      <c r="AH389" s="86">
        <v>0</v>
      </c>
      <c r="AI389" s="86">
        <v>0</v>
      </c>
      <c r="AJ389" s="86">
        <v>0</v>
      </c>
      <c r="AK389" s="86">
        <v>4.3513114301537131E-3</v>
      </c>
    </row>
    <row r="391" spans="2:37">
      <c r="B391" s="24" t="s">
        <v>326</v>
      </c>
    </row>
    <row r="393" spans="2:37">
      <c r="D393" s="81" t="s">
        <v>82</v>
      </c>
      <c r="E393" s="81" t="s">
        <v>84</v>
      </c>
      <c r="F393" s="81" t="s">
        <v>86</v>
      </c>
      <c r="G393" s="81" t="s">
        <v>88</v>
      </c>
      <c r="H393" s="81" t="s">
        <v>90</v>
      </c>
      <c r="I393" s="81" t="s">
        <v>92</v>
      </c>
      <c r="J393" s="81" t="s">
        <v>94</v>
      </c>
      <c r="K393" s="81" t="s">
        <v>96</v>
      </c>
      <c r="L393" s="81" t="s">
        <v>98</v>
      </c>
      <c r="M393" s="81" t="s">
        <v>100</v>
      </c>
      <c r="N393" s="81" t="s">
        <v>102</v>
      </c>
      <c r="O393" s="81" t="s">
        <v>104</v>
      </c>
      <c r="P393" s="81" t="s">
        <v>106</v>
      </c>
      <c r="Q393" s="81" t="s">
        <v>108</v>
      </c>
      <c r="R393" s="81" t="s">
        <v>110</v>
      </c>
      <c r="S393" s="81" t="s">
        <v>112</v>
      </c>
      <c r="T393" s="81" t="s">
        <v>114</v>
      </c>
      <c r="U393" s="81" t="s">
        <v>116</v>
      </c>
      <c r="V393" s="81" t="s">
        <v>118</v>
      </c>
      <c r="W393" s="81" t="s">
        <v>120</v>
      </c>
      <c r="X393" s="81" t="s">
        <v>122</v>
      </c>
      <c r="Y393" s="81" t="s">
        <v>124</v>
      </c>
      <c r="Z393" s="81" t="s">
        <v>126</v>
      </c>
      <c r="AA393" s="81" t="s">
        <v>128</v>
      </c>
      <c r="AB393" s="81" t="s">
        <v>130</v>
      </c>
      <c r="AC393" s="81" t="s">
        <v>132</v>
      </c>
      <c r="AD393" s="81" t="s">
        <v>134</v>
      </c>
      <c r="AE393" s="81" t="s">
        <v>136</v>
      </c>
      <c r="AF393" s="81" t="s">
        <v>138</v>
      </c>
      <c r="AG393" s="81" t="s">
        <v>140</v>
      </c>
      <c r="AH393" s="81" t="s">
        <v>142</v>
      </c>
      <c r="AI393" s="81" t="s">
        <v>144</v>
      </c>
      <c r="AJ393" s="81" t="s">
        <v>146</v>
      </c>
      <c r="AK393" s="81" t="s">
        <v>148</v>
      </c>
    </row>
    <row r="394" spans="2:37">
      <c r="C394" s="81" t="s">
        <v>82</v>
      </c>
      <c r="D394" s="86">
        <f t="array" ref="D394:AK427">MMULT(Znew,D356:AK389)</f>
        <v>0.45125216286449793</v>
      </c>
      <c r="E394" s="86">
        <v>2.2161741354171888E-3</v>
      </c>
      <c r="F394" s="86">
        <v>0.17924521776424063</v>
      </c>
      <c r="G394" s="86">
        <v>0.13314738616556876</v>
      </c>
      <c r="H394" s="86">
        <v>0.12146327771202049</v>
      </c>
      <c r="I394" s="86">
        <v>2.2652573474447953E-3</v>
      </c>
      <c r="J394" s="86">
        <v>1.9276059427764019E-3</v>
      </c>
      <c r="K394" s="86">
        <v>2.8785370761972243E-3</v>
      </c>
      <c r="L394" s="86">
        <v>3.0392634587225005E-3</v>
      </c>
      <c r="M394" s="86">
        <v>7.2058887027036541E-4</v>
      </c>
      <c r="N394" s="86">
        <v>7.1464966773730385E-4</v>
      </c>
      <c r="O394" s="86">
        <v>2.6117809222648035E-5</v>
      </c>
      <c r="P394" s="86">
        <v>0</v>
      </c>
      <c r="Q394" s="86">
        <v>0</v>
      </c>
      <c r="R394" s="86">
        <v>0</v>
      </c>
      <c r="S394" s="86">
        <v>0</v>
      </c>
      <c r="T394" s="86">
        <v>0</v>
      </c>
      <c r="U394" s="86">
        <v>8.8127774753671298E-5</v>
      </c>
      <c r="V394" s="86">
        <v>0</v>
      </c>
      <c r="W394" s="86">
        <v>2.6350605660378601E-3</v>
      </c>
      <c r="X394" s="86">
        <v>8.0782297735874394E-5</v>
      </c>
      <c r="Y394" s="86">
        <v>3.9928334808990502E-2</v>
      </c>
      <c r="Z394" s="86">
        <v>0</v>
      </c>
      <c r="AA394" s="86">
        <v>0</v>
      </c>
      <c r="AB394" s="86">
        <v>0</v>
      </c>
      <c r="AC394" s="86">
        <v>0</v>
      </c>
      <c r="AD394" s="86">
        <v>0</v>
      </c>
      <c r="AE394" s="86">
        <v>0</v>
      </c>
      <c r="AF394" s="86">
        <v>1.0052550223284291E-3</v>
      </c>
      <c r="AG394" s="86">
        <v>1.0292358004559824E-3</v>
      </c>
      <c r="AH394" s="86">
        <v>3.427525153107356E-2</v>
      </c>
      <c r="AI394" s="86">
        <v>1.7941122276997012E-2</v>
      </c>
      <c r="AJ394" s="86">
        <v>3.6041032751335488E-2</v>
      </c>
      <c r="AK394" s="86">
        <v>3.1022956416850567E-4</v>
      </c>
    </row>
    <row r="395" spans="2:37">
      <c r="C395" s="81" t="s">
        <v>84</v>
      </c>
      <c r="D395" s="86">
        <v>9.3332748948937551E-7</v>
      </c>
      <c r="E395" s="86">
        <v>3.1730399280462666E-2</v>
      </c>
      <c r="F395" s="86">
        <v>4.4888515352312511E-3</v>
      </c>
      <c r="G395" s="86">
        <v>2.3705499183736185E-3</v>
      </c>
      <c r="H395" s="86">
        <v>2.3614351947807586E-3</v>
      </c>
      <c r="I395" s="86">
        <v>7.2293542997369387E-4</v>
      </c>
      <c r="J395" s="86">
        <v>5.8810501424998813E-4</v>
      </c>
      <c r="K395" s="86">
        <v>9.9058529025316922E-2</v>
      </c>
      <c r="L395" s="86">
        <v>9.901267449713326E-2</v>
      </c>
      <c r="M395" s="86">
        <v>2.4660954872181253E-2</v>
      </c>
      <c r="N395" s="86">
        <v>2.4457695549580834E-2</v>
      </c>
      <c r="O395" s="86">
        <v>8.0766766285307167E-3</v>
      </c>
      <c r="P395" s="86">
        <v>2.8797003359989144E-2</v>
      </c>
      <c r="Q395" s="86">
        <v>2.8550428385253054E-2</v>
      </c>
      <c r="R395" s="86">
        <v>2.8491966948523736E-2</v>
      </c>
      <c r="S395" s="86">
        <v>3.4528312348092081E-2</v>
      </c>
      <c r="T395" s="86">
        <v>6.1718204953460476E-2</v>
      </c>
      <c r="U395" s="86">
        <v>7.0773585722702405E-3</v>
      </c>
      <c r="V395" s="86">
        <v>8.6413636603470435E-3</v>
      </c>
      <c r="W395" s="86">
        <v>2.5893075510433707E-4</v>
      </c>
      <c r="X395" s="86">
        <v>2.7193647973575971E-4</v>
      </c>
      <c r="Y395" s="86">
        <v>5.6318882996863782E-4</v>
      </c>
      <c r="Z395" s="86">
        <v>1.3501401708981542E-3</v>
      </c>
      <c r="AA395" s="86">
        <v>1.394372763070937E-3</v>
      </c>
      <c r="AB395" s="86">
        <v>1.3418445685783732E-3</v>
      </c>
      <c r="AC395" s="86">
        <v>1.3428417930458686E-3</v>
      </c>
      <c r="AD395" s="86">
        <v>9.8652433195429035E-4</v>
      </c>
      <c r="AE395" s="86">
        <v>0</v>
      </c>
      <c r="AF395" s="86">
        <v>3.6630569329340921E-5</v>
      </c>
      <c r="AG395" s="86">
        <v>3.7504406849433983E-5</v>
      </c>
      <c r="AH395" s="86">
        <v>2.7919959413852664E-3</v>
      </c>
      <c r="AI395" s="86">
        <v>9.7178263467009845E-3</v>
      </c>
      <c r="AJ395" s="86">
        <v>1.2855763336816188E-4</v>
      </c>
      <c r="AK395" s="86">
        <v>6.4768251209758679E-4</v>
      </c>
    </row>
    <row r="396" spans="2:37">
      <c r="C396" s="81" t="s">
        <v>86</v>
      </c>
      <c r="D396" s="86">
        <v>2.440557709569924E-3</v>
      </c>
      <c r="E396" s="86">
        <v>1.2053178500205765E-3</v>
      </c>
      <c r="F396" s="86">
        <v>9.3431193768579765E-2</v>
      </c>
      <c r="G396" s="86">
        <v>7.4258731426056724E-3</v>
      </c>
      <c r="H396" s="86">
        <v>7.3973207883160502E-3</v>
      </c>
      <c r="I396" s="86">
        <v>1.1751045895924659E-4</v>
      </c>
      <c r="J396" s="86">
        <v>5.7964706740492081E-4</v>
      </c>
      <c r="K396" s="86">
        <v>2.6506975043519489E-2</v>
      </c>
      <c r="L396" s="86">
        <v>2.6489758537333406E-2</v>
      </c>
      <c r="M396" s="86">
        <v>6.384888868186076E-3</v>
      </c>
      <c r="N396" s="86">
        <v>6.3322636477535334E-3</v>
      </c>
      <c r="O396" s="86">
        <v>7.7227250968546241E-4</v>
      </c>
      <c r="P396" s="86">
        <v>1.0705122378968713E-4</v>
      </c>
      <c r="Q396" s="86">
        <v>1.0613459533111337E-4</v>
      </c>
      <c r="R396" s="86">
        <v>1.0591726826176013E-4</v>
      </c>
      <c r="S396" s="86">
        <v>1.8401974270883823E-4</v>
      </c>
      <c r="T396" s="86">
        <v>3.8362897662122157E-3</v>
      </c>
      <c r="U396" s="86">
        <v>1.7055312965257363E-2</v>
      </c>
      <c r="V396" s="86">
        <v>1.6207170542688115E-4</v>
      </c>
      <c r="W396" s="86">
        <v>1.2110457719679646E-2</v>
      </c>
      <c r="X396" s="86">
        <v>3.3619285924172272E-2</v>
      </c>
      <c r="Y396" s="86">
        <v>7.8573302000499182E-2</v>
      </c>
      <c r="Z396" s="86">
        <v>5.9886645812761855E-3</v>
      </c>
      <c r="AA396" s="86">
        <v>6.1848621049057969E-3</v>
      </c>
      <c r="AB396" s="86">
        <v>5.9518687130665398E-3</v>
      </c>
      <c r="AC396" s="86">
        <v>5.9562919892395408E-3</v>
      </c>
      <c r="AD396" s="86">
        <v>7.8106891975472468E-3</v>
      </c>
      <c r="AE396" s="86">
        <v>1.9122047737889244E-4</v>
      </c>
      <c r="AF396" s="86">
        <v>1.933456683709486E-2</v>
      </c>
      <c r="AG396" s="86">
        <v>1.9795800998789147E-2</v>
      </c>
      <c r="AH396" s="86">
        <v>3.4898218170728849E-2</v>
      </c>
      <c r="AI396" s="86">
        <v>1.6878467608009352E-2</v>
      </c>
      <c r="AJ396" s="86">
        <v>1.8606511253588337E-2</v>
      </c>
      <c r="AK396" s="86">
        <v>1.015440580721742E-2</v>
      </c>
    </row>
    <row r="397" spans="2:37">
      <c r="C397" s="81" t="s">
        <v>88</v>
      </c>
      <c r="D397" s="86">
        <v>6.2791831551491334E-7</v>
      </c>
      <c r="E397" s="86">
        <v>2.4509916738324662E-4</v>
      </c>
      <c r="F397" s="86">
        <v>4.3898110669644201E-4</v>
      </c>
      <c r="G397" s="86">
        <v>2.6086240009202271E-2</v>
      </c>
      <c r="H397" s="86">
        <v>2.7836745504615019E-2</v>
      </c>
      <c r="I397" s="86">
        <v>1.6705351779061457E-3</v>
      </c>
      <c r="J397" s="86">
        <v>2.1325448757769628E-3</v>
      </c>
      <c r="K397" s="86">
        <v>9.1706304584310699E-3</v>
      </c>
      <c r="L397" s="86">
        <v>9.1646740557952515E-3</v>
      </c>
      <c r="M397" s="86">
        <v>8.857488223420895E-4</v>
      </c>
      <c r="N397" s="86">
        <v>8.7844834648637441E-4</v>
      </c>
      <c r="O397" s="86">
        <v>1.3319582939283868E-4</v>
      </c>
      <c r="P397" s="86">
        <v>2.9240456471897464E-3</v>
      </c>
      <c r="Q397" s="86">
        <v>2.899008442013574E-3</v>
      </c>
      <c r="R397" s="86">
        <v>2.8930722719385255E-3</v>
      </c>
      <c r="S397" s="86">
        <v>8.7886731037707042E-3</v>
      </c>
      <c r="T397" s="86">
        <v>3.5789086007760379E-4</v>
      </c>
      <c r="U397" s="86">
        <v>1.2297311568146799E-5</v>
      </c>
      <c r="V397" s="86">
        <v>1.3401460474481028E-4</v>
      </c>
      <c r="W397" s="86">
        <v>7.0251721591609194E-5</v>
      </c>
      <c r="X397" s="86">
        <v>1.3120865296376076E-4</v>
      </c>
      <c r="Y397" s="86">
        <v>3.1813383678335975E-3</v>
      </c>
      <c r="Z397" s="86">
        <v>1.4150965195668184E-4</v>
      </c>
      <c r="AA397" s="86">
        <v>1.461457177952001E-4</v>
      </c>
      <c r="AB397" s="86">
        <v>1.4064018090297441E-4</v>
      </c>
      <c r="AC397" s="86">
        <v>1.4074470107825699E-4</v>
      </c>
      <c r="AD397" s="86">
        <v>1.4857467853718367E-4</v>
      </c>
      <c r="AE397" s="86">
        <v>7.3466984535710276E-7</v>
      </c>
      <c r="AF397" s="86">
        <v>1.6635811069222795E-4</v>
      </c>
      <c r="AG397" s="86">
        <v>1.7032665285677092E-4</v>
      </c>
      <c r="AH397" s="86">
        <v>1.2951761065352928E-3</v>
      </c>
      <c r="AI397" s="86">
        <v>7.4666402747258678E-4</v>
      </c>
      <c r="AJ397" s="86">
        <v>1.6933774832320631E-3</v>
      </c>
      <c r="AK397" s="86">
        <v>1.7144043798966084E-3</v>
      </c>
    </row>
    <row r="398" spans="2:37">
      <c r="C398" s="81" t="s">
        <v>90</v>
      </c>
      <c r="D398" s="86">
        <v>6.6412056394421161E-8</v>
      </c>
      <c r="E398" s="86">
        <v>2.5923021075016389E-5</v>
      </c>
      <c r="F398" s="86">
        <v>4.6429029530859731E-5</v>
      </c>
      <c r="G398" s="86">
        <v>2.9555295732515757E-3</v>
      </c>
      <c r="H398" s="86">
        <v>2.9441656129645666E-3</v>
      </c>
      <c r="I398" s="86">
        <v>1.7668488671649963E-4</v>
      </c>
      <c r="J398" s="86">
        <v>2.2554954530605714E-4</v>
      </c>
      <c r="K398" s="86">
        <v>9.699357577717567E-4</v>
      </c>
      <c r="L398" s="86">
        <v>9.6930577623118973E-4</v>
      </c>
      <c r="M398" s="86">
        <v>9.3681613176767255E-5</v>
      </c>
      <c r="N398" s="86">
        <v>9.2909475141840018E-5</v>
      </c>
      <c r="O398" s="86">
        <v>1.4087515389458173E-5</v>
      </c>
      <c r="P398" s="86">
        <v>3.0926297198670535E-4</v>
      </c>
      <c r="Q398" s="86">
        <v>3.0661490098601374E-4</v>
      </c>
      <c r="R398" s="86">
        <v>3.0598705935112153E-4</v>
      </c>
      <c r="S398" s="86">
        <v>9.2953787041730488E-4</v>
      </c>
      <c r="T398" s="86">
        <v>3.7852483985964061E-5</v>
      </c>
      <c r="U398" s="86">
        <v>1.3006305584410574E-6</v>
      </c>
      <c r="V398" s="86">
        <v>1.417411352412926E-5</v>
      </c>
      <c r="W398" s="86">
        <v>7.4302041855893959E-6</v>
      </c>
      <c r="X398" s="86">
        <v>1.3877340801756571E-5</v>
      </c>
      <c r="Y398" s="86">
        <v>3.3647564957719751E-4</v>
      </c>
      <c r="Z398" s="86">
        <v>1.4966830483986538E-5</v>
      </c>
      <c r="AA398" s="86">
        <v>1.5457166023352673E-5</v>
      </c>
      <c r="AB398" s="86">
        <v>1.4874870496157852E-5</v>
      </c>
      <c r="AC398" s="86">
        <v>1.4885925118397358E-5</v>
      </c>
      <c r="AD398" s="86">
        <v>1.571406612292093E-5</v>
      </c>
      <c r="AE398" s="86">
        <v>7.7702678828737089E-8</v>
      </c>
      <c r="AF398" s="86">
        <v>1.7594938634497013E-5</v>
      </c>
      <c r="AG398" s="86">
        <v>1.8014673239338272E-5</v>
      </c>
      <c r="AH398" s="86">
        <v>1.3698486969183874E-4</v>
      </c>
      <c r="AI398" s="86">
        <v>7.8971248767495698E-5</v>
      </c>
      <c r="AJ398" s="86">
        <v>1.7910081317062601E-4</v>
      </c>
      <c r="AK398" s="86">
        <v>1.8132473213043707E-4</v>
      </c>
    </row>
    <row r="399" spans="2:37">
      <c r="C399" s="81" t="s">
        <v>92</v>
      </c>
      <c r="D399" s="86">
        <v>1.2610222094741199E-7</v>
      </c>
      <c r="E399" s="86">
        <v>2.1202803245506368E-5</v>
      </c>
      <c r="F399" s="86">
        <v>3.7190466346762572E-5</v>
      </c>
      <c r="G399" s="86">
        <v>2.3042149121861886E-6</v>
      </c>
      <c r="H399" s="86">
        <v>2.2953552455491897E-6</v>
      </c>
      <c r="I399" s="86">
        <v>4.2095690810641379E-3</v>
      </c>
      <c r="J399" s="86">
        <v>3.8585284560588053E-3</v>
      </c>
      <c r="K399" s="86">
        <v>1.5915921888060201E-4</v>
      </c>
      <c r="L399" s="86">
        <v>1.590558436115672E-4</v>
      </c>
      <c r="M399" s="86">
        <v>1.7685359857150525E-4</v>
      </c>
      <c r="N399" s="86">
        <v>1.7539594444450948E-4</v>
      </c>
      <c r="O399" s="86">
        <v>4.2189088696822116E-5</v>
      </c>
      <c r="P399" s="86">
        <v>1.9269383491470497E-4</v>
      </c>
      <c r="Q399" s="86">
        <v>1.9104388971443763E-4</v>
      </c>
      <c r="R399" s="86">
        <v>1.906526976762529E-4</v>
      </c>
      <c r="S399" s="86">
        <v>3.5517454381111691E-3</v>
      </c>
      <c r="T399" s="86">
        <v>4.5133335716090503E-5</v>
      </c>
      <c r="U399" s="86">
        <v>1.7744002054411397E-4</v>
      </c>
      <c r="V399" s="86">
        <v>4.0577420299973767E-5</v>
      </c>
      <c r="W399" s="86">
        <v>1.2274273854251055E-4</v>
      </c>
      <c r="X399" s="86">
        <v>3.6684032407058167E-5</v>
      </c>
      <c r="Y399" s="86">
        <v>1.9597904933298254E-4</v>
      </c>
      <c r="Z399" s="86">
        <v>1.4939068854862591E-5</v>
      </c>
      <c r="AA399" s="86">
        <v>1.5428494882131042E-5</v>
      </c>
      <c r="AB399" s="86">
        <v>1.4847279441497254E-5</v>
      </c>
      <c r="AC399" s="86">
        <v>1.4858313558772475E-5</v>
      </c>
      <c r="AD399" s="86">
        <v>2.0354037788081012E-5</v>
      </c>
      <c r="AE399" s="86">
        <v>2.9508137244455677E-8</v>
      </c>
      <c r="AF399" s="86">
        <v>2.4015749767594062E-5</v>
      </c>
      <c r="AG399" s="86">
        <v>2.458865550191161E-5</v>
      </c>
      <c r="AH399" s="86">
        <v>3.9637488267253405E-5</v>
      </c>
      <c r="AI399" s="86">
        <v>4.4699339878888346E-5</v>
      </c>
      <c r="AJ399" s="86">
        <v>8.3222758223801904E-6</v>
      </c>
      <c r="AK399" s="86">
        <v>1.9251091861186627E-4</v>
      </c>
    </row>
    <row r="400" spans="2:37">
      <c r="C400" s="81" t="s">
        <v>94</v>
      </c>
      <c r="D400" s="86">
        <v>3.6768181082055611E-6</v>
      </c>
      <c r="E400" s="86">
        <v>6.0243614749738684E-4</v>
      </c>
      <c r="F400" s="86">
        <v>5.3362152522709084E-4</v>
      </c>
      <c r="G400" s="86">
        <v>1.8078493523474205E-4</v>
      </c>
      <c r="H400" s="86">
        <v>1.8008982027359018E-4</v>
      </c>
      <c r="I400" s="86">
        <v>5.2109738406833271E-2</v>
      </c>
      <c r="J400" s="86">
        <v>3.4277247591244925E-2</v>
      </c>
      <c r="K400" s="86">
        <v>2.1565611276361299E-3</v>
      </c>
      <c r="L400" s="86">
        <v>2.1551604228052857E-3</v>
      </c>
      <c r="M400" s="86">
        <v>1.7241391802348732E-3</v>
      </c>
      <c r="N400" s="86">
        <v>1.70992856415533E-3</v>
      </c>
      <c r="O400" s="86">
        <v>5.4618650803202578E-4</v>
      </c>
      <c r="P400" s="86">
        <v>2.9140841496102183E-3</v>
      </c>
      <c r="Q400" s="86">
        <v>2.8891322399762086E-3</v>
      </c>
      <c r="R400" s="86">
        <v>2.8832162929588612E-3</v>
      </c>
      <c r="S400" s="86">
        <v>3.1151829008304689E-2</v>
      </c>
      <c r="T400" s="86">
        <v>7.8567559791312017E-4</v>
      </c>
      <c r="U400" s="86">
        <v>1.5567391042529361E-3</v>
      </c>
      <c r="V400" s="86">
        <v>5.9150590986788599E-4</v>
      </c>
      <c r="W400" s="86">
        <v>1.3013222556980788E-3</v>
      </c>
      <c r="X400" s="86">
        <v>7.6406111948542428E-4</v>
      </c>
      <c r="Y400" s="86">
        <v>2.3791226593942883E-3</v>
      </c>
      <c r="Z400" s="86">
        <v>1.5072014828555996E-4</v>
      </c>
      <c r="AA400" s="86">
        <v>1.5565796362876325E-4</v>
      </c>
      <c r="AB400" s="86">
        <v>1.4979408561539761E-4</v>
      </c>
      <c r="AC400" s="86">
        <v>1.4990540873788133E-4</v>
      </c>
      <c r="AD400" s="86">
        <v>2.4493389179037632E-4</v>
      </c>
      <c r="AE400" s="86">
        <v>5.0271803542228097E-5</v>
      </c>
      <c r="AF400" s="86">
        <v>2.389842365868391E-4</v>
      </c>
      <c r="AG400" s="86">
        <v>2.4468530529704081E-4</v>
      </c>
      <c r="AH400" s="86">
        <v>7.2460595601720791E-4</v>
      </c>
      <c r="AI400" s="86">
        <v>1.3311623526153647E-3</v>
      </c>
      <c r="AJ400" s="86">
        <v>3.8953328462631797E-4</v>
      </c>
      <c r="AK400" s="86">
        <v>2.4035686387488355E-3</v>
      </c>
    </row>
    <row r="401" spans="3:37">
      <c r="C401" s="81" t="s">
        <v>96</v>
      </c>
      <c r="D401" s="86">
        <v>7.2451740822838701E-4</v>
      </c>
      <c r="E401" s="86">
        <v>6.5519290524074878E-3</v>
      </c>
      <c r="F401" s="86">
        <v>2.9701281151708398E-4</v>
      </c>
      <c r="G401" s="86">
        <v>1.0998911285530104E-3</v>
      </c>
      <c r="H401" s="86">
        <v>1.0956620661142435E-3</v>
      </c>
      <c r="I401" s="86">
        <v>2.762622617005603E-3</v>
      </c>
      <c r="J401" s="86">
        <v>4.2625696753636425E-3</v>
      </c>
      <c r="K401" s="86">
        <v>5.309927983587634E-3</v>
      </c>
      <c r="L401" s="86">
        <v>5.3064791401104938E-3</v>
      </c>
      <c r="M401" s="86">
        <v>5.9063492835263092E-4</v>
      </c>
      <c r="N401" s="86">
        <v>5.8576682587796144E-4</v>
      </c>
      <c r="O401" s="86">
        <v>8.9998271611380521E-4</v>
      </c>
      <c r="P401" s="86">
        <v>3.5660192453606083E-3</v>
      </c>
      <c r="Q401" s="86">
        <v>3.535485127128197E-3</v>
      </c>
      <c r="R401" s="86">
        <v>3.5282456721793115E-3</v>
      </c>
      <c r="S401" s="86">
        <v>7.0200447842595651E-4</v>
      </c>
      <c r="T401" s="86">
        <v>4.5750155692653692E-3</v>
      </c>
      <c r="U401" s="86">
        <v>4.3913241130919016E-3</v>
      </c>
      <c r="V401" s="86">
        <v>4.0909449090555305E-3</v>
      </c>
      <c r="W401" s="86">
        <v>2.5447233210421348E-3</v>
      </c>
      <c r="X401" s="86">
        <v>3.9089617139893718E-3</v>
      </c>
      <c r="Y401" s="86">
        <v>5.2180279233245018E-5</v>
      </c>
      <c r="Z401" s="86">
        <v>1.0307856161206013E-2</v>
      </c>
      <c r="AA401" s="86">
        <v>8.9066356372389712E-3</v>
      </c>
      <c r="AB401" s="86">
        <v>8.5711087957672915E-3</v>
      </c>
      <c r="AC401" s="86">
        <v>1.0066062562451098E-2</v>
      </c>
      <c r="AD401" s="86">
        <v>4.272945960271903E-3</v>
      </c>
      <c r="AE401" s="86">
        <v>2.9515344201004183E-5</v>
      </c>
      <c r="AF401" s="86">
        <v>1.3774491425491079E-3</v>
      </c>
      <c r="AG401" s="86">
        <v>1.4103087667596335E-3</v>
      </c>
      <c r="AH401" s="86">
        <v>1.1757386734939977E-3</v>
      </c>
      <c r="AI401" s="86">
        <v>5.4392040240486145E-5</v>
      </c>
      <c r="AJ401" s="86">
        <v>1.2205682391175918E-3</v>
      </c>
      <c r="AK401" s="86">
        <v>8.6328472922941803E-4</v>
      </c>
    </row>
    <row r="402" spans="3:37">
      <c r="C402" s="81" t="s">
        <v>98</v>
      </c>
      <c r="D402" s="86">
        <v>3.3139256841776166E-4</v>
      </c>
      <c r="E402" s="86">
        <v>3.3320249710198911E-3</v>
      </c>
      <c r="F402" s="86">
        <v>1.3585296549644776E-4</v>
      </c>
      <c r="G402" s="86">
        <v>5.0308763037504919E-4</v>
      </c>
      <c r="H402" s="86">
        <v>5.0115326710418106E-4</v>
      </c>
      <c r="I402" s="86">
        <v>1.2636171253043145E-3</v>
      </c>
      <c r="J402" s="86">
        <v>1.9496894025397016E-3</v>
      </c>
      <c r="K402" s="86">
        <v>2.4287486437313526E-3</v>
      </c>
      <c r="L402" s="86">
        <v>2.4271711507891881E-3</v>
      </c>
      <c r="M402" s="86">
        <v>2.701550351738667E-4</v>
      </c>
      <c r="N402" s="86">
        <v>2.6792837648481111E-4</v>
      </c>
      <c r="O402" s="86">
        <v>4.1164998996205031E-4</v>
      </c>
      <c r="P402" s="86">
        <v>1.6310888645683197E-3</v>
      </c>
      <c r="Q402" s="86">
        <v>1.6171226302853338E-3</v>
      </c>
      <c r="R402" s="86">
        <v>1.6138113205194028E-3</v>
      </c>
      <c r="S402" s="86">
        <v>3.2109520696708326E-4</v>
      </c>
      <c r="T402" s="86">
        <v>2.3463895580627336E-3</v>
      </c>
      <c r="U402" s="86">
        <v>2.0085813812960119E-3</v>
      </c>
      <c r="V402" s="86">
        <v>2.2847867613708041E-3</v>
      </c>
      <c r="W402" s="86">
        <v>1.3263291112233662E-3</v>
      </c>
      <c r="X402" s="86">
        <v>2.0120415364936793E-3</v>
      </c>
      <c r="Y402" s="86">
        <v>2.3867137710526942E-5</v>
      </c>
      <c r="Z402" s="86">
        <v>4.4163413614908675E-3</v>
      </c>
      <c r="AA402" s="86">
        <v>5.1343789460478947E-3</v>
      </c>
      <c r="AB402" s="86">
        <v>4.9409588915119975E-3</v>
      </c>
      <c r="AC402" s="86">
        <v>4.2084139580463153E-3</v>
      </c>
      <c r="AD402" s="86">
        <v>1.9544354909943364E-3</v>
      </c>
      <c r="AE402" s="86">
        <v>1.3500249423160526E-5</v>
      </c>
      <c r="AF402" s="86">
        <v>6.3004201697566006E-4</v>
      </c>
      <c r="AG402" s="86">
        <v>6.4507193225539581E-4</v>
      </c>
      <c r="AH402" s="86">
        <v>5.3778012008021299E-4</v>
      </c>
      <c r="AI402" s="86">
        <v>2.4878792023579379E-5</v>
      </c>
      <c r="AJ402" s="86">
        <v>5.5828505857352336E-4</v>
      </c>
      <c r="AK402" s="86">
        <v>3.9486441657035539E-4</v>
      </c>
    </row>
    <row r="403" spans="3:37">
      <c r="C403" s="81" t="s">
        <v>100</v>
      </c>
      <c r="D403" s="86">
        <v>3.306661784257197E-5</v>
      </c>
      <c r="E403" s="86">
        <v>9.0883846283741534E-5</v>
      </c>
      <c r="F403" s="86">
        <v>1.2277182809761647E-3</v>
      </c>
      <c r="G403" s="86">
        <v>2.8106422930167544E-4</v>
      </c>
      <c r="H403" s="86">
        <v>2.799835421825928E-4</v>
      </c>
      <c r="I403" s="86">
        <v>4.1123300228097536E-5</v>
      </c>
      <c r="J403" s="86">
        <v>8.7902477943325175E-5</v>
      </c>
      <c r="K403" s="86">
        <v>1.9046315406952646E-4</v>
      </c>
      <c r="L403" s="86">
        <v>1.9033944662781045E-4</v>
      </c>
      <c r="M403" s="86">
        <v>2.7567633679302386E-2</v>
      </c>
      <c r="N403" s="86">
        <v>2.7340417070034886E-2</v>
      </c>
      <c r="O403" s="86">
        <v>2.5061718177377586E-5</v>
      </c>
      <c r="P403" s="86">
        <v>1.9633693804380968E-3</v>
      </c>
      <c r="Q403" s="86">
        <v>1.9465579869285962E-3</v>
      </c>
      <c r="R403" s="86">
        <v>1.9425721071002148E-3</v>
      </c>
      <c r="S403" s="86">
        <v>3.7062002869530774E-4</v>
      </c>
      <c r="T403" s="86">
        <v>2.1768670934428575E-3</v>
      </c>
      <c r="U403" s="86">
        <v>1.4308349281142855E-2</v>
      </c>
      <c r="V403" s="86">
        <v>5.4016860730258541E-6</v>
      </c>
      <c r="W403" s="86">
        <v>3.1202160261516601E-3</v>
      </c>
      <c r="X403" s="86">
        <v>2.6416568049158046E-3</v>
      </c>
      <c r="Y403" s="86">
        <v>1.3850139106023024E-3</v>
      </c>
      <c r="Z403" s="86">
        <v>2.273325109569015E-3</v>
      </c>
      <c r="AA403" s="86">
        <v>2.3478026079911504E-3</v>
      </c>
      <c r="AB403" s="86">
        <v>2.2593572257455122E-3</v>
      </c>
      <c r="AC403" s="86">
        <v>2.2610363220872923E-3</v>
      </c>
      <c r="AD403" s="86">
        <v>1.3474824482287747E-3</v>
      </c>
      <c r="AE403" s="86">
        <v>7.699149870035392E-7</v>
      </c>
      <c r="AF403" s="86">
        <v>2.4031619825277436E-3</v>
      </c>
      <c r="AG403" s="86">
        <v>2.4604904146444838E-3</v>
      </c>
      <c r="AH403" s="86">
        <v>6.8271123258766757E-5</v>
      </c>
      <c r="AI403" s="86">
        <v>9.3642760192711618E-5</v>
      </c>
      <c r="AJ403" s="86">
        <v>2.3265174142157452E-5</v>
      </c>
      <c r="AK403" s="86">
        <v>4.3644792394199227E-4</v>
      </c>
    </row>
    <row r="404" spans="3:37">
      <c r="C404" s="81" t="s">
        <v>102</v>
      </c>
      <c r="D404" s="86">
        <v>1.2595683844796488E-4</v>
      </c>
      <c r="E404" s="86">
        <v>3.4619331188909545E-4</v>
      </c>
      <c r="F404" s="86">
        <v>4.6766050859134859E-3</v>
      </c>
      <c r="G404" s="86">
        <v>1.0706254232652301E-3</v>
      </c>
      <c r="H404" s="86">
        <v>1.0665088869590629E-3</v>
      </c>
      <c r="I404" s="86">
        <v>1.5664622574761657E-4</v>
      </c>
      <c r="J404" s="86">
        <v>3.3483673069304966E-4</v>
      </c>
      <c r="K404" s="86">
        <v>7.2550923839991455E-4</v>
      </c>
      <c r="L404" s="86">
        <v>7.250380139667067E-4</v>
      </c>
      <c r="M404" s="86">
        <v>8.7473153242265941E-2</v>
      </c>
      <c r="N404" s="86">
        <v>9.5448435587912078E-2</v>
      </c>
      <c r="O404" s="86">
        <v>9.546470106876964E-5</v>
      </c>
      <c r="P404" s="86">
        <v>7.4788356354708553E-3</v>
      </c>
      <c r="Q404" s="86">
        <v>7.4147979408254461E-3</v>
      </c>
      <c r="R404" s="86">
        <v>7.399614990334146E-3</v>
      </c>
      <c r="S404" s="86">
        <v>1.4117599599150438E-3</v>
      </c>
      <c r="T404" s="86">
        <v>8.2920877519703229E-3</v>
      </c>
      <c r="U404" s="86">
        <v>4.8987234678240822E-2</v>
      </c>
      <c r="V404" s="86">
        <v>2.0576017277787088E-5</v>
      </c>
      <c r="W404" s="86">
        <v>1.1885477607653948E-2</v>
      </c>
      <c r="X404" s="86">
        <v>1.0062557380252102E-2</v>
      </c>
      <c r="Y404" s="86">
        <v>5.2757731140352622E-3</v>
      </c>
      <c r="Z404" s="86">
        <v>8.6595141035875206E-3</v>
      </c>
      <c r="AA404" s="86">
        <v>8.9432126143159096E-3</v>
      </c>
      <c r="AB404" s="86">
        <v>8.6063078611288788E-3</v>
      </c>
      <c r="AC404" s="86">
        <v>8.6127038483951694E-3</v>
      </c>
      <c r="AD404" s="86">
        <v>5.1328088603155237E-3</v>
      </c>
      <c r="AE404" s="86">
        <v>2.93274800883384E-6</v>
      </c>
      <c r="AF404" s="86">
        <v>9.1540866694819183E-3</v>
      </c>
      <c r="AG404" s="86">
        <v>9.3724612276837749E-3</v>
      </c>
      <c r="AH404" s="86">
        <v>2.6005728447662743E-4</v>
      </c>
      <c r="AI404" s="86">
        <v>3.5670252317820733E-4</v>
      </c>
      <c r="AJ404" s="86">
        <v>8.8621333903545876E-5</v>
      </c>
      <c r="AK404" s="86">
        <v>1.6625105388351914E-3</v>
      </c>
    </row>
    <row r="405" spans="3:37">
      <c r="C405" s="81" t="s">
        <v>104</v>
      </c>
      <c r="D405" s="86">
        <v>1.7651493384663525E-3</v>
      </c>
      <c r="E405" s="86">
        <v>5.9644217519341887E-3</v>
      </c>
      <c r="F405" s="86">
        <v>1.5928662923163901E-3</v>
      </c>
      <c r="G405" s="86">
        <v>5.7585691176249279E-3</v>
      </c>
      <c r="H405" s="86">
        <v>5.7364275185846489E-3</v>
      </c>
      <c r="I405" s="86">
        <v>2.5749602693572312E-3</v>
      </c>
      <c r="J405" s="86">
        <v>5.4506157472972014E-3</v>
      </c>
      <c r="K405" s="86">
        <v>3.668815392346932E-3</v>
      </c>
      <c r="L405" s="86">
        <v>3.6664324654835574E-3</v>
      </c>
      <c r="M405" s="86">
        <v>1.5209113371183768E-2</v>
      </c>
      <c r="N405" s="86">
        <v>1.5083757556812415E-2</v>
      </c>
      <c r="O405" s="86">
        <v>0.39381249707969102</v>
      </c>
      <c r="P405" s="86">
        <v>4.092288026272041E-2</v>
      </c>
      <c r="Q405" s="86">
        <v>4.0572477200263954E-2</v>
      </c>
      <c r="R405" s="86">
        <v>4.048939875125479E-2</v>
      </c>
      <c r="S405" s="86">
        <v>1.9207202825320818E-2</v>
      </c>
      <c r="T405" s="86">
        <v>9.8153264548348548E-3</v>
      </c>
      <c r="U405" s="86">
        <v>2.0158636759386929E-2</v>
      </c>
      <c r="V405" s="86">
        <v>1.5594819123644159E-3</v>
      </c>
      <c r="W405" s="86">
        <v>1.2403327928575123E-3</v>
      </c>
      <c r="X405" s="86">
        <v>6.4147743342834053E-4</v>
      </c>
      <c r="Y405" s="86">
        <v>5.3852481643740864E-4</v>
      </c>
      <c r="Z405" s="86">
        <v>5.8817536185410432E-4</v>
      </c>
      <c r="AA405" s="86">
        <v>6.0744485806475744E-4</v>
      </c>
      <c r="AB405" s="86">
        <v>5.8456146382973194E-4</v>
      </c>
      <c r="AC405" s="86">
        <v>5.8499589491671424E-4</v>
      </c>
      <c r="AD405" s="86">
        <v>1.327687750077216E-3</v>
      </c>
      <c r="AE405" s="86">
        <v>6.0406585384277268E-6</v>
      </c>
      <c r="AF405" s="86">
        <v>6.9705602825037528E-4</v>
      </c>
      <c r="AG405" s="86">
        <v>7.1368459073915618E-4</v>
      </c>
      <c r="AH405" s="86">
        <v>3.5476405288567481E-5</v>
      </c>
      <c r="AI405" s="86">
        <v>2.4072786503971048E-4</v>
      </c>
      <c r="AJ405" s="86">
        <v>1.5254494936774358E-4</v>
      </c>
      <c r="AK405" s="86">
        <v>2.5693722677638618E-3</v>
      </c>
    </row>
    <row r="406" spans="3:37">
      <c r="C406" s="81" t="s">
        <v>106</v>
      </c>
      <c r="D406" s="86">
        <v>9.3828245078339165E-4</v>
      </c>
      <c r="E406" s="86">
        <v>8.3392160893761783E-4</v>
      </c>
      <c r="F406" s="86">
        <v>2.2240688783044921E-4</v>
      </c>
      <c r="G406" s="86">
        <v>1.4438155784827713E-4</v>
      </c>
      <c r="H406" s="86">
        <v>1.4382641324596715E-4</v>
      </c>
      <c r="I406" s="86">
        <v>3.0213265979519725E-4</v>
      </c>
      <c r="J406" s="86">
        <v>7.0632363082803458E-4</v>
      </c>
      <c r="K406" s="86">
        <v>3.9861804398609368E-4</v>
      </c>
      <c r="L406" s="86">
        <v>3.9835913816945709E-4</v>
      </c>
      <c r="M406" s="86">
        <v>9.6834299202865472E-4</v>
      </c>
      <c r="N406" s="86">
        <v>9.6036176252538568E-4</v>
      </c>
      <c r="O406" s="86">
        <v>3.4684451149210319E-4</v>
      </c>
      <c r="P406" s="86">
        <v>5.0146134221420108E-3</v>
      </c>
      <c r="Q406" s="86">
        <v>4.9716756844052452E-3</v>
      </c>
      <c r="R406" s="86">
        <v>4.9614954062132876E-3</v>
      </c>
      <c r="S406" s="86">
        <v>7.1818937677213296E-4</v>
      </c>
      <c r="T406" s="86">
        <v>3.1485056197546927E-3</v>
      </c>
      <c r="U406" s="86">
        <v>1.7931686836041465E-3</v>
      </c>
      <c r="V406" s="86">
        <v>3.0472675322636004E-4</v>
      </c>
      <c r="W406" s="86">
        <v>8.5044756414865558E-4</v>
      </c>
      <c r="X406" s="86">
        <v>8.6372449874448816E-4</v>
      </c>
      <c r="Y406" s="86">
        <v>1.082765242134474E-3</v>
      </c>
      <c r="Z406" s="86">
        <v>2.4463552395241396E-3</v>
      </c>
      <c r="AA406" s="86">
        <v>2.8355399887078675E-3</v>
      </c>
      <c r="AB406" s="86">
        <v>2.7287207794095968E-3</v>
      </c>
      <c r="AC406" s="86">
        <v>2.3339252519832552E-3</v>
      </c>
      <c r="AD406" s="86">
        <v>4.3279398282794887E-3</v>
      </c>
      <c r="AE406" s="86">
        <v>1.7617571542250387E-5</v>
      </c>
      <c r="AF406" s="86">
        <v>7.1139550385122493E-4</v>
      </c>
      <c r="AG406" s="86">
        <v>7.2836614051541607E-4</v>
      </c>
      <c r="AH406" s="86">
        <v>5.4748675505349132E-4</v>
      </c>
      <c r="AI406" s="86">
        <v>3.1935964634828654E-4</v>
      </c>
      <c r="AJ406" s="86">
        <v>3.2606630366979143E-4</v>
      </c>
      <c r="AK406" s="86">
        <v>1.7762227449299268E-3</v>
      </c>
    </row>
    <row r="407" spans="3:37">
      <c r="C407" s="81" t="s">
        <v>108</v>
      </c>
      <c r="D407" s="86">
        <v>2.1203073531794113E-4</v>
      </c>
      <c r="E407" s="86">
        <v>1.8844753175649491E-4</v>
      </c>
      <c r="F407" s="86">
        <v>5.0258955527829487E-5</v>
      </c>
      <c r="G407" s="86">
        <v>3.2626985457695009E-5</v>
      </c>
      <c r="H407" s="86">
        <v>3.2501535260755233E-5</v>
      </c>
      <c r="I407" s="86">
        <v>6.8275187249271677E-5</v>
      </c>
      <c r="J407" s="86">
        <v>1.5961325791808887E-4</v>
      </c>
      <c r="K407" s="86">
        <v>9.0078714471111005E-5</v>
      </c>
      <c r="L407" s="86">
        <v>9.0020207578401688E-5</v>
      </c>
      <c r="M407" s="86">
        <v>2.188237416871506E-4</v>
      </c>
      <c r="N407" s="86">
        <v>2.1702016328823168E-4</v>
      </c>
      <c r="O407" s="86">
        <v>7.8379060325877041E-5</v>
      </c>
      <c r="P407" s="86">
        <v>1.1331898729900214E-3</v>
      </c>
      <c r="Q407" s="86">
        <v>1.1234869097750421E-3</v>
      </c>
      <c r="R407" s="86">
        <v>1.1211863958210781E-3</v>
      </c>
      <c r="S407" s="86">
        <v>1.6229464968399551E-4</v>
      </c>
      <c r="T407" s="86">
        <v>7.7834072888156673E-4</v>
      </c>
      <c r="U407" s="86">
        <v>4.0521580065390142E-4</v>
      </c>
      <c r="V407" s="86">
        <v>6.8861394032989834E-5</v>
      </c>
      <c r="W407" s="86">
        <v>1.9218202602557256E-4</v>
      </c>
      <c r="X407" s="86">
        <v>1.9518231469427125E-4</v>
      </c>
      <c r="Y407" s="86">
        <v>2.4468059727089891E-4</v>
      </c>
      <c r="Z407" s="86">
        <v>6.2044168762449381E-4</v>
      </c>
      <c r="AA407" s="86">
        <v>6.4076827646854966E-4</v>
      </c>
      <c r="AB407" s="86">
        <v>6.166295371425732E-4</v>
      </c>
      <c r="AC407" s="86">
        <v>6.1708780039915949E-4</v>
      </c>
      <c r="AD407" s="86">
        <v>1.0425265793097404E-3</v>
      </c>
      <c r="AE407" s="86">
        <v>3.9811750134525019E-6</v>
      </c>
      <c r="AF407" s="86">
        <v>1.6075938717335675E-4</v>
      </c>
      <c r="AG407" s="86">
        <v>1.645943694515805E-4</v>
      </c>
      <c r="AH407" s="86">
        <v>1.2371969565657504E-4</v>
      </c>
      <c r="AI407" s="86">
        <v>7.2168098838009314E-5</v>
      </c>
      <c r="AJ407" s="86">
        <v>7.3683652584344045E-5</v>
      </c>
      <c r="AK407" s="86">
        <v>4.0138639956603997E-4</v>
      </c>
    </row>
    <row r="408" spans="3:37">
      <c r="C408" s="81" t="s">
        <v>110</v>
      </c>
      <c r="D408" s="86">
        <v>5.4381406203225964E-4</v>
      </c>
      <c r="E408" s="86">
        <v>4.8332812490973619E-4</v>
      </c>
      <c r="F408" s="86">
        <v>1.2890360785715267E-4</v>
      </c>
      <c r="G408" s="86">
        <v>8.3681327931117781E-5</v>
      </c>
      <c r="H408" s="86">
        <v>8.3359574667006146E-5</v>
      </c>
      <c r="I408" s="86">
        <v>1.7511143777511459E-4</v>
      </c>
      <c r="J408" s="86">
        <v>4.093743013836278E-4</v>
      </c>
      <c r="K408" s="86">
        <v>2.3103288089683759E-4</v>
      </c>
      <c r="L408" s="86">
        <v>2.3088282307180688E-4</v>
      </c>
      <c r="M408" s="86">
        <v>5.6123668890525262E-4</v>
      </c>
      <c r="N408" s="86">
        <v>5.5661089116965361E-4</v>
      </c>
      <c r="O408" s="86">
        <v>2.0102573860422538E-4</v>
      </c>
      <c r="P408" s="86">
        <v>2.9063927310371317E-3</v>
      </c>
      <c r="Q408" s="86">
        <v>2.8815066793438458E-3</v>
      </c>
      <c r="R408" s="86">
        <v>2.8756063468463227E-3</v>
      </c>
      <c r="S408" s="86">
        <v>4.1625150503964647E-4</v>
      </c>
      <c r="T408" s="86">
        <v>1.9962796091025554E-3</v>
      </c>
      <c r="U408" s="86">
        <v>1.0392929601588995E-3</v>
      </c>
      <c r="V408" s="86">
        <v>1.7661493438736941E-4</v>
      </c>
      <c r="W408" s="86">
        <v>4.9290631410507635E-4</v>
      </c>
      <c r="X408" s="86">
        <v>5.0060142097600952E-4</v>
      </c>
      <c r="Y408" s="86">
        <v>6.2755406334294298E-4</v>
      </c>
      <c r="Z408" s="86">
        <v>1.5913019114671514E-3</v>
      </c>
      <c r="AA408" s="86">
        <v>1.6434353195316439E-3</v>
      </c>
      <c r="AB408" s="86">
        <v>1.5815245504843549E-3</v>
      </c>
      <c r="AC408" s="86">
        <v>1.5826998989670507E-3</v>
      </c>
      <c r="AD408" s="86">
        <v>2.3933641376769044E-3</v>
      </c>
      <c r="AE408" s="86">
        <v>1.0210873213642669E-5</v>
      </c>
      <c r="AF408" s="86">
        <v>4.1231388089782304E-4</v>
      </c>
      <c r="AG408" s="86">
        <v>4.2214980061679939E-4</v>
      </c>
      <c r="AH408" s="86">
        <v>3.1731489374646005E-4</v>
      </c>
      <c r="AI408" s="86">
        <v>1.8509593394275416E-4</v>
      </c>
      <c r="AJ408" s="86">
        <v>1.8898300926599199E-4</v>
      </c>
      <c r="AK408" s="86">
        <v>1.0294713550146387E-3</v>
      </c>
    </row>
    <row r="409" spans="3:37">
      <c r="C409" s="81" t="s">
        <v>112</v>
      </c>
      <c r="D409" s="86">
        <v>5.6023100238369339E-7</v>
      </c>
      <c r="E409" s="86">
        <v>5.5502035008339176E-5</v>
      </c>
      <c r="F409" s="86">
        <v>4.7753692676055852E-4</v>
      </c>
      <c r="G409" s="86">
        <v>2.371064181824406E-2</v>
      </c>
      <c r="H409" s="86">
        <v>2.5460643208165261E-2</v>
      </c>
      <c r="I409" s="86">
        <v>0</v>
      </c>
      <c r="J409" s="86">
        <v>1.0198228833178679E-3</v>
      </c>
      <c r="K409" s="86">
        <v>0</v>
      </c>
      <c r="L409" s="86">
        <v>0</v>
      </c>
      <c r="M409" s="86">
        <v>7.6635373272785821E-4</v>
      </c>
      <c r="N409" s="86">
        <v>7.6003732927170742E-4</v>
      </c>
      <c r="O409" s="86">
        <v>5.9739598623938368E-5</v>
      </c>
      <c r="P409" s="86">
        <v>6.2096739492122099E-4</v>
      </c>
      <c r="Q409" s="86">
        <v>6.156503479423875E-4</v>
      </c>
      <c r="R409" s="86">
        <v>6.1438970822875712E-4</v>
      </c>
      <c r="S409" s="86">
        <v>2.5114941095720184E-2</v>
      </c>
      <c r="T409" s="86">
        <v>1.0224341058308448E-4</v>
      </c>
      <c r="U409" s="86">
        <v>1.4382827458216971E-3</v>
      </c>
      <c r="V409" s="86">
        <v>3.3111226312588431E-4</v>
      </c>
      <c r="W409" s="86">
        <v>6.9029197517558654E-4</v>
      </c>
      <c r="X409" s="86">
        <v>2.526049901660207E-4</v>
      </c>
      <c r="Y409" s="86">
        <v>1.3728981055848887E-3</v>
      </c>
      <c r="Z409" s="86">
        <v>6.3404962886227652E-4</v>
      </c>
      <c r="AA409" s="86">
        <v>6.5482203402085677E-4</v>
      </c>
      <c r="AB409" s="86">
        <v>6.3015386775137807E-4</v>
      </c>
      <c r="AC409" s="86">
        <v>6.3062218194359502E-4</v>
      </c>
      <c r="AD409" s="86">
        <v>5.9301012422909082E-4</v>
      </c>
      <c r="AE409" s="86">
        <v>8.3573075906143354E-6</v>
      </c>
      <c r="AF409" s="86">
        <v>3.5573675022850193E-4</v>
      </c>
      <c r="AG409" s="86">
        <v>3.6422299888139289E-4</v>
      </c>
      <c r="AH409" s="86">
        <v>8.8911428229758243E-5</v>
      </c>
      <c r="AI409" s="86">
        <v>4.1039604285117675E-4</v>
      </c>
      <c r="AJ409" s="86">
        <v>6.9324665106863657E-5</v>
      </c>
      <c r="AK409" s="86">
        <v>6.5312755482964269E-3</v>
      </c>
    </row>
    <row r="410" spans="3:37">
      <c r="C410" s="81" t="s">
        <v>114</v>
      </c>
      <c r="D410" s="86">
        <v>1.4899042221877421E-4</v>
      </c>
      <c r="E410" s="86">
        <v>1.1791419671119361E-2</v>
      </c>
      <c r="F410" s="86">
        <v>1.1477580780863151E-2</v>
      </c>
      <c r="G410" s="86">
        <v>1.2669702240100941E-2</v>
      </c>
      <c r="H410" s="86">
        <v>1.262098745327974E-2</v>
      </c>
      <c r="I410" s="86">
        <v>2.5744172464320762E-2</v>
      </c>
      <c r="J410" s="86">
        <v>5.3753585198169682E-2</v>
      </c>
      <c r="K410" s="86">
        <v>2.7999142970688583E-2</v>
      </c>
      <c r="L410" s="86">
        <v>2.7980957288717662E-2</v>
      </c>
      <c r="M410" s="86">
        <v>1.9508381335133409E-2</v>
      </c>
      <c r="N410" s="86">
        <v>1.9347590303490057E-2</v>
      </c>
      <c r="O410" s="86">
        <v>5.3809872802806739E-3</v>
      </c>
      <c r="P410" s="86">
        <v>7.0175043639983337E-2</v>
      </c>
      <c r="Q410" s="86">
        <v>6.9574168285129981E-2</v>
      </c>
      <c r="R410" s="86">
        <v>6.9431704368921626E-2</v>
      </c>
      <c r="S410" s="86">
        <v>1.1844455380617307E-2</v>
      </c>
      <c r="T410" s="86">
        <v>2.8599573293665637E-2</v>
      </c>
      <c r="U410" s="86">
        <v>7.3630215184170419E-3</v>
      </c>
      <c r="V410" s="86">
        <v>3.9148276965530514E-3</v>
      </c>
      <c r="W410" s="86">
        <v>7.1077429505050404E-3</v>
      </c>
      <c r="X410" s="86">
        <v>3.222603609205385E-3</v>
      </c>
      <c r="Y410" s="86">
        <v>2.2737771403041809E-2</v>
      </c>
      <c r="Z410" s="86">
        <v>2.9147509328572669E-3</v>
      </c>
      <c r="AA410" s="86">
        <v>3.0102424914948602E-3</v>
      </c>
      <c r="AB410" s="86">
        <v>2.8968419667207241E-3</v>
      </c>
      <c r="AC410" s="86">
        <v>2.8989948253716723E-3</v>
      </c>
      <c r="AD410" s="86">
        <v>4.2459637560658108E-3</v>
      </c>
      <c r="AE410" s="86">
        <v>5.4075944444250366E-4</v>
      </c>
      <c r="AF410" s="86">
        <v>8.1899863143916878E-3</v>
      </c>
      <c r="AG410" s="86">
        <v>8.3853618562300322E-3</v>
      </c>
      <c r="AH410" s="86">
        <v>1.1966311583193402E-2</v>
      </c>
      <c r="AI410" s="86">
        <v>1.2801898733291885E-2</v>
      </c>
      <c r="AJ410" s="86">
        <v>2.0852263336509635E-2</v>
      </c>
      <c r="AK410" s="86">
        <v>1.2446451104709712E-2</v>
      </c>
    </row>
    <row r="411" spans="3:37">
      <c r="C411" s="81" t="s">
        <v>116</v>
      </c>
      <c r="D411" s="86">
        <v>1.3570337517426974E-6</v>
      </c>
      <c r="E411" s="86">
        <v>1.9559775964482685E-4</v>
      </c>
      <c r="F411" s="86">
        <v>3.5498849553100582E-3</v>
      </c>
      <c r="G411" s="86">
        <v>5.8023878387344968E-3</v>
      </c>
      <c r="H411" s="86">
        <v>5.7800777574665277E-3</v>
      </c>
      <c r="I411" s="86">
        <v>0</v>
      </c>
      <c r="J411" s="86">
        <v>1.2052029883955919E-2</v>
      </c>
      <c r="K411" s="86">
        <v>9.8516620880430132E-4</v>
      </c>
      <c r="L411" s="86">
        <v>9.8452633495599079E-4</v>
      </c>
      <c r="M411" s="86">
        <v>9.8977389870445291E-3</v>
      </c>
      <c r="N411" s="86">
        <v>9.8161603242469531E-3</v>
      </c>
      <c r="O411" s="86">
        <v>1.6678246336503868E-3</v>
      </c>
      <c r="P411" s="86">
        <v>6.8112634809385116E-4</v>
      </c>
      <c r="Q411" s="86">
        <v>6.7529418875512622E-4</v>
      </c>
      <c r="R411" s="86">
        <v>6.7391141901322041E-4</v>
      </c>
      <c r="S411" s="86">
        <v>5.8542392553441295E-4</v>
      </c>
      <c r="T411" s="86">
        <v>1.8729640683298756E-3</v>
      </c>
      <c r="U411" s="86">
        <v>0.15211228438240543</v>
      </c>
      <c r="V411" s="86">
        <v>0</v>
      </c>
      <c r="W411" s="86">
        <v>1.5743895743697608E-2</v>
      </c>
      <c r="X411" s="86">
        <v>1.8435968943295234E-2</v>
      </c>
      <c r="Y411" s="86">
        <v>8.9639235891531676E-3</v>
      </c>
      <c r="Z411" s="86">
        <v>3.0654864195756872E-3</v>
      </c>
      <c r="AA411" s="86">
        <v>3.1659162960662839E-3</v>
      </c>
      <c r="AB411" s="86">
        <v>3.046651296525768E-3</v>
      </c>
      <c r="AC411" s="86">
        <v>3.0489154896282946E-3</v>
      </c>
      <c r="AD411" s="86">
        <v>7.4256497317965972E-4</v>
      </c>
      <c r="AE411" s="86">
        <v>1.333702603664776E-4</v>
      </c>
      <c r="AF411" s="86">
        <v>3.5100774661635387E-2</v>
      </c>
      <c r="AG411" s="86">
        <v>3.5938118291429934E-2</v>
      </c>
      <c r="AH411" s="86">
        <v>0</v>
      </c>
      <c r="AI411" s="86">
        <v>2.6210160290850087E-2</v>
      </c>
      <c r="AJ411" s="86">
        <v>2.4228951750712266E-3</v>
      </c>
      <c r="AK411" s="86">
        <v>2.2205393723986222E-2</v>
      </c>
    </row>
    <row r="412" spans="3:37">
      <c r="C412" s="81" t="s">
        <v>118</v>
      </c>
      <c r="D412" s="86">
        <v>2.5300950118337111E-3</v>
      </c>
      <c r="E412" s="86">
        <v>6.7598433233790646E-3</v>
      </c>
      <c r="F412" s="86">
        <v>3.3785500821948962E-4</v>
      </c>
      <c r="G412" s="86">
        <v>1.8548769782651875E-3</v>
      </c>
      <c r="H412" s="86">
        <v>1.8477450082422745E-3</v>
      </c>
      <c r="I412" s="86">
        <v>3.3504023510016858E-3</v>
      </c>
      <c r="J412" s="86">
        <v>5.2142585007476589E-3</v>
      </c>
      <c r="K412" s="86">
        <v>3.5905704945014745E-3</v>
      </c>
      <c r="L412" s="86">
        <v>3.5882383883660703E-3</v>
      </c>
      <c r="M412" s="86">
        <v>2.6560359956630947E-3</v>
      </c>
      <c r="N412" s="86">
        <v>2.6341445449841188E-3</v>
      </c>
      <c r="O412" s="86">
        <v>1.6148288794579744E-4</v>
      </c>
      <c r="P412" s="86">
        <v>2.6590539172449794E-3</v>
      </c>
      <c r="Q412" s="86">
        <v>2.6362857095856562E-3</v>
      </c>
      <c r="R412" s="86">
        <v>2.6308875051127951E-3</v>
      </c>
      <c r="S412" s="86">
        <v>7.3723889033345418E-4</v>
      </c>
      <c r="T412" s="86">
        <v>2.1076227312339848E-3</v>
      </c>
      <c r="U412" s="86">
        <v>9.6784138807389953E-5</v>
      </c>
      <c r="V412" s="86">
        <v>2.9796040911667576E-3</v>
      </c>
      <c r="W412" s="86">
        <v>2.3909752169079044E-3</v>
      </c>
      <c r="X412" s="86">
        <v>2.9535418251809038E-4</v>
      </c>
      <c r="Y412" s="86">
        <v>7.0594211468045934E-4</v>
      </c>
      <c r="Z412" s="86">
        <v>1.9064109744713427E-3</v>
      </c>
      <c r="AA412" s="86">
        <v>1.9688678222602612E-3</v>
      </c>
      <c r="AB412" s="86">
        <v>1.8946975037938756E-3</v>
      </c>
      <c r="AC412" s="86">
        <v>1.8961055943831579E-3</v>
      </c>
      <c r="AD412" s="86">
        <v>3.3683161452447456E-3</v>
      </c>
      <c r="AE412" s="86">
        <v>4.3188809544989916E-5</v>
      </c>
      <c r="AF412" s="86">
        <v>1.065957457032431E-3</v>
      </c>
      <c r="AG412" s="86">
        <v>1.0913863170756266E-3</v>
      </c>
      <c r="AH412" s="86">
        <v>2.5594574095550086E-3</v>
      </c>
      <c r="AI412" s="86">
        <v>3.0177890695147177E-4</v>
      </c>
      <c r="AJ412" s="86">
        <v>1.3594509242607243E-3</v>
      </c>
      <c r="AK412" s="86">
        <v>2.9143552719012355E-3</v>
      </c>
    </row>
    <row r="413" spans="3:37">
      <c r="C413" s="81" t="s">
        <v>120</v>
      </c>
      <c r="D413" s="86">
        <v>2.7753576058518196E-2</v>
      </c>
      <c r="E413" s="86">
        <v>4.6351458304004787E-3</v>
      </c>
      <c r="F413" s="86">
        <v>3.0464169144326966E-2</v>
      </c>
      <c r="G413" s="86">
        <v>1.4753070976803739E-2</v>
      </c>
      <c r="H413" s="86">
        <v>1.4696345673085334E-2</v>
      </c>
      <c r="I413" s="86">
        <v>2.5465411048909664E-3</v>
      </c>
      <c r="J413" s="86">
        <v>4.5639262559404817E-3</v>
      </c>
      <c r="K413" s="86">
        <v>1.0743305172309731E-2</v>
      </c>
      <c r="L413" s="86">
        <v>1.0736327304044715E-2</v>
      </c>
      <c r="M413" s="86">
        <v>5.5221184506950927E-3</v>
      </c>
      <c r="N413" s="86">
        <v>5.476604314627583E-3</v>
      </c>
      <c r="O413" s="86">
        <v>8.5480459337497049E-3</v>
      </c>
      <c r="P413" s="86">
        <v>9.2480062166644741E-3</v>
      </c>
      <c r="Q413" s="86">
        <v>9.1688199599999111E-3</v>
      </c>
      <c r="R413" s="86">
        <v>9.1500453769800365E-3</v>
      </c>
      <c r="S413" s="86">
        <v>5.2627721904126255E-3</v>
      </c>
      <c r="T413" s="86">
        <v>4.7550210246096267E-3</v>
      </c>
      <c r="U413" s="86">
        <v>6.1989569213357337E-3</v>
      </c>
      <c r="V413" s="86">
        <v>1.0901357609010179E-3</v>
      </c>
      <c r="W413" s="86">
        <v>3.5091619083088984E-3</v>
      </c>
      <c r="X413" s="86">
        <v>8.1744453751539468E-3</v>
      </c>
      <c r="Y413" s="86">
        <v>1.9874626308034563E-2</v>
      </c>
      <c r="Z413" s="86">
        <v>3.3279734843451245E-3</v>
      </c>
      <c r="AA413" s="86">
        <v>3.4370028259407769E-3</v>
      </c>
      <c r="AB413" s="86">
        <v>3.3075255744525129E-3</v>
      </c>
      <c r="AC413" s="86">
        <v>3.3099836426274468E-3</v>
      </c>
      <c r="AD413" s="86">
        <v>3.5079400355569109E-3</v>
      </c>
      <c r="AE413" s="86">
        <v>7.30926010099395E-5</v>
      </c>
      <c r="AF413" s="86">
        <v>4.552892321736412E-3</v>
      </c>
      <c r="AG413" s="86">
        <v>4.6615034683420726E-3</v>
      </c>
      <c r="AH413" s="86">
        <v>1.0045933420980481E-2</v>
      </c>
      <c r="AI413" s="86">
        <v>5.329640177167241E-3</v>
      </c>
      <c r="AJ413" s="86">
        <v>7.0789676731175429E-3</v>
      </c>
      <c r="AK413" s="86">
        <v>3.921453175747441E-3</v>
      </c>
    </row>
    <row r="414" spans="3:37">
      <c r="C414" s="81" t="s">
        <v>122</v>
      </c>
      <c r="D414" s="86">
        <v>0.10597021511460547</v>
      </c>
      <c r="E414" s="86">
        <v>3.3270499462606642E-2</v>
      </c>
      <c r="F414" s="86">
        <v>0.12038989088001339</v>
      </c>
      <c r="G414" s="86">
        <v>8.1797388589402151E-2</v>
      </c>
      <c r="H414" s="86">
        <v>8.1482879039600511E-2</v>
      </c>
      <c r="I414" s="86">
        <v>2.0871303457080284E-2</v>
      </c>
      <c r="J414" s="86">
        <v>2.9816188099850361E-2</v>
      </c>
      <c r="K414" s="86">
        <v>6.3425763584170222E-2</v>
      </c>
      <c r="L414" s="86">
        <v>6.3384568010201189E-2</v>
      </c>
      <c r="M414" s="86">
        <v>2.8352099163755584E-2</v>
      </c>
      <c r="N414" s="86">
        <v>2.811841687123303E-2</v>
      </c>
      <c r="O414" s="86">
        <v>1.6618183089361502E-2</v>
      </c>
      <c r="P414" s="86">
        <v>3.5685415942413388E-2</v>
      </c>
      <c r="Q414" s="86">
        <v>3.5379858783411357E-2</v>
      </c>
      <c r="R414" s="86">
        <v>3.5307413027156981E-2</v>
      </c>
      <c r="S414" s="86">
        <v>2.9677566117145299E-2</v>
      </c>
      <c r="T414" s="86">
        <v>2.8913805070811111E-2</v>
      </c>
      <c r="U414" s="86">
        <v>4.1546822986625091E-2</v>
      </c>
      <c r="V414" s="86">
        <v>1.9074906991226232E-2</v>
      </c>
      <c r="W414" s="86">
        <v>2.3859340442123234E-2</v>
      </c>
      <c r="X414" s="86">
        <v>4.3266932025067345E-2</v>
      </c>
      <c r="Y414" s="86">
        <v>7.7629248780305499E-2</v>
      </c>
      <c r="Z414" s="86">
        <v>3.9311173761250012E-2</v>
      </c>
      <c r="AA414" s="86">
        <v>4.8089867973549062E-2</v>
      </c>
      <c r="AB414" s="86">
        <v>4.6278247720387418E-2</v>
      </c>
      <c r="AC414" s="86">
        <v>4.6312640527140403E-2</v>
      </c>
      <c r="AD414" s="86">
        <v>2.6061989924335147E-2</v>
      </c>
      <c r="AE414" s="86">
        <v>3.4001989219770325E-4</v>
      </c>
      <c r="AF414" s="86">
        <v>2.3521128988516864E-2</v>
      </c>
      <c r="AG414" s="86">
        <v>2.408223533770636E-2</v>
      </c>
      <c r="AH414" s="86">
        <v>4.290126007572366E-2</v>
      </c>
      <c r="AI414" s="86">
        <v>2.1827213686410961E-2</v>
      </c>
      <c r="AJ414" s="86">
        <v>3.2016056833867622E-2</v>
      </c>
      <c r="AK414" s="86">
        <v>1.775501255076609E-2</v>
      </c>
    </row>
    <row r="415" spans="3:37">
      <c r="C415" s="81" t="s">
        <v>124</v>
      </c>
      <c r="D415" s="86">
        <v>7.2752824361160956E-3</v>
      </c>
      <c r="E415" s="86">
        <v>3.3547947641042633E-3</v>
      </c>
      <c r="F415" s="86">
        <v>2.3508332122131104E-2</v>
      </c>
      <c r="G415" s="86">
        <v>6.4510737262197587E-3</v>
      </c>
      <c r="H415" s="86">
        <v>6.4262694588909375E-3</v>
      </c>
      <c r="I415" s="86">
        <v>5.1419384843184456E-4</v>
      </c>
      <c r="J415" s="86">
        <v>2.8503711674937402E-3</v>
      </c>
      <c r="K415" s="86">
        <v>5.3770857471814992E-3</v>
      </c>
      <c r="L415" s="86">
        <v>5.3735932841645949E-3</v>
      </c>
      <c r="M415" s="86">
        <v>3.1713180430144143E-3</v>
      </c>
      <c r="N415" s="86">
        <v>3.1451795597109752E-3</v>
      </c>
      <c r="O415" s="86">
        <v>3.1093230380454363E-4</v>
      </c>
      <c r="P415" s="86">
        <v>2.4381834142669624E-4</v>
      </c>
      <c r="Q415" s="86">
        <v>2.4173064151480127E-4</v>
      </c>
      <c r="R415" s="86">
        <v>2.4123566047935883E-4</v>
      </c>
      <c r="S415" s="86">
        <v>4.9907782000940771E-4</v>
      </c>
      <c r="T415" s="86">
        <v>1.3644305003124913E-3</v>
      </c>
      <c r="U415" s="86">
        <v>3.9838455431448622E-3</v>
      </c>
      <c r="V415" s="86">
        <v>1.8655386734800561E-3</v>
      </c>
      <c r="W415" s="86">
        <v>3.254010799769746E-3</v>
      </c>
      <c r="X415" s="86">
        <v>8.7838549838824762E-3</v>
      </c>
      <c r="Y415" s="86">
        <v>2.2153323862296188E-2</v>
      </c>
      <c r="Z415" s="86">
        <v>1.4988732713951439E-3</v>
      </c>
      <c r="AA415" s="86">
        <v>1.5479785802818542E-3</v>
      </c>
      <c r="AB415" s="86">
        <v>1.4896638153288377E-3</v>
      </c>
      <c r="AC415" s="86">
        <v>1.4907708952692316E-3</v>
      </c>
      <c r="AD415" s="86">
        <v>2.643616387405256E-3</v>
      </c>
      <c r="AE415" s="86">
        <v>6.3302873920825808E-4</v>
      </c>
      <c r="AF415" s="86">
        <v>5.1982116161734867E-3</v>
      </c>
      <c r="AG415" s="86">
        <v>5.3222171238890958E-3</v>
      </c>
      <c r="AH415" s="86">
        <v>1.4555085607400016E-2</v>
      </c>
      <c r="AI415" s="86">
        <v>5.2080589869957063E-3</v>
      </c>
      <c r="AJ415" s="86">
        <v>7.1007114861642269E-3</v>
      </c>
      <c r="AK415" s="86">
        <v>4.1400824647779087E-3</v>
      </c>
    </row>
    <row r="416" spans="3:37">
      <c r="C416" s="81" t="s">
        <v>126</v>
      </c>
      <c r="D416" s="86">
        <v>7.7168809359119406E-3</v>
      </c>
      <c r="E416" s="86">
        <v>2.1309284584817501E-2</v>
      </c>
      <c r="F416" s="86">
        <v>1.374443879035369E-2</v>
      </c>
      <c r="G416" s="86">
        <v>2.7991194493279394E-2</v>
      </c>
      <c r="H416" s="86">
        <v>2.7883568832725816E-2</v>
      </c>
      <c r="I416" s="86">
        <v>1.0262552022352796E-2</v>
      </c>
      <c r="J416" s="86">
        <v>1.4650245296998947E-2</v>
      </c>
      <c r="K416" s="86">
        <v>1.6956415338145153E-2</v>
      </c>
      <c r="L416" s="86">
        <v>1.6945402001878655E-2</v>
      </c>
      <c r="M416" s="86">
        <v>2.2797325330191149E-2</v>
      </c>
      <c r="N416" s="86">
        <v>2.2609426324344283E-2</v>
      </c>
      <c r="O416" s="86">
        <v>9.3250277100869524E-3</v>
      </c>
      <c r="P416" s="86">
        <v>3.2332098585289189E-3</v>
      </c>
      <c r="Q416" s="86">
        <v>3.2055254279922288E-3</v>
      </c>
      <c r="R416" s="86">
        <v>3.1989616167785095E-3</v>
      </c>
      <c r="S416" s="86">
        <v>1.9457771148134462E-2</v>
      </c>
      <c r="T416" s="86">
        <v>1.876127576574069E-2</v>
      </c>
      <c r="U416" s="86">
        <v>1.4962073242299919E-2</v>
      </c>
      <c r="V416" s="86">
        <v>7.5256033805200439E-3</v>
      </c>
      <c r="W416" s="86">
        <v>1.1284354499337486E-2</v>
      </c>
      <c r="X416" s="86">
        <v>7.3003913677111738E-3</v>
      </c>
      <c r="Y416" s="86">
        <v>8.1579163672272567E-3</v>
      </c>
      <c r="Z416" s="86">
        <v>1.8906076653550052E-2</v>
      </c>
      <c r="AA416" s="86">
        <v>1.9525467733253671E-2</v>
      </c>
      <c r="AB416" s="86">
        <v>1.8789912942014174E-2</v>
      </c>
      <c r="AC416" s="86">
        <v>1.880387712338575E-2</v>
      </c>
      <c r="AD416" s="86">
        <v>1.039760109586987E-2</v>
      </c>
      <c r="AE416" s="86">
        <v>1.3577604741642931E-4</v>
      </c>
      <c r="AF416" s="86">
        <v>4.8140960307533256E-3</v>
      </c>
      <c r="AG416" s="86">
        <v>4.9289383008579088E-3</v>
      </c>
      <c r="AH416" s="86">
        <v>6.4701455895913992E-3</v>
      </c>
      <c r="AI416" s="86">
        <v>3.4126874078428721E-3</v>
      </c>
      <c r="AJ416" s="86">
        <v>8.4520545401464836E-3</v>
      </c>
      <c r="AK416" s="86">
        <v>9.9942524478127577E-3</v>
      </c>
    </row>
    <row r="417" spans="3:37">
      <c r="C417" s="81" t="s">
        <v>128</v>
      </c>
      <c r="D417" s="86">
        <v>6.709127280916042E-5</v>
      </c>
      <c r="E417" s="86">
        <v>1.8526488063264139E-4</v>
      </c>
      <c r="F417" s="86">
        <v>1.1949541533044886E-4</v>
      </c>
      <c r="G417" s="86">
        <v>2.4335802011190939E-4</v>
      </c>
      <c r="H417" s="86">
        <v>2.424223127175053E-4</v>
      </c>
      <c r="I417" s="86">
        <v>8.9223571436184947E-5</v>
      </c>
      <c r="J417" s="86">
        <v>1.2737058043333903E-4</v>
      </c>
      <c r="K417" s="86">
        <v>1.4742063493849639E-4</v>
      </c>
      <c r="L417" s="86">
        <v>1.4732488397977065E-4</v>
      </c>
      <c r="M417" s="86">
        <v>1.982020437725315E-4</v>
      </c>
      <c r="N417" s="86">
        <v>1.9656843252900786E-4</v>
      </c>
      <c r="O417" s="86">
        <v>8.107264881319425E-5</v>
      </c>
      <c r="P417" s="86">
        <v>2.810982396506218E-5</v>
      </c>
      <c r="Q417" s="86">
        <v>2.7869132979011395E-5</v>
      </c>
      <c r="R417" s="86">
        <v>2.7812066600449071E-5</v>
      </c>
      <c r="S417" s="86">
        <v>1.6916765247505122E-4</v>
      </c>
      <c r="T417" s="86">
        <v>1.6311225754300795E-4</v>
      </c>
      <c r="U417" s="86">
        <v>1.3008164127792805E-4</v>
      </c>
      <c r="V417" s="86">
        <v>6.5428288145065328E-5</v>
      </c>
      <c r="W417" s="86">
        <v>1.192773257452792E-4</v>
      </c>
      <c r="X417" s="86">
        <v>6.3470274186221091E-5</v>
      </c>
      <c r="Y417" s="86">
        <v>7.0925675424234652E-5</v>
      </c>
      <c r="Z417" s="86">
        <v>1.6437116978329044E-4</v>
      </c>
      <c r="AA417" s="86">
        <v>1.6975621281415681E-4</v>
      </c>
      <c r="AB417" s="86">
        <v>1.6336123178814708E-4</v>
      </c>
      <c r="AC417" s="86">
        <v>1.6348263766569469E-4</v>
      </c>
      <c r="AD417" s="86">
        <v>9.0397700505844827E-5</v>
      </c>
      <c r="AE417" s="86">
        <v>1.1804494476224018E-6</v>
      </c>
      <c r="AF417" s="86">
        <v>4.1854193787765006E-5</v>
      </c>
      <c r="AG417" s="86">
        <v>4.2852643049532516E-5</v>
      </c>
      <c r="AH417" s="86">
        <v>5.6252041008711309E-5</v>
      </c>
      <c r="AI417" s="86">
        <v>2.9670218290715814E-5</v>
      </c>
      <c r="AJ417" s="86">
        <v>7.3482939760280037E-5</v>
      </c>
      <c r="AK417" s="86">
        <v>8.6890950251597451E-5</v>
      </c>
    </row>
    <row r="418" spans="3:37">
      <c r="C418" s="81" t="s">
        <v>130</v>
      </c>
      <c r="D418" s="86">
        <v>3.995733032286912E-4</v>
      </c>
      <c r="E418" s="86">
        <v>1.1033760014841523E-3</v>
      </c>
      <c r="F418" s="86">
        <v>7.1167494407339544E-4</v>
      </c>
      <c r="G418" s="86">
        <v>1.4493594157902786E-3</v>
      </c>
      <c r="H418" s="86">
        <v>1.4437866538082296E-3</v>
      </c>
      <c r="I418" s="86">
        <v>5.3138591163752707E-4</v>
      </c>
      <c r="J418" s="86">
        <v>7.585768077864875E-4</v>
      </c>
      <c r="K418" s="86">
        <v>8.7798826285501598E-4</v>
      </c>
      <c r="L418" s="86">
        <v>8.7741800199598696E-4</v>
      </c>
      <c r="M418" s="86">
        <v>1.180425441653794E-3</v>
      </c>
      <c r="N418" s="86">
        <v>1.1706961965011053E-3</v>
      </c>
      <c r="O418" s="86">
        <v>4.8284172786426519E-4</v>
      </c>
      <c r="P418" s="86">
        <v>1.6741276092415111E-4</v>
      </c>
      <c r="Q418" s="86">
        <v>1.6597928547605254E-4</v>
      </c>
      <c r="R418" s="86">
        <v>1.6563941710821933E-4</v>
      </c>
      <c r="S418" s="86">
        <v>1.0075062652510985E-3</v>
      </c>
      <c r="T418" s="86">
        <v>9.7144234733686824E-4</v>
      </c>
      <c r="U418" s="86">
        <v>7.7472298435415584E-4</v>
      </c>
      <c r="V418" s="86">
        <v>3.8966911975402206E-4</v>
      </c>
      <c r="W418" s="86">
        <v>7.1037607505068797E-4</v>
      </c>
      <c r="X418" s="86">
        <v>3.7800783994004658E-4</v>
      </c>
      <c r="Y418" s="86">
        <v>4.2240972970657446E-4</v>
      </c>
      <c r="Z418" s="86">
        <v>9.789400098682646E-4</v>
      </c>
      <c r="AA418" s="86">
        <v>1.0110115348487519E-3</v>
      </c>
      <c r="AB418" s="86">
        <v>9.7292515512071003E-4</v>
      </c>
      <c r="AC418" s="86">
        <v>9.7364820814224446E-4</v>
      </c>
      <c r="AD418" s="86">
        <v>5.3837863380744604E-4</v>
      </c>
      <c r="AE418" s="86">
        <v>7.0303642386192477E-6</v>
      </c>
      <c r="AF418" s="86">
        <v>2.4926965558280011E-4</v>
      </c>
      <c r="AG418" s="86">
        <v>2.5521608725604457E-4</v>
      </c>
      <c r="AH418" s="86">
        <v>3.350184442489501E-4</v>
      </c>
      <c r="AI418" s="86">
        <v>1.7670595046929963E-4</v>
      </c>
      <c r="AJ418" s="86">
        <v>4.3763994542910629E-4</v>
      </c>
      <c r="AK418" s="86">
        <v>5.1749359579850119E-4</v>
      </c>
    </row>
    <row r="419" spans="3:37">
      <c r="C419" s="81" t="s">
        <v>132</v>
      </c>
      <c r="D419" s="86">
        <v>2.349101744188765E-3</v>
      </c>
      <c r="E419" s="86">
        <v>6.4867759398303838E-3</v>
      </c>
      <c r="F419" s="86">
        <v>4.1839553316238816E-3</v>
      </c>
      <c r="G419" s="86">
        <v>8.5208213463667821E-3</v>
      </c>
      <c r="H419" s="86">
        <v>8.488058935099076E-3</v>
      </c>
      <c r="I419" s="86">
        <v>3.1240314650115603E-3</v>
      </c>
      <c r="J419" s="86">
        <v>4.4596925967611001E-3</v>
      </c>
      <c r="K419" s="86">
        <v>5.1617156175960393E-3</v>
      </c>
      <c r="L419" s="86">
        <v>5.1583630393137025E-3</v>
      </c>
      <c r="M419" s="86">
        <v>6.9397515836703673E-3</v>
      </c>
      <c r="N419" s="86">
        <v>6.8825531007558382E-3</v>
      </c>
      <c r="O419" s="86">
        <v>2.8386389579282776E-3</v>
      </c>
      <c r="P419" s="86">
        <v>9.8422393465384867E-4</v>
      </c>
      <c r="Q419" s="86">
        <v>9.7579649556276923E-4</v>
      </c>
      <c r="R419" s="86">
        <v>9.7379840067199146E-4</v>
      </c>
      <c r="S419" s="86">
        <v>5.9231552905522076E-3</v>
      </c>
      <c r="T419" s="86">
        <v>5.7111345879926447E-3</v>
      </c>
      <c r="U419" s="86">
        <v>4.5546163847885093E-3</v>
      </c>
      <c r="V419" s="86">
        <v>2.2908747943722429E-3</v>
      </c>
      <c r="W419" s="86">
        <v>4.1763192471755773E-3</v>
      </c>
      <c r="X419" s="86">
        <v>2.2223178299075616E-3</v>
      </c>
      <c r="Y419" s="86">
        <v>2.4833576838042548E-3</v>
      </c>
      <c r="Z419" s="86">
        <v>5.7552135391826355E-3</v>
      </c>
      <c r="AA419" s="86">
        <v>5.9437628608256876E-3</v>
      </c>
      <c r="AB419" s="86">
        <v>5.7198520531565461E-3</v>
      </c>
      <c r="AC419" s="86">
        <v>5.7241029004986548E-3</v>
      </c>
      <c r="AD419" s="86">
        <v>3.1651418588072829E-3</v>
      </c>
      <c r="AE419" s="86">
        <v>4.1331692487399415E-5</v>
      </c>
      <c r="AF419" s="86">
        <v>1.4654627272927311E-3</v>
      </c>
      <c r="AG419" s="86">
        <v>1.5004219523021235E-3</v>
      </c>
      <c r="AH419" s="86">
        <v>1.9695820650714965E-3</v>
      </c>
      <c r="AI419" s="86">
        <v>1.0388588354172043E-3</v>
      </c>
      <c r="AJ419" s="86">
        <v>2.5728965144244929E-3</v>
      </c>
      <c r="AK419" s="86">
        <v>3.0423581822757754E-3</v>
      </c>
    </row>
    <row r="420" spans="3:37">
      <c r="C420" s="81" t="s">
        <v>134</v>
      </c>
      <c r="D420" s="86">
        <v>3.6847626982182183E-3</v>
      </c>
      <c r="E420" s="86">
        <v>1.1975121358227446E-2</v>
      </c>
      <c r="F420" s="86">
        <v>1.5604794382208216E-2</v>
      </c>
      <c r="G420" s="86">
        <v>2.5766867388406747E-2</v>
      </c>
      <c r="H420" s="86">
        <v>2.5667794227247409E-2</v>
      </c>
      <c r="I420" s="86">
        <v>4.9600436211892389E-3</v>
      </c>
      <c r="J420" s="86">
        <v>9.6770104913533241E-3</v>
      </c>
      <c r="K420" s="86">
        <v>2.0876822922645803E-2</v>
      </c>
      <c r="L420" s="86">
        <v>2.0863263248243211E-2</v>
      </c>
      <c r="M420" s="86">
        <v>5.0590224675645203E-2</v>
      </c>
      <c r="N420" s="86">
        <v>4.0660253987378769E-2</v>
      </c>
      <c r="O420" s="86">
        <v>4.2746848695024812E-3</v>
      </c>
      <c r="P420" s="86">
        <v>3.8208736270245011E-3</v>
      </c>
      <c r="Q420" s="86">
        <v>3.7881573125428808E-3</v>
      </c>
      <c r="R420" s="86">
        <v>3.7804004720478979E-3</v>
      </c>
      <c r="S420" s="86">
        <v>1.0720848378623747E-2</v>
      </c>
      <c r="T420" s="86">
        <v>9.8784178117116827E-3</v>
      </c>
      <c r="U420" s="86">
        <v>1.6952128423847183E-2</v>
      </c>
      <c r="V420" s="86">
        <v>3.9827269669996728E-3</v>
      </c>
      <c r="W420" s="86">
        <v>1.3550654182434412E-2</v>
      </c>
      <c r="X420" s="86">
        <v>6.9133502876014908E-3</v>
      </c>
      <c r="Y420" s="86">
        <v>9.1824556282843733E-3</v>
      </c>
      <c r="Z420" s="86">
        <v>1.3094769342210068E-2</v>
      </c>
      <c r="AA420" s="86">
        <v>1.3523773385194272E-2</v>
      </c>
      <c r="AB420" s="86">
        <v>1.3014311771008437E-2</v>
      </c>
      <c r="AC420" s="86">
        <v>1.3023983673723307E-2</v>
      </c>
      <c r="AD420" s="86">
        <v>3.7245050009399636E-2</v>
      </c>
      <c r="AE420" s="86">
        <v>3.2879706762552988E-4</v>
      </c>
      <c r="AF420" s="86">
        <v>2.9414063926136477E-2</v>
      </c>
      <c r="AG420" s="86">
        <v>3.0115748697836005E-2</v>
      </c>
      <c r="AH420" s="86">
        <v>2.8306586033692335E-2</v>
      </c>
      <c r="AI420" s="86">
        <v>2.6019081981154229E-3</v>
      </c>
      <c r="AJ420" s="86">
        <v>6.1586346435720208E-3</v>
      </c>
      <c r="AK420" s="86">
        <v>3.5824155347933866E-2</v>
      </c>
    </row>
    <row r="421" spans="3:37">
      <c r="C421" s="81" t="s">
        <v>136</v>
      </c>
      <c r="D421" s="86">
        <v>8.7141476836268209E-5</v>
      </c>
      <c r="E421" s="86">
        <v>2.6982388962783848E-3</v>
      </c>
      <c r="F421" s="86">
        <v>1.7976712134810034E-2</v>
      </c>
      <c r="G421" s="86">
        <v>1.492782171733492E-3</v>
      </c>
      <c r="H421" s="86">
        <v>1.4870424500029933E-3</v>
      </c>
      <c r="I421" s="86">
        <v>2.3339007357221168E-3</v>
      </c>
      <c r="J421" s="86">
        <v>1.2113363587644621E-2</v>
      </c>
      <c r="K421" s="86">
        <v>3.2173752122562601E-3</v>
      </c>
      <c r="L421" s="86">
        <v>3.2152854996370926E-3</v>
      </c>
      <c r="M421" s="86">
        <v>3.3763605514934743E-3</v>
      </c>
      <c r="N421" s="86">
        <v>3.348532076801059E-3</v>
      </c>
      <c r="O421" s="86">
        <v>1.0090968399617621E-4</v>
      </c>
      <c r="P421" s="86">
        <v>5.922895444399048E-3</v>
      </c>
      <c r="Q421" s="86">
        <v>5.8721805218666457E-3</v>
      </c>
      <c r="R421" s="86">
        <v>5.8601563201485553E-3</v>
      </c>
      <c r="S421" s="86">
        <v>9.5939971542601653E-3</v>
      </c>
      <c r="T421" s="86">
        <v>9.1623971259828848E-3</v>
      </c>
      <c r="U421" s="86">
        <v>4.7211292251616115E-5</v>
      </c>
      <c r="V421" s="86">
        <v>1.4619358520488788E-2</v>
      </c>
      <c r="W421" s="86">
        <v>1.0763647234823811E-2</v>
      </c>
      <c r="X421" s="86">
        <v>2.4700301320121037E-3</v>
      </c>
      <c r="Y421" s="86">
        <v>1.5365826823904374E-2</v>
      </c>
      <c r="Z421" s="86">
        <v>1.6675705128523476E-2</v>
      </c>
      <c r="AA421" s="86">
        <v>1.7222025932868402E-2</v>
      </c>
      <c r="AB421" s="86">
        <v>1.6573245383135569E-2</v>
      </c>
      <c r="AC421" s="86">
        <v>1.6585562194030831E-2</v>
      </c>
      <c r="AD421" s="86">
        <v>1.1211048842203518E-2</v>
      </c>
      <c r="AE421" s="86">
        <v>0.82044522243577322</v>
      </c>
      <c r="AF421" s="86">
        <v>9.6692105071722115E-3</v>
      </c>
      <c r="AG421" s="86">
        <v>9.8998735595228534E-3</v>
      </c>
      <c r="AH421" s="86">
        <v>6.453339251707756E-3</v>
      </c>
      <c r="AI421" s="86">
        <v>5.0377752237353354E-3</v>
      </c>
      <c r="AJ421" s="86">
        <v>0</v>
      </c>
      <c r="AK421" s="86">
        <v>3.0656818425255531E-2</v>
      </c>
    </row>
    <row r="422" spans="3:37">
      <c r="C422" s="81" t="s">
        <v>138</v>
      </c>
      <c r="D422" s="86">
        <v>3.532748086963937E-4</v>
      </c>
      <c r="E422" s="86">
        <v>6.6937488564741895E-2</v>
      </c>
      <c r="F422" s="86">
        <v>1.0576998050700261E-2</v>
      </c>
      <c r="G422" s="86">
        <v>1.8626592841687169E-2</v>
      </c>
      <c r="H422" s="86">
        <v>1.8554973913136978E-2</v>
      </c>
      <c r="I422" s="86">
        <v>2.9211759298919961E-3</v>
      </c>
      <c r="J422" s="86">
        <v>4.6706730235239698E-2</v>
      </c>
      <c r="K422" s="86">
        <v>7.0035897616246325E-3</v>
      </c>
      <c r="L422" s="86">
        <v>6.9990408703891269E-3</v>
      </c>
      <c r="M422" s="86">
        <v>2.5179089097491569E-2</v>
      </c>
      <c r="N422" s="86">
        <v>2.4971559234184218E-2</v>
      </c>
      <c r="O422" s="86">
        <v>1.7820989327626744E-3</v>
      </c>
      <c r="P422" s="86">
        <v>6.266494374253688E-3</v>
      </c>
      <c r="Q422" s="86">
        <v>6.2128373783260846E-3</v>
      </c>
      <c r="R422" s="86">
        <v>6.200115628781676E-3</v>
      </c>
      <c r="S422" s="86">
        <v>5.0843967854064115E-3</v>
      </c>
      <c r="T422" s="86">
        <v>1.8408009473496185E-3</v>
      </c>
      <c r="U422" s="86">
        <v>2.5275645227947432E-3</v>
      </c>
      <c r="V422" s="86">
        <v>2.6564292346435365E-3</v>
      </c>
      <c r="W422" s="86">
        <v>1.7057416937128107E-2</v>
      </c>
      <c r="X422" s="86">
        <v>5.1969782423943352E-3</v>
      </c>
      <c r="Y422" s="86">
        <v>2.28193789763197E-2</v>
      </c>
      <c r="Z422" s="86">
        <v>2.0228187853133055E-2</v>
      </c>
      <c r="AA422" s="86">
        <v>2.089089325438527E-2</v>
      </c>
      <c r="AB422" s="86">
        <v>2.0103900756358501E-2</v>
      </c>
      <c r="AC422" s="86">
        <v>2.0118841459772222E-2</v>
      </c>
      <c r="AD422" s="86">
        <v>8.3494607691066512E-3</v>
      </c>
      <c r="AE422" s="86">
        <v>0</v>
      </c>
      <c r="AF422" s="86">
        <v>3.2244142679931927E-2</v>
      </c>
      <c r="AG422" s="86">
        <v>3.3013340161511855E-2</v>
      </c>
      <c r="AH422" s="86">
        <v>9.917138198822029E-4</v>
      </c>
      <c r="AI422" s="86">
        <v>7.1441737971614429E-3</v>
      </c>
      <c r="AJ422" s="86">
        <v>1.6766442268730929E-2</v>
      </c>
      <c r="AK422" s="86">
        <v>3.3980345033571613E-2</v>
      </c>
    </row>
    <row r="423" spans="3:37">
      <c r="C423" s="81" t="s">
        <v>140</v>
      </c>
      <c r="D423" s="86">
        <v>2.6523001217544233E-4</v>
      </c>
      <c r="E423" s="86">
        <v>5.5755295491402991E-2</v>
      </c>
      <c r="F423" s="86">
        <v>7.9409492347295753E-3</v>
      </c>
      <c r="G423" s="86">
        <v>1.3984386445265784E-2</v>
      </c>
      <c r="H423" s="86">
        <v>1.3930616720327076E-2</v>
      </c>
      <c r="I423" s="86">
        <v>2.1931468318130776E-3</v>
      </c>
      <c r="J423" s="86">
        <v>3.5066260950449388E-2</v>
      </c>
      <c r="K423" s="86">
        <v>5.258122436190775E-3</v>
      </c>
      <c r="L423" s="86">
        <v>5.2547072408581788E-3</v>
      </c>
      <c r="M423" s="86">
        <v>1.8903839004364407E-2</v>
      </c>
      <c r="N423" s="86">
        <v>1.8748030702111302E-2</v>
      </c>
      <c r="O423" s="86">
        <v>1.3379559198649265E-3</v>
      </c>
      <c r="P423" s="86">
        <v>4.7047294012097134E-3</v>
      </c>
      <c r="Q423" s="86">
        <v>4.6644450522189043E-3</v>
      </c>
      <c r="R423" s="86">
        <v>4.6548938764670849E-3</v>
      </c>
      <c r="S423" s="86">
        <v>3.8172396901842588E-3</v>
      </c>
      <c r="T423" s="86">
        <v>1.3820279444201789E-3</v>
      </c>
      <c r="U423" s="86">
        <v>1.8976330965370439E-3</v>
      </c>
      <c r="V423" s="86">
        <v>1.9943815435003545E-3</v>
      </c>
      <c r="W423" s="86">
        <v>1.2806287882825403E-2</v>
      </c>
      <c r="X423" s="86">
        <v>3.9017630710554505E-3</v>
      </c>
      <c r="Y423" s="86">
        <v>1.7132226852118414E-2</v>
      </c>
      <c r="Z423" s="86">
        <v>1.518682447347789E-2</v>
      </c>
      <c r="AA423" s="86">
        <v>1.5684367341851396E-2</v>
      </c>
      <c r="AB423" s="86">
        <v>1.5093512786996836E-2</v>
      </c>
      <c r="AC423" s="86">
        <v>1.5104729898579083E-2</v>
      </c>
      <c r="AD423" s="86">
        <v>6.2685691901449066E-3</v>
      </c>
      <c r="AE423" s="86">
        <v>0</v>
      </c>
      <c r="AF423" s="86">
        <v>2.7785480242273647E-2</v>
      </c>
      <c r="AG423" s="86">
        <v>2.8448314470461835E-2</v>
      </c>
      <c r="AH423" s="86">
        <v>7.4455427346353657E-4</v>
      </c>
      <c r="AI423" s="86">
        <v>5.3636694622996896E-3</v>
      </c>
      <c r="AJ423" s="86">
        <v>1.2587831279235512E-2</v>
      </c>
      <c r="AK423" s="86">
        <v>2.5511604861487562E-2</v>
      </c>
    </row>
    <row r="424" spans="3:37">
      <c r="C424" s="81" t="s">
        <v>142</v>
      </c>
      <c r="D424" s="86">
        <v>0</v>
      </c>
      <c r="E424" s="86">
        <v>0</v>
      </c>
      <c r="F424" s="86">
        <v>0</v>
      </c>
      <c r="G424" s="86">
        <v>0</v>
      </c>
      <c r="H424" s="86">
        <v>0</v>
      </c>
      <c r="I424" s="86">
        <v>0</v>
      </c>
      <c r="J424" s="86">
        <v>0</v>
      </c>
      <c r="K424" s="86">
        <v>0</v>
      </c>
      <c r="L424" s="86">
        <v>0</v>
      </c>
      <c r="M424" s="86">
        <v>5.6557811455286572E-3</v>
      </c>
      <c r="N424" s="86">
        <v>5.6091653412998835E-3</v>
      </c>
      <c r="O424" s="86">
        <v>0</v>
      </c>
      <c r="P424" s="86">
        <v>0</v>
      </c>
      <c r="Q424" s="86">
        <v>0</v>
      </c>
      <c r="R424" s="86">
        <v>0</v>
      </c>
      <c r="S424" s="86">
        <v>0</v>
      </c>
      <c r="T424" s="86">
        <v>0</v>
      </c>
      <c r="U424" s="86">
        <v>0</v>
      </c>
      <c r="V424" s="86">
        <v>0</v>
      </c>
      <c r="W424" s="86">
        <v>0</v>
      </c>
      <c r="X424" s="86">
        <v>0</v>
      </c>
      <c r="Y424" s="86">
        <v>4.282085292006506E-4</v>
      </c>
      <c r="Z424" s="86">
        <v>3.4142665101174554E-6</v>
      </c>
      <c r="AA424" s="86">
        <v>3.5261229390767834E-6</v>
      </c>
      <c r="AB424" s="86">
        <v>3.3932883940727765E-6</v>
      </c>
      <c r="AC424" s="86">
        <v>3.3958101989755932E-6</v>
      </c>
      <c r="AD424" s="86">
        <v>6.3902626906750876E-5</v>
      </c>
      <c r="AE424" s="86">
        <v>0</v>
      </c>
      <c r="AF424" s="86">
        <v>3.20481279562585E-3</v>
      </c>
      <c r="AG424" s="86">
        <v>3.2812649424793072E-3</v>
      </c>
      <c r="AH424" s="86">
        <v>1.7896133260987689E-3</v>
      </c>
      <c r="AI424" s="86">
        <v>0</v>
      </c>
      <c r="AJ424" s="86">
        <v>0</v>
      </c>
      <c r="AK424" s="86">
        <v>4.8345385268577958E-4</v>
      </c>
    </row>
    <row r="425" spans="3:37">
      <c r="C425" s="81" t="s">
        <v>144</v>
      </c>
      <c r="D425" s="86">
        <v>0</v>
      </c>
      <c r="E425" s="86">
        <v>0</v>
      </c>
      <c r="F425" s="86">
        <v>1.9660628479384779E-3</v>
      </c>
      <c r="G425" s="86">
        <v>0</v>
      </c>
      <c r="H425" s="86">
        <v>0</v>
      </c>
      <c r="I425" s="86">
        <v>0</v>
      </c>
      <c r="J425" s="86">
        <v>0</v>
      </c>
      <c r="K425" s="86">
        <v>9.9059430172859938E-4</v>
      </c>
      <c r="L425" s="86">
        <v>9.8995090228767195E-4</v>
      </c>
      <c r="M425" s="86">
        <v>0</v>
      </c>
      <c r="N425" s="86">
        <v>0</v>
      </c>
      <c r="O425" s="86">
        <v>0</v>
      </c>
      <c r="P425" s="86">
        <v>7.9876031679725051E-3</v>
      </c>
      <c r="Q425" s="86">
        <v>7.919209140138243E-3</v>
      </c>
      <c r="R425" s="86">
        <v>7.9029933293684549E-3</v>
      </c>
      <c r="S425" s="86">
        <v>3.4908284814010406E-4</v>
      </c>
      <c r="T425" s="86">
        <v>2.4267706499053725E-3</v>
      </c>
      <c r="U425" s="86">
        <v>1.247001915314924E-4</v>
      </c>
      <c r="V425" s="86">
        <v>0</v>
      </c>
      <c r="W425" s="86">
        <v>2.5015443999035274E-4</v>
      </c>
      <c r="X425" s="86">
        <v>5.2851227482216662E-4</v>
      </c>
      <c r="Y425" s="86">
        <v>6.6229427205176177E-4</v>
      </c>
      <c r="Z425" s="86">
        <v>3.8073987977091937E-4</v>
      </c>
      <c r="AA425" s="86">
        <v>3.9321348228184711E-4</v>
      </c>
      <c r="AB425" s="86">
        <v>3.7840051775655766E-4</v>
      </c>
      <c r="AC425" s="86">
        <v>3.7868173531607226E-4</v>
      </c>
      <c r="AD425" s="86">
        <v>1.0201640980933931E-3</v>
      </c>
      <c r="AE425" s="86">
        <v>1.1361063890195931E-4</v>
      </c>
      <c r="AF425" s="86">
        <v>3.1318500656415458E-3</v>
      </c>
      <c r="AG425" s="86">
        <v>3.2065616561182935E-3</v>
      </c>
      <c r="AH425" s="86">
        <v>4.0496541652982557E-3</v>
      </c>
      <c r="AI425" s="86">
        <v>1.2734697025040292E-2</v>
      </c>
      <c r="AJ425" s="86">
        <v>2.1552044472969798E-3</v>
      </c>
      <c r="AK425" s="86">
        <v>3.8930823037157244E-3</v>
      </c>
    </row>
    <row r="426" spans="3:37">
      <c r="C426" s="81" t="s">
        <v>146</v>
      </c>
      <c r="D426" s="86">
        <v>7.578655426765551E-7</v>
      </c>
      <c r="E426" s="86">
        <v>4.0956819866904467E-4</v>
      </c>
      <c r="F426" s="86">
        <v>3.1268532947143542E-4</v>
      </c>
      <c r="G426" s="86">
        <v>4.9853414621017138E-4</v>
      </c>
      <c r="H426" s="86">
        <v>4.9661729100746376E-4</v>
      </c>
      <c r="I426" s="86">
        <v>0</v>
      </c>
      <c r="J426" s="86">
        <v>4.1805732387073774E-4</v>
      </c>
      <c r="K426" s="86">
        <v>9.9249578419714855E-4</v>
      </c>
      <c r="L426" s="86">
        <v>9.9185114972715925E-4</v>
      </c>
      <c r="M426" s="86">
        <v>3.7056613193747144E-4</v>
      </c>
      <c r="N426" s="86">
        <v>3.6751186979123047E-4</v>
      </c>
      <c r="O426" s="86">
        <v>0</v>
      </c>
      <c r="P426" s="86">
        <v>6.3398348145545544E-4</v>
      </c>
      <c r="Q426" s="86">
        <v>6.2855498394935453E-4</v>
      </c>
      <c r="R426" s="86">
        <v>6.2726791998907552E-4</v>
      </c>
      <c r="S426" s="86">
        <v>0</v>
      </c>
      <c r="T426" s="86">
        <v>4.5461429316272602E-4</v>
      </c>
      <c r="U426" s="86">
        <v>2.5256124272438394E-4</v>
      </c>
      <c r="V426" s="86">
        <v>6.7187974401559925E-4</v>
      </c>
      <c r="W426" s="86">
        <v>2.3428888457426166E-4</v>
      </c>
      <c r="X426" s="86">
        <v>3.7157607853834287E-5</v>
      </c>
      <c r="Y426" s="86">
        <v>2.3352077364111477E-4</v>
      </c>
      <c r="Z426" s="86">
        <v>1.8002712938779313E-4</v>
      </c>
      <c r="AA426" s="86">
        <v>1.8592508484892788E-4</v>
      </c>
      <c r="AB426" s="86">
        <v>1.7892099722139712E-4</v>
      </c>
      <c r="AC426" s="86">
        <v>1.7905396671753554E-4</v>
      </c>
      <c r="AD426" s="86">
        <v>4.3608687891026767E-5</v>
      </c>
      <c r="AE426" s="86">
        <v>5.3202553320934251E-6</v>
      </c>
      <c r="AF426" s="86">
        <v>2.7498924460475779E-4</v>
      </c>
      <c r="AG426" s="86">
        <v>2.8154922780887433E-4</v>
      </c>
      <c r="AH426" s="86">
        <v>2.8586224410931823E-3</v>
      </c>
      <c r="AI426" s="86">
        <v>8.4758833389476148E-3</v>
      </c>
      <c r="AJ426" s="86">
        <v>6.5557074447273721E-3</v>
      </c>
      <c r="AK426" s="86">
        <v>3.3588209632126075E-3</v>
      </c>
    </row>
    <row r="427" spans="3:37">
      <c r="C427" s="81" t="s">
        <v>148</v>
      </c>
      <c r="D427" s="86">
        <v>6.3087058136087127E-7</v>
      </c>
      <c r="E427" s="86">
        <v>3.6556253285246376E-3</v>
      </c>
      <c r="F427" s="86">
        <v>1.4505107526118677E-3</v>
      </c>
      <c r="G427" s="86">
        <v>5.5859470117126248E-4</v>
      </c>
      <c r="H427" s="86">
        <v>5.5644691416954111E-4</v>
      </c>
      <c r="I427" s="86">
        <v>3.7848246128766071E-3</v>
      </c>
      <c r="J427" s="86">
        <v>3.7053461244664476E-3</v>
      </c>
      <c r="K427" s="86">
        <v>7.9150729127594483E-3</v>
      </c>
      <c r="L427" s="86">
        <v>7.9099320054495069E-3</v>
      </c>
      <c r="M427" s="86">
        <v>2.3285462106284812E-3</v>
      </c>
      <c r="N427" s="86">
        <v>2.3093539803247794E-3</v>
      </c>
      <c r="O427" s="86">
        <v>0</v>
      </c>
      <c r="P427" s="86">
        <v>3.0143369900661296E-3</v>
      </c>
      <c r="Q427" s="86">
        <v>2.9885266632803547E-3</v>
      </c>
      <c r="R427" s="86">
        <v>2.9824071907428103E-3</v>
      </c>
      <c r="S427" s="86">
        <v>9.0719122195788643E-4</v>
      </c>
      <c r="T427" s="86">
        <v>1.3688739064326668E-3</v>
      </c>
      <c r="U427" s="86">
        <v>4.4536875838859713E-3</v>
      </c>
      <c r="V427" s="86">
        <v>9.94299304133015E-3</v>
      </c>
      <c r="W427" s="86">
        <v>5.2794868965373946E-3</v>
      </c>
      <c r="X427" s="86">
        <v>1.7811763656380953E-3</v>
      </c>
      <c r="Y427" s="86">
        <v>1.4977339330500472E-2</v>
      </c>
      <c r="Z427" s="86">
        <v>2.6782549859474458E-3</v>
      </c>
      <c r="AA427" s="86">
        <v>2.7659985870057881E-3</v>
      </c>
      <c r="AB427" s="86">
        <v>2.6617991106588756E-3</v>
      </c>
      <c r="AC427" s="86">
        <v>2.6637772914876305E-3</v>
      </c>
      <c r="AD427" s="86">
        <v>4.496870399687501E-3</v>
      </c>
      <c r="AE427" s="86">
        <v>1.2204964933824632E-4</v>
      </c>
      <c r="AF427" s="86">
        <v>2.5209600212702226E-2</v>
      </c>
      <c r="AG427" s="86">
        <v>2.581098574767304E-2</v>
      </c>
      <c r="AH427" s="86">
        <v>1.5239521638847765E-3</v>
      </c>
      <c r="AI427" s="86">
        <v>4.823253624615464E-3</v>
      </c>
      <c r="AJ427" s="86">
        <v>6.8892948178525945E-3</v>
      </c>
      <c r="AK427" s="86">
        <v>5.5288277597203409E-2</v>
      </c>
    </row>
  </sheetData>
  <mergeCells count="21">
    <mergeCell ref="D94:G94"/>
    <mergeCell ref="I94:L94"/>
    <mergeCell ref="B5:C6"/>
    <mergeCell ref="D92:H92"/>
    <mergeCell ref="I92:M92"/>
    <mergeCell ref="D93:G93"/>
    <mergeCell ref="I93:L93"/>
    <mergeCell ref="D95:G95"/>
    <mergeCell ref="I95:L95"/>
    <mergeCell ref="D96:G96"/>
    <mergeCell ref="I96:L96"/>
    <mergeCell ref="D98:G98"/>
    <mergeCell ref="I98:L98"/>
    <mergeCell ref="D102:G102"/>
    <mergeCell ref="I102:L102"/>
    <mergeCell ref="D99:G99"/>
    <mergeCell ref="I99:L99"/>
    <mergeCell ref="D100:G100"/>
    <mergeCell ref="I100:L100"/>
    <mergeCell ref="D101:G101"/>
    <mergeCell ref="I101:L101"/>
  </mergeCells>
  <conditionalFormatting sqref="D187:AK220">
    <cfRule type="cellIs" dxfId="0" priority="2" operator="greaterThan">
      <formula>0</formula>
    </cfRule>
  </conditionalFormatting>
  <conditionalFormatting sqref="BD8:BL41">
    <cfRule type="colorScale" priority="1">
      <colorScale>
        <cfvo type="min"/>
        <cfvo type="max"/>
        <color rgb="FFFFFF00"/>
        <color rgb="FFFF000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30</vt:i4>
      </vt:variant>
    </vt:vector>
  </HeadingPairs>
  <TitlesOfParts>
    <vt:vector size="34" baseType="lpstr">
      <vt:lpstr>Matrix Algebra</vt:lpstr>
      <vt:lpstr>Input-Output Model</vt:lpstr>
      <vt:lpstr>Tool</vt:lpstr>
      <vt:lpstr>KYZ_EEIO_2017</vt:lpstr>
      <vt:lpstr>A</vt:lpstr>
      <vt:lpstr>AINV</vt:lpstr>
      <vt:lpstr>Anew</vt:lpstr>
      <vt:lpstr>b</vt:lpstr>
      <vt:lpstr>CMAT</vt:lpstr>
      <vt:lpstr>COEF</vt:lpstr>
      <vt:lpstr>fdem</vt:lpstr>
      <vt:lpstr>fdemnew</vt:lpstr>
      <vt:lpstr>GPRIMEHAT</vt:lpstr>
      <vt:lpstr>GPRIMEHATINV</vt:lpstr>
      <vt:lpstr>I</vt:lpstr>
      <vt:lpstr>identity</vt:lpstr>
      <vt:lpstr>IP</vt:lpstr>
      <vt:lpstr>ISUM</vt:lpstr>
      <vt:lpstr>ISUM2</vt:lpstr>
      <vt:lpstr>L</vt:lpstr>
      <vt:lpstr>Lnew</vt:lpstr>
      <vt:lpstr>M</vt:lpstr>
      <vt:lpstr>N</vt:lpstr>
      <vt:lpstr>O</vt:lpstr>
      <vt:lpstr>Q</vt:lpstr>
      <vt:lpstr>REQ</vt:lpstr>
      <vt:lpstr>S</vt:lpstr>
      <vt:lpstr>TM</vt:lpstr>
      <vt:lpstr>xhat</vt:lpstr>
      <vt:lpstr>xhatinv</vt:lpstr>
      <vt:lpstr>xnewdiag</vt:lpstr>
      <vt:lpstr>Z</vt:lpstr>
      <vt:lpstr>ZETA</vt:lpstr>
      <vt:lpstr>Znew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Vargas</dc:creator>
  <cp:lastModifiedBy>Renato Vargas</cp:lastModifiedBy>
  <dcterms:created xsi:type="dcterms:W3CDTF">2025-06-18T23:47:34Z</dcterms:created>
  <dcterms:modified xsi:type="dcterms:W3CDTF">2026-10-07T07:29:49Z</dcterms:modified>
</cp:coreProperties>
</file>