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ato/github/pe-hc/datos/ejemplos/"/>
    </mc:Choice>
  </mc:AlternateContent>
  <xr:revisionPtr revIDLastSave="0" documentId="13_ncr:1_{A33986FF-0E38-E247-8CA4-25A4F9412207}" xr6:coauthVersionLast="47" xr6:coauthVersionMax="47" xr10:uidLastSave="{00000000-0000-0000-0000-000000000000}"/>
  <bookViews>
    <workbookView xWindow="2740" yWindow="1140" windowWidth="33200" windowHeight="18280" xr2:uid="{3A331693-311F-4E5D-9D9A-18C0A69FC647}"/>
  </bookViews>
  <sheets>
    <sheet name="Modelo Insumo-Producto" sheetId="2" r:id="rId1"/>
  </sheets>
  <externalReferences>
    <externalReference r:id="rId2"/>
    <externalReference r:id="rId3"/>
    <externalReference r:id="rId4"/>
    <externalReference r:id="rId5"/>
  </externalReferences>
  <definedNames>
    <definedName name="A">#REF!</definedName>
    <definedName name="AINV">#REF!</definedName>
    <definedName name="Anew">#REF!</definedName>
    <definedName name="b">#REF!</definedName>
    <definedName name="Calculated_Relationship_HS12___HS07">'[1]Correlation HS2012-HS2007'!#REF!</definedName>
    <definedName name="CMAT">#REF!</definedName>
    <definedName name="COEF">#REF!</definedName>
    <definedName name="fdem">'Modelo Insumo-Producto'!$E$4:$E$5</definedName>
    <definedName name="fdemnew">'Modelo Insumo-Producto'!$C$30:$C$31</definedName>
    <definedName name="go_level_top1">OFFSET('[2]35-sector'!$E$36,MATCH(#REF!,'[2]35-sector'!$E$37:$E$71,0),2,1,8)</definedName>
    <definedName name="gprime">#REF!</definedName>
    <definedName name="GPRIMEHAT">#REF!</definedName>
    <definedName name="GPRIMEHATINV">#REF!</definedName>
    <definedName name="HS">'[3]HS02_CPC1.1_SITC3_ISIC3.1 (2)'!#REF!</definedName>
    <definedName name="I">#REF!</definedName>
    <definedName name="identity">'Modelo Insumo-Producto'!$C$21:$D$22</definedName>
    <definedName name="IP">#REF!</definedName>
    <definedName name="ISUM">#REF!</definedName>
    <definedName name="ISUM2">#REF!</definedName>
    <definedName name="L">'Modelo Insumo-Producto'!$C$24:$D$25</definedName>
    <definedName name="Lnew">#REF!</definedName>
    <definedName name="M">#REF!</definedName>
    <definedName name="M1_stone">'[2]2000'!$E$1382:$BV$1451</definedName>
    <definedName name="M2_stone">'[2]2000'!$E$1524:$BV$1593</definedName>
    <definedName name="M3_stone">'[2]2000'!$E$1737:$BV$1806</definedName>
    <definedName name="Matrix1">#REF!</definedName>
    <definedName name="N">#REF!</definedName>
    <definedName name="O">#REF!</definedName>
    <definedName name="Q">#REF!</definedName>
    <definedName name="rca_trad_2010">'[4]13-sector VAX_G_2010'!$C$141:$P$203</definedName>
    <definedName name="rca_trad_2011">'[4]13-sector VAX_G_2011'!$C$141:$P$203</definedName>
    <definedName name="rca_trad_2012">'[4]13-sector VAX_G_2012'!$C$141:$P$203</definedName>
    <definedName name="rca_trad_2013">'[4]13-sector VAX_G_2013'!$C$141:$P$203</definedName>
    <definedName name="rca_trad_2014">'[4]13-sector VAX_G_2014'!$C$141:$P$203</definedName>
    <definedName name="rca_trad_2015">'[4]13-sector VAX_G_2015'!$C$141:$P$203</definedName>
    <definedName name="rca_trad_2016">'[4]13-sector VAX_G_2016'!$C$141:$P$203</definedName>
    <definedName name="rca_trad_2017">'[4]13-sector VAX_G_2017'!$C$141:$P$203</definedName>
    <definedName name="rca_vax_2010">'[4]13-sector VAX_G_2010'!$C$209:$P$271</definedName>
    <definedName name="rca_vax_2011">'[4]13-sector VAX_G_2011'!$C$209:$P$271</definedName>
    <definedName name="rca_vax_2012">'[4]13-sector VAX_G_2012'!$C$209:$P$271</definedName>
    <definedName name="rca_vax_2013">'[4]13-sector VAX_G_2013'!$C$209:$P$271</definedName>
    <definedName name="rca_vax_2014">'[4]13-sector VAX_G_2014'!$C$209:$P$271</definedName>
    <definedName name="rca_vax_2015">'[4]13-sector VAX_G_2015'!$C$209:$P$271</definedName>
    <definedName name="rca_vax_2016">'[4]13-sector VAX_G_2016'!$C$209:$P$271</definedName>
    <definedName name="rca_vax_2017">'[4]13-sector VAX_G_2017'!$C$209:$P$271</definedName>
    <definedName name="REQ">'Modelo Insumo-Producto'!$C$18:$D$19</definedName>
    <definedName name="S">#REF!</definedName>
    <definedName name="sector_list">#REF!</definedName>
    <definedName name="Sectors">#REF!</definedName>
    <definedName name="SUNBURST">'[4]35-sector'!#REF!</definedName>
    <definedName name="TM">#REF!</definedName>
    <definedName name="vax_g_2010">'[4]13-sector VAX_G_2010'!$T$5:$AI$67</definedName>
    <definedName name="vax_g_2011">'[4]13-sector VAX_G_2011'!$T$5:$AI$67</definedName>
    <definedName name="vax_g_2012">'[4]13-sector VAX_G_2012'!$T$5:$AI$67</definedName>
    <definedName name="vax_g_2013">'[4]13-sector VAX_G_2013'!$T$5:$AI$67</definedName>
    <definedName name="vax_g_2014">'[4]13-sector VAX_G_2014'!$T$5:$AI$67</definedName>
    <definedName name="vax_g_2015">'[4]13-sector VAX_G_2015'!$T$5:$AI$67</definedName>
    <definedName name="vax_g_2016">'[4]13-sector VAX_G_2016'!$T$5:$AI$67</definedName>
    <definedName name="vax_g_2017">'[4]13-sector VAX_G_2017'!$T$5:$AI$67</definedName>
    <definedName name="x_2010">'[4]13-sector VAX_G_2010'!$C$5:$R$67</definedName>
    <definedName name="x_2011">'[4]13-sector VAX_G_2011'!$C$5:$R$67</definedName>
    <definedName name="x_2012">'[4]13-sector VAX_G_2012'!$C$5:$R$67</definedName>
    <definedName name="x_2013">'[4]13-sector VAX_G_2013'!$C$5:$R$67</definedName>
    <definedName name="x_2014">'[4]13-sector VAX_G_2014'!$C$5:$R$67</definedName>
    <definedName name="x_2015">'[4]13-sector VAX_G_2015'!$C$5:$R$67</definedName>
    <definedName name="x_2016">'[4]13-sector VAX_G_2016'!$C$5:$R$67</definedName>
    <definedName name="x_2017">'[4]13-sector VAX_G_2017'!$C$5:$R$67</definedName>
    <definedName name="xhat">'Modelo Insumo-Producto'!$C$12:$D$13</definedName>
    <definedName name="xhatinv">'Modelo Insumo-Producto'!$C$15:$D$16</definedName>
    <definedName name="xnewdiag">'Modelo Insumo-Producto'!$C$36:$D$37</definedName>
    <definedName name="Z">'Modelo Insumo-Producto'!$C$4:$D$5</definedName>
    <definedName name="ZETA">#REF!</definedName>
    <definedName name="Zne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2" l="1"/>
  <c r="C48" i="2"/>
  <c r="D49" i="2"/>
  <c r="C49" i="2"/>
  <c r="E45" i="2" a="1"/>
  <c r="E45" i="2" s="1"/>
  <c r="C45" i="2" a="1"/>
  <c r="C45" i="2" s="1"/>
  <c r="C46" i="2"/>
  <c r="D46" i="2"/>
  <c r="C39" i="2" a="1"/>
  <c r="C36" i="2" a="1"/>
  <c r="C33" i="2" a="1"/>
  <c r="C33" i="2" s="1"/>
  <c r="C21" i="2" a="1"/>
  <c r="C21" i="2" s="1"/>
  <c r="C22" i="2"/>
  <c r="D22" i="2"/>
  <c r="C15" i="2" a="1"/>
  <c r="D15" i="2" s="1"/>
  <c r="C15" i="2"/>
  <c r="C16" i="2"/>
  <c r="D16" i="2"/>
  <c r="C18" i="2" s="1" a="1"/>
  <c r="C18" i="2" s="1"/>
  <c r="C12" i="2" a="1"/>
  <c r="G5" i="2"/>
  <c r="G4" i="2"/>
  <c r="E46" i="2" l="1"/>
  <c r="G45" i="2"/>
  <c r="D45" i="2"/>
  <c r="G46" i="2"/>
  <c r="C34" i="2"/>
  <c r="D21" i="2"/>
  <c r="D19" i="2"/>
  <c r="D18" i="2"/>
  <c r="C24" i="2" s="1" a="1"/>
  <c r="C19" i="2"/>
  <c r="C24" i="2" l="1"/>
  <c r="D25" i="2"/>
  <c r="C25" i="2"/>
  <c r="D24" i="2"/>
  <c r="C27" i="2" l="1" a="1"/>
  <c r="C27" i="2" l="1"/>
  <c r="C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<sst xmlns="http://schemas.openxmlformats.org/spreadsheetml/2006/main" count="27" uniqueCount="19">
  <si>
    <t>xhat</t>
  </si>
  <si>
    <t>xhat ^-1</t>
  </si>
  <si>
    <t>A = Z * xhat ^-1 =</t>
  </si>
  <si>
    <t>Leontief = L =</t>
  </si>
  <si>
    <t>L * Fnew = Xnew</t>
  </si>
  <si>
    <t>Xnew diag</t>
  </si>
  <si>
    <t>A * xnew diag =</t>
  </si>
  <si>
    <t>Pagos</t>
  </si>
  <si>
    <t>Gastos totales</t>
  </si>
  <si>
    <t>Agricultura</t>
  </si>
  <si>
    <t>Manufacturas</t>
  </si>
  <si>
    <t>Demanda Final</t>
  </si>
  <si>
    <t>Producto total (x)</t>
  </si>
  <si>
    <t>Matriz identidad</t>
  </si>
  <si>
    <t>Calibración</t>
  </si>
  <si>
    <t>Nueva Demanda</t>
  </si>
  <si>
    <t>Nuevo cuadro insumo-producto</t>
  </si>
  <si>
    <t>Total insumos</t>
  </si>
  <si>
    <t>Pago a factores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</si>
</sst>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_)"/>
    <numFmt numFmtId="165" formatCode="0.0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name val="Courier"/>
      <family val="3"/>
    </font>
  </fonts>
  <fills count="8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A6C9EC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3" fillId="0" borderId="0"/>
    <xf numFmtId="164" fontId="4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2" borderId="0" xfId="0" applyNumberFormat="1" applyFill="1"/>
    <xf numFmtId="0" fontId="2" fillId="0" borderId="0" xfId="0" applyFont="1"/>
    <xf numFmtId="165" fontId="0" fillId="2" borderId="0" xfId="0" applyNumberFormat="1" applyFill="1"/>
    <xf numFmtId="165" fontId="0" fillId="4" borderId="0" xfId="0" applyNumberFormat="1" applyFill="1"/>
    <xf numFmtId="2" fontId="0" fillId="3" borderId="0" xfId="0" applyNumberFormat="1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5">
    <cellStyle name="Comma 2 3 2" xfId="4" xr:uid="{95A30595-655D-4255-9CFE-2C6085A30022}"/>
    <cellStyle name="Comma 3" xfId="1" xr:uid="{74A3B89B-DC2A-44A5-A5E4-3360CCDD5E0A}"/>
    <cellStyle name="Normal" xfId="0" builtinId="0"/>
    <cellStyle name="Normal 3 2" xfId="2" xr:uid="{325A7142-7006-4D11-B47A-FF741601F7FF}"/>
    <cellStyle name="Normal 6 3" xfId="3" xr:uid="{AF5E3EE1-3781-497B-8233-CBDA23CD0243}"/>
  </cellStyles>
  <dxfs count="0"/>
  <tableStyles count="0" defaultTableStyle="TableStyleMedium2" defaultPivotStyle="PivotStyleLight16"/>
  <colors>
    <mruColors>
      <color rgb="FFF7C7AC"/>
      <color rgb="FFA6C9EC"/>
      <color rgb="FFF2CEEF"/>
      <color rgb="FFB5E6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9JB/Downloads/.ptmp414824/HS%202012%20to%20HS%202007%20Correlation%20and%20conversion%20tabl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OT/IO%20Indicators/By%20Economy/HKG/HKG_Internal%20Linkag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ERDI-TA/WIOT/IO%20Indicators/By%20Region/South%20Asia/BAN/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4725-EBCD-4039-ACB1-29CE7E16EBDD}">
  <dimension ref="B3:G49"/>
  <sheetViews>
    <sheetView tabSelected="1" workbookViewId="0">
      <selection activeCell="G4" sqref="G4"/>
    </sheetView>
  </sheetViews>
  <sheetFormatPr baseColWidth="10" defaultColWidth="9" defaultRowHeight="15"/>
  <cols>
    <col min="2" max="2" width="16.83203125" bestFit="1" customWidth="1"/>
    <col min="3" max="3" width="16.6640625" bestFit="1" customWidth="1"/>
    <col min="4" max="4" width="14" bestFit="1" customWidth="1"/>
    <col min="5" max="5" width="13.33203125" bestFit="1" customWidth="1"/>
    <col min="7" max="7" width="13.6640625" bestFit="1" customWidth="1"/>
  </cols>
  <sheetData>
    <row r="3" spans="2:7">
      <c r="C3" t="s">
        <v>9</v>
      </c>
      <c r="D3" t="s">
        <v>10</v>
      </c>
      <c r="E3" t="s">
        <v>11</v>
      </c>
      <c r="G3" t="s">
        <v>12</v>
      </c>
    </row>
    <row r="4" spans="2:7">
      <c r="B4" t="s">
        <v>9</v>
      </c>
      <c r="C4" s="2">
        <v>150</v>
      </c>
      <c r="D4" s="9">
        <v>500</v>
      </c>
      <c r="E4" s="10">
        <v>350</v>
      </c>
      <c r="G4" s="11">
        <f>SUM(C4:E4)</f>
        <v>1000</v>
      </c>
    </row>
    <row r="5" spans="2:7">
      <c r="B5" t="s">
        <v>10</v>
      </c>
      <c r="C5" s="2">
        <v>200</v>
      </c>
      <c r="D5" s="2">
        <v>100</v>
      </c>
      <c r="E5" s="10">
        <v>1700</v>
      </c>
      <c r="G5" s="1">
        <f>SUM(C5:E5)</f>
        <v>2000</v>
      </c>
    </row>
    <row r="7" spans="2:7">
      <c r="B7" t="s">
        <v>18</v>
      </c>
      <c r="C7">
        <v>650</v>
      </c>
      <c r="D7">
        <v>1400</v>
      </c>
      <c r="E7">
        <v>1100</v>
      </c>
    </row>
    <row r="8" spans="2:7">
      <c r="B8" t="s">
        <v>17</v>
      </c>
      <c r="C8" s="1">
        <v>1000</v>
      </c>
      <c r="D8" s="1">
        <v>2000</v>
      </c>
      <c r="E8">
        <v>3150</v>
      </c>
    </row>
    <row r="12" spans="2:7">
      <c r="B12" t="s">
        <v>0</v>
      </c>
      <c r="C12" s="1" cm="1">
        <f t="array" ref="C12:D13">IF(G4:G5=TRANSPOSE(G4:G5),G4:G5,0)</f>
        <v>1000</v>
      </c>
      <c r="D12" s="1">
        <v>0</v>
      </c>
    </row>
    <row r="13" spans="2:7">
      <c r="C13" s="1">
        <v>0</v>
      </c>
      <c r="D13" s="1">
        <v>2000</v>
      </c>
    </row>
    <row r="15" spans="2:7">
      <c r="B15" t="s">
        <v>1</v>
      </c>
      <c r="C15" s="1">
        <f t="array" ref="C15:D16">MINVERSE(xhat)</f>
        <v>1E-3</v>
      </c>
      <c r="D15" s="1">
        <v>0</v>
      </c>
    </row>
    <row r="16" spans="2:7">
      <c r="C16" s="1">
        <v>0</v>
      </c>
      <c r="D16" s="1">
        <v>5.0000000000000001E-4</v>
      </c>
    </row>
    <row r="18" spans="2:4">
      <c r="B18" t="s">
        <v>2</v>
      </c>
      <c r="C18" s="1">
        <f t="array" ref="C18:D19">MMULT(Z,xhatinv)</f>
        <v>0.15</v>
      </c>
      <c r="D18" s="1">
        <v>0.25</v>
      </c>
    </row>
    <row r="19" spans="2:4">
      <c r="C19" s="4">
        <v>0.2</v>
      </c>
      <c r="D19" s="1">
        <v>0.05</v>
      </c>
    </row>
    <row r="21" spans="2:4">
      <c r="B21" t="s">
        <v>13</v>
      </c>
      <c r="C21" s="1">
        <f t="array" ref="C21:D22">_xlfn.MUNIT(2)</f>
        <v>1</v>
      </c>
      <c r="D21" s="1">
        <v>0</v>
      </c>
    </row>
    <row r="22" spans="2:4">
      <c r="C22" s="1">
        <v>0</v>
      </c>
      <c r="D22" s="1">
        <v>1</v>
      </c>
    </row>
    <row r="24" spans="2:4">
      <c r="B24" t="s">
        <v>3</v>
      </c>
      <c r="C24" s="1">
        <f t="array" ref="C24:D25">MINVERSE((identity-REQ))</f>
        <v>1.254125412541254</v>
      </c>
      <c r="D24" s="1">
        <v>0.33003300330033003</v>
      </c>
    </row>
    <row r="25" spans="2:4">
      <c r="C25" s="1">
        <v>0.26402640264026406</v>
      </c>
      <c r="D25" s="1">
        <v>1.1221122112211221</v>
      </c>
    </row>
    <row r="27" spans="2:4">
      <c r="B27" t="s">
        <v>14</v>
      </c>
      <c r="C27" s="1">
        <f t="array" ref="C27:C28">MMULT(L,fdem)</f>
        <v>1000</v>
      </c>
    </row>
    <row r="28" spans="2:4">
      <c r="C28" s="1">
        <v>2000.0000000000002</v>
      </c>
    </row>
    <row r="30" spans="2:4">
      <c r="B30" t="s">
        <v>15</v>
      </c>
      <c r="C30" s="1">
        <v>600</v>
      </c>
    </row>
    <row r="31" spans="2:4">
      <c r="C31" s="1">
        <v>1500</v>
      </c>
    </row>
    <row r="33" spans="2:7">
      <c r="B33" t="s">
        <v>4</v>
      </c>
      <c r="C33" s="1">
        <f t="array" ref="C33:C34">MMULT(L,fdemnew)</f>
        <v>1247.5247524752474</v>
      </c>
    </row>
    <row r="34" spans="2:7">
      <c r="C34" s="1">
        <v>1841.5841584158416</v>
      </c>
    </row>
    <row r="36" spans="2:7">
      <c r="B36" t="s">
        <v>5</v>
      </c>
      <c r="C36" s="1" cm="1">
        <f t="array" ref="C36:D37">IF(C33:C34=TRANSPOSE(C33:C34),C33:C34,0)</f>
        <v>1247.5247524752474</v>
      </c>
      <c r="D36" s="1">
        <v>0</v>
      </c>
    </row>
    <row r="37" spans="2:7">
      <c r="C37" s="1">
        <v>0</v>
      </c>
      <c r="D37" s="1">
        <v>1841.5841584158416</v>
      </c>
    </row>
    <row r="39" spans="2:7">
      <c r="B39" t="s">
        <v>6</v>
      </c>
      <c r="C39" s="3" cm="1">
        <f t="array" ref="C39:D40">MMULT(REQ,xnewdiag)</f>
        <v>187.12871287128709</v>
      </c>
      <c r="D39" s="3">
        <v>460.39603960396039</v>
      </c>
    </row>
    <row r="40" spans="2:7">
      <c r="C40" s="3">
        <v>249.50495049504948</v>
      </c>
      <c r="D40" s="3">
        <v>92.079207920792086</v>
      </c>
    </row>
    <row r="42" spans="2:7">
      <c r="B42" s="5" t="s">
        <v>16</v>
      </c>
    </row>
    <row r="44" spans="2:7">
      <c r="C44" t="s">
        <v>9</v>
      </c>
      <c r="D44" t="s">
        <v>10</v>
      </c>
      <c r="E44" t="s">
        <v>11</v>
      </c>
      <c r="G44" t="s">
        <v>12</v>
      </c>
    </row>
    <row r="45" spans="2:7">
      <c r="B45" t="s">
        <v>9</v>
      </c>
      <c r="C45" s="8">
        <f t="array" ref="C45:D46">C39:D40</f>
        <v>187.12871287128709</v>
      </c>
      <c r="D45" s="8">
        <v>460.39603960396039</v>
      </c>
      <c r="E45" s="7">
        <f t="array" ref="E45:E46">C30:C31</f>
        <v>600</v>
      </c>
      <c r="G45" s="6">
        <f>SUM(C45:E45)</f>
        <v>1247.5247524752476</v>
      </c>
    </row>
    <row r="46" spans="2:7">
      <c r="B46" t="s">
        <v>10</v>
      </c>
      <c r="C46" s="8">
        <v>249.50495049504948</v>
      </c>
      <c r="D46" s="8">
        <v>92.079207920792086</v>
      </c>
      <c r="E46" s="7">
        <v>1500</v>
      </c>
      <c r="G46" s="6">
        <f>SUM(C46:E46)</f>
        <v>1841.5841584158416</v>
      </c>
    </row>
    <row r="48" spans="2:7">
      <c r="B48" t="s">
        <v>7</v>
      </c>
      <c r="C48" s="3">
        <f>C49-SUM(C45:C46)</f>
        <v>810.89108910891105</v>
      </c>
      <c r="D48" s="3">
        <f>D49-SUM(D45:D46)</f>
        <v>1289.1089108910892</v>
      </c>
      <c r="E48" s="3">
        <v>1100</v>
      </c>
    </row>
    <row r="49" spans="2:5">
      <c r="B49" t="s">
        <v>8</v>
      </c>
      <c r="C49" s="6">
        <f>G45</f>
        <v>1247.5247524752476</v>
      </c>
      <c r="D49" s="6">
        <f>G46</f>
        <v>1841.5841584158416</v>
      </c>
      <c r="E49">
        <v>3200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Modelo Insumo-Producto</vt:lpstr>
      <vt:lpstr>fdem</vt:lpstr>
      <vt:lpstr>fdemnew</vt:lpstr>
      <vt:lpstr>identity</vt:lpstr>
      <vt:lpstr>L</vt:lpstr>
      <vt:lpstr>REQ</vt:lpstr>
      <vt:lpstr>xhat</vt:lpstr>
      <vt:lpstr>xhatinv</vt:lpstr>
      <vt:lpstr>xnewdiag</vt:lpstr>
      <vt:lpstr>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Vargas</dc:creator>
  <cp:lastModifiedBy>Renato Vargas</cp:lastModifiedBy>
  <dcterms:created xsi:type="dcterms:W3CDTF">2025-06-18T23:47:34Z</dcterms:created>
  <dcterms:modified xsi:type="dcterms:W3CDTF">2026-10-07T15:33:36Z</dcterms:modified>
</cp:coreProperties>
</file>