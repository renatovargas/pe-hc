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Insumo-Producto" sheetId="1" state="visible" r:id="rId3"/>
    <sheet name="Info" sheetId="2" state="visible" r:id="rId4"/>
  </sheets>
  <definedNames>
    <definedName function="false" hidden="false" name="A" vbProcedure="false">#ref!</definedName>
    <definedName function="false" hidden="false" name="AINV" vbProcedure="false">#ref!</definedName>
    <definedName function="false" hidden="false" name="Anew" vbProcedure="false">#ref!</definedName>
    <definedName function="false" hidden="false" name="b" vbProcedure="false">#ref!</definedName>
    <definedName function="false" hidden="false" name="Calculated_Relationship_HS12___HS07" vbProcedure="false">'[1]correlation hs2012-hs2007'!#ref!</definedName>
    <definedName function="false" hidden="false" name="CMAT" vbProcedure="false">#ref!</definedName>
    <definedName function="false" hidden="false" name="COEF" vbProcedure="false">#ref!</definedName>
    <definedName function="false" hidden="false" name="deltafnew" vbProcedure="false">'Modelo Insumo-Producto'!$C$56:$C$57</definedName>
    <definedName function="false" hidden="false" name="fdem" vbProcedure="false">'Modelo Insumo-Producto'!$E$4:$E$5</definedName>
    <definedName function="false" hidden="false" name="fdemnew" vbProcedure="false">'Modelo Insumo-Producto'!$C$33:$C$34</definedName>
    <definedName function="false" hidden="false" name="gprime" vbProcedure="false">#ref!</definedName>
    <definedName function="false" hidden="false" name="GPRIMEHAT" vbProcedure="false">#ref!</definedName>
    <definedName function="false" hidden="false" name="GPRIMEHATINV" vbProcedure="false">#ref!</definedName>
    <definedName function="false" hidden="false" name="I" vbProcedure="false">#ref!</definedName>
    <definedName function="false" hidden="false" name="identity" vbProcedure="false">'Modelo Insumo-Producto'!$C$21:$D$22</definedName>
    <definedName function="false" hidden="false" name="IP" vbProcedure="false">#ref!</definedName>
    <definedName function="false" hidden="false" name="ISUM" vbProcedure="false">#ref!</definedName>
    <definedName function="false" hidden="false" name="ISUM2" vbProcedure="false">#ref!</definedName>
    <definedName function="false" hidden="false" name="L" vbProcedure="false">'Modelo Insumo-Producto'!$C$27:$D$28</definedName>
    <definedName function="false" hidden="false" name="Lnew" vbProcedure="false">#ref!</definedName>
    <definedName function="false" hidden="false" name="M" vbProcedure="false">#ref!</definedName>
    <definedName function="false" hidden="false" name="Matrix1" vbProcedure="false">#ref!</definedName>
    <definedName function="false" hidden="false" name="N" vbProcedure="false">#ref!</definedName>
    <definedName function="false" hidden="false" name="O" vbProcedure="false">#ref!</definedName>
    <definedName function="false" hidden="false" name="Q" vbProcedure="false">#ref!</definedName>
    <definedName function="false" hidden="false" name="REQ" vbProcedure="false">'Modelo Insumo-Producto'!$C$18:$D$19</definedName>
    <definedName function="false" hidden="false" name="S" vbProcedure="false">#ref!</definedName>
    <definedName function="false" hidden="false" name="Sectors" vbProcedure="false">#ref!</definedName>
    <definedName function="false" hidden="false" name="sector_list" vbProcedure="false">#ref!</definedName>
    <definedName function="false" hidden="false" name="SUNBURST" vbProcedure="false">'[4]35-sector'!#ref!</definedName>
    <definedName function="false" hidden="false" name="TM" vbProcedure="false">#ref!</definedName>
    <definedName function="false" hidden="false" name="xhat" vbProcedure="false">'Modelo Insumo-Producto'!$C$12:$D$13</definedName>
    <definedName function="false" hidden="false" name="xhatinv" vbProcedure="false">'Modelo Insumo-Producto'!$C$15:$D$16</definedName>
    <definedName function="false" hidden="false" name="xnew" vbProcedure="false">'Modelo Insumo-Producto'!$C$36:$C$37</definedName>
    <definedName function="false" hidden="false" name="xnewdiag" vbProcedure="false">'Modelo Insumo-Producto'!$C$39:$D$40</definedName>
    <definedName function="false" hidden="false" name="xoriginal" vbProcedure="false">'Modelo Insumo-Producto'!$G$4:$G$5</definedName>
    <definedName function="false" hidden="false" name="Z" vbProcedure="false">'Modelo Insumo-Producto'!$C$4:$D$5</definedName>
    <definedName function="false" hidden="false" name="ZETA" vbProcedure="false">#ref!</definedName>
    <definedName function="false" hidden="false" name="Znew" vbProcedure="false">'Modelo Insumo-Producto'!$C$42:$D$43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<sst xmlns="http://schemas.openxmlformats.org/spreadsheetml/2006/main" count="39" uniqueCount="31">
  <si>
    <t xml:space="preserve">Agricultura</t>
  </si>
  <si>
    <t xml:space="preserve">Manufacturas</t>
  </si>
  <si>
    <t xml:space="preserve">Demanda Final</t>
  </si>
  <si>
    <t xml:space="preserve">Producto total (x)</t>
  </si>
  <si>
    <t xml:space="preserve">Pago a factores</t>
  </si>
  <si>
    <t xml:space="preserve">Total insumos</t>
  </si>
  <si>
    <t xml:space="preserve">xhat</t>
  </si>
  <si>
    <t xml:space="preserve">xhat ^-1</t>
  </si>
  <si>
    <t xml:space="preserve">A = Z * xhat ^-1 =</t>
  </si>
  <si>
    <t xml:space="preserve">Matriz identidad</t>
  </si>
  <si>
    <t xml:space="preserve">(I-A) =</t>
  </si>
  <si>
    <t xml:space="preserve">(I-A)^-1=L =</t>
  </si>
  <si>
    <t xml:space="preserve">Leontief</t>
  </si>
  <si>
    <t xml:space="preserve">Calibración</t>
  </si>
  <si>
    <t xml:space="preserve">Nueva Demanda</t>
  </si>
  <si>
    <t xml:space="preserve">L * Fnew = Xnew =</t>
  </si>
  <si>
    <t xml:space="preserve">Xnueva diag =</t>
  </si>
  <si>
    <t xml:space="preserve">A * xnueva diag =</t>
  </si>
  <si>
    <t xml:space="preserve">Znueva</t>
  </si>
  <si>
    <t xml:space="preserve">Nuevo cuadro insumo-producto</t>
  </si>
  <si>
    <t xml:space="preserve">Pagos</t>
  </si>
  <si>
    <t xml:space="preserve">Gastos totales</t>
  </si>
  <si>
    <t xml:space="preserve">Cambios en lugar de niveles</t>
  </si>
  <si>
    <t xml:space="preserve">deltafnueva =</t>
  </si>
  <si>
    <t xml:space="preserve">deltaxnueva</t>
  </si>
  <si>
    <t xml:space="preserve">tipo de cambio tc =</t>
  </si>
  <si>
    <t xml:space="preserve">lcf =</t>
  </si>
  <si>
    <t xml:space="preserve">f en moneda local</t>
  </si>
  <si>
    <t xml:space="preserve">Preparado por Renato Vargas</t>
  </si>
  <si>
    <t xml:space="preserve">Economista / Analista de datos</t>
  </si>
  <si>
    <t xml:space="preserve">https://renatovargas.com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</si>
</sst>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0.0_)"/>
    <numFmt numFmtId="167" formatCode="0.00"/>
    <numFmt numFmtId="168" formatCode="0.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2"/>
      <name val="Courier New"/>
      <family val="3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theme="1"/>
      <name val="Aptos Narrow"/>
      <family val="0"/>
      <charset val="1"/>
    </font>
    <font>
      <u val="single"/>
      <sz val="11"/>
      <color theme="1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5999"/>
        <bgColor rgb="FFB5E6A2"/>
      </patternFill>
    </fill>
    <fill>
      <patternFill patternType="solid">
        <fgColor rgb="FFB5E6A2"/>
        <bgColor rgb="FFB4E5A2"/>
      </patternFill>
    </fill>
    <fill>
      <patternFill patternType="solid">
        <fgColor rgb="FFF2CEEF"/>
        <bgColor rgb="FFF2CFEE"/>
      </patternFill>
    </fill>
    <fill>
      <patternFill patternType="solid">
        <fgColor rgb="FFA6C9EC"/>
        <bgColor rgb="FFA6CAEC"/>
      </patternFill>
    </fill>
    <fill>
      <patternFill patternType="solid">
        <fgColor theme="3" tint="0.7499"/>
        <bgColor rgb="FFA6C9EC"/>
      </patternFill>
    </fill>
    <fill>
      <patternFill patternType="solid">
        <fgColor theme="8" tint="0.7999"/>
        <bgColor rgb="FFF2CEEF"/>
      </patternFill>
    </fill>
  </fills>
  <borders count="1">
    <border diagonalUp="false" diagonalDown="false">
      <left/>
      <right/>
      <top/>
      <bottom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 3 2" xfId="21"/>
    <cellStyle name="Comma 3" xfId="22"/>
    <cellStyle name="Normal 3 2" xfId="23"/>
    <cellStyle name="Normal 6 3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6C9EC"/>
      <rgbColor rgb="FF808080"/>
      <rgbColor rgb="FF9999FF"/>
      <rgbColor rgb="FF993366"/>
      <rgbColor rgb="FFFFFFCC"/>
      <rgbColor rgb="FFB4E5A2"/>
      <rgbColor rgb="FF660066"/>
      <rgbColor rgb="FFFF8080"/>
      <rgbColor rgb="FF0066CC"/>
      <rgbColor rgb="FFF2CE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5E6A2"/>
      <rgbColor rgb="FFFFFF99"/>
      <rgbColor rgb="FFA6CAEC"/>
      <rgbColor rgb="FFFF99CC"/>
      <rgbColor rgb="FFCC99FF"/>
      <rgbColor rgb="FFF2CFE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enatovarga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65"/>
  <sheetViews>
    <sheetView showFormulas="false" showGridLines="true" showRowColHeaders="true" showZeros="true" rightToLeft="false" tabSelected="true" showOutlineSymbols="true" defaultGridColor="true" view="normal" topLeftCell="B31" colorId="64" zoomScale="200" zoomScaleNormal="200" zoomScalePageLayoutView="100" workbookViewId="0">
      <selection pane="topLeft" activeCell="E40" activeCellId="0" sqref="E40"/>
    </sheetView>
  </sheetViews>
  <sheetFormatPr defaultColWidth="9.00390625" defaultRowHeight="15" customHeight="false" zeroHeight="false" outlineLevelRow="0" outlineLevelCol="0"/>
  <cols>
    <col collapsed="false" customWidth="true" hidden="false" outlineLevel="0" max="2" min="2" style="0" width="16.83"/>
    <col collapsed="false" customWidth="true" hidden="false" outlineLevel="0" max="3" min="3" style="0" width="16.67"/>
    <col collapsed="false" customWidth="true" hidden="false" outlineLevel="0" max="4" min="4" style="0" width="14"/>
    <col collapsed="false" customWidth="true" hidden="false" outlineLevel="0" max="5" min="5" style="0" width="13.34"/>
    <col collapsed="false" customWidth="true" hidden="false" outlineLevel="0" max="7" min="7" style="0" width="13.67"/>
  </cols>
  <sheetData>
    <row r="3" customFormat="false" ht="15" hidden="false" customHeight="false" outlineLevel="0" collapsed="false">
      <c r="C3" s="0" t="s">
        <v>0</v>
      </c>
      <c r="D3" s="0" t="s">
        <v>1</v>
      </c>
      <c r="E3" s="0" t="s">
        <v>2</v>
      </c>
      <c r="G3" s="0" t="s">
        <v>3</v>
      </c>
    </row>
    <row r="4" customFormat="false" ht="15" hidden="false" customHeight="false" outlineLevel="0" collapsed="false">
      <c r="B4" s="0" t="s">
        <v>0</v>
      </c>
      <c r="C4" s="1" t="n">
        <v>150</v>
      </c>
      <c r="D4" s="2" t="n">
        <v>500</v>
      </c>
      <c r="E4" s="3" t="n">
        <v>350</v>
      </c>
      <c r="G4" s="4" t="n">
        <f aca="false">SUM(C4:E4)</f>
        <v>1000</v>
      </c>
    </row>
    <row r="5" customFormat="false" ht="15" hidden="false" customHeight="false" outlineLevel="0" collapsed="false">
      <c r="B5" s="0" t="s">
        <v>1</v>
      </c>
      <c r="C5" s="1" t="n">
        <v>200</v>
      </c>
      <c r="D5" s="1" t="n">
        <v>100</v>
      </c>
      <c r="E5" s="3" t="n">
        <v>1700</v>
      </c>
      <c r="G5" s="5" t="n">
        <f aca="false">SUM(C5:E5)</f>
        <v>2000</v>
      </c>
    </row>
    <row r="7" customFormat="false" ht="15" hidden="false" customHeight="false" outlineLevel="0" collapsed="false">
      <c r="B7" s="0" t="s">
        <v>4</v>
      </c>
      <c r="C7" s="0" t="n">
        <v>650</v>
      </c>
      <c r="D7" s="0" t="n">
        <v>1400</v>
      </c>
      <c r="E7" s="0" t="n">
        <v>1100</v>
      </c>
    </row>
    <row r="8" customFormat="false" ht="15" hidden="false" customHeight="false" outlineLevel="0" collapsed="false">
      <c r="B8" s="0" t="s">
        <v>5</v>
      </c>
      <c r="C8" s="5" t="n">
        <v>1000</v>
      </c>
      <c r="D8" s="5" t="n">
        <v>2000</v>
      </c>
      <c r="E8" s="0" t="n">
        <v>3150</v>
      </c>
    </row>
    <row r="12" customFormat="false" ht="15" hidden="false" customHeight="false" outlineLevel="0" collapsed="false">
      <c r="B12" s="0" t="s">
        <v>6</v>
      </c>
      <c r="C12" s="5" t="n">
        <f aca="false" t="array" ref="C12:D13">IF(G4:G5=TRANSPOSE(G4:G5),G4:G5,0)</f>
        <v>1000</v>
      </c>
      <c r="D12" s="5" t="n">
        <v>0</v>
      </c>
    </row>
    <row r="13" customFormat="false" ht="15" hidden="false" customHeight="false" outlineLevel="0" collapsed="false">
      <c r="C13" s="5" t="n">
        <v>0</v>
      </c>
      <c r="D13" s="5" t="n">
        <v>2000</v>
      </c>
    </row>
    <row r="15" customFormat="false" ht="15" hidden="false" customHeight="false" outlineLevel="0" collapsed="false">
      <c r="B15" s="0" t="s">
        <v>7</v>
      </c>
      <c r="C15" s="5" t="n">
        <f aca="false" t="array" ref="C15:D16">MINVERSE(xhat)</f>
        <v>0.001</v>
      </c>
      <c r="D15" s="5" t="n">
        <v>0</v>
      </c>
    </row>
    <row r="16" customFormat="false" ht="15" hidden="false" customHeight="false" outlineLevel="0" collapsed="false">
      <c r="C16" s="5" t="n">
        <v>0</v>
      </c>
      <c r="D16" s="5" t="n">
        <v>0.0005</v>
      </c>
    </row>
    <row r="18" customFormat="false" ht="15" hidden="false" customHeight="false" outlineLevel="0" collapsed="false">
      <c r="B18" s="0" t="s">
        <v>8</v>
      </c>
      <c r="C18" s="5" t="n">
        <f aca="false" t="array" ref="C18:D19">MMULT(Z,xhatinv)</f>
        <v>0.15</v>
      </c>
      <c r="D18" s="5" t="n">
        <v>0.25</v>
      </c>
    </row>
    <row r="19" customFormat="false" ht="15" hidden="false" customHeight="false" outlineLevel="0" collapsed="false">
      <c r="C19" s="6" t="n">
        <v>0.2</v>
      </c>
      <c r="D19" s="5" t="n">
        <v>0.05</v>
      </c>
    </row>
    <row r="21" customFormat="false" ht="15" hidden="false" customHeight="false" outlineLevel="0" collapsed="false">
      <c r="B21" s="0" t="s">
        <v>9</v>
      </c>
      <c r="C21" s="5" t="n">
        <f aca="false" t="array" ref="C21:D22">_xlfn.MUNIT(2)</f>
        <v>1</v>
      </c>
      <c r="D21" s="5" t="n">
        <v>0</v>
      </c>
    </row>
    <row r="22" customFormat="false" ht="15" hidden="false" customHeight="false" outlineLevel="0" collapsed="false">
      <c r="C22" s="5" t="n">
        <v>0</v>
      </c>
      <c r="D22" s="5" t="n">
        <v>1</v>
      </c>
    </row>
    <row r="24" customFormat="false" ht="15" hidden="false" customHeight="false" outlineLevel="0" collapsed="false">
      <c r="B24" s="0" t="s">
        <v>10</v>
      </c>
      <c r="C24" s="5" t="n">
        <f aca="false" t="array" ref="C24:D25">identity-REQ</f>
        <v>0.85</v>
      </c>
      <c r="D24" s="5" t="n">
        <v>-0.25</v>
      </c>
    </row>
    <row r="25" customFormat="false" ht="15" hidden="false" customHeight="false" outlineLevel="0" collapsed="false">
      <c r="C25" s="5" t="n">
        <v>-0.2</v>
      </c>
      <c r="D25" s="5" t="n">
        <v>0.95</v>
      </c>
    </row>
    <row r="27" customFormat="false" ht="15" hidden="false" customHeight="false" outlineLevel="0" collapsed="false">
      <c r="B27" s="0" t="s">
        <v>11</v>
      </c>
      <c r="C27" s="5" t="n">
        <f aca="false" t="array" ref="C27:D28">MINVERSE((identity-REQ))</f>
        <v>1.25412541254125</v>
      </c>
      <c r="D27" s="5" t="n">
        <v>0.33003300330033</v>
      </c>
    </row>
    <row r="28" customFormat="false" ht="15" hidden="false" customHeight="false" outlineLevel="0" collapsed="false">
      <c r="B28" s="7" t="s">
        <v>12</v>
      </c>
      <c r="C28" s="5" t="n">
        <v>0.264026402640264</v>
      </c>
      <c r="D28" s="5" t="n">
        <v>1.12211221122112</v>
      </c>
    </row>
    <row r="30" customFormat="false" ht="15" hidden="false" customHeight="false" outlineLevel="0" collapsed="false">
      <c r="B30" s="0" t="s">
        <v>13</v>
      </c>
      <c r="C30" s="5" t="n">
        <f aca="false" t="array" ref="C30:C31">MMULT(L,fdem)</f>
        <v>1000</v>
      </c>
    </row>
    <row r="31" customFormat="false" ht="15" hidden="false" customHeight="false" outlineLevel="0" collapsed="false">
      <c r="C31" s="5" t="n">
        <v>2000</v>
      </c>
    </row>
    <row r="33" customFormat="false" ht="15" hidden="false" customHeight="false" outlineLevel="0" collapsed="false">
      <c r="B33" s="0" t="s">
        <v>14</v>
      </c>
      <c r="C33" s="5" t="n">
        <v>600</v>
      </c>
    </row>
    <row r="34" customFormat="false" ht="15" hidden="false" customHeight="false" outlineLevel="0" collapsed="false">
      <c r="C34" s="5" t="n">
        <v>1500</v>
      </c>
    </row>
    <row r="36" customFormat="false" ht="15" hidden="false" customHeight="false" outlineLevel="0" collapsed="false">
      <c r="B36" s="0" t="s">
        <v>15</v>
      </c>
      <c r="C36" s="5" t="n">
        <f aca="false" t="array" ref="C36:C37">MMULT(L,fdemnew)</f>
        <v>1247.52475247525</v>
      </c>
    </row>
    <row r="37" customFormat="false" ht="15" hidden="false" customHeight="false" outlineLevel="0" collapsed="false">
      <c r="C37" s="5" t="n">
        <v>1841.58415841584</v>
      </c>
    </row>
    <row r="39" customFormat="false" ht="15" hidden="false" customHeight="false" outlineLevel="0" collapsed="false">
      <c r="B39" s="0" t="s">
        <v>16</v>
      </c>
      <c r="C39" s="5" t="n">
        <f aca="false" t="array" ref="C39:D40">IF(C36:C37=TRANSPOSE(C36:C37),C36:C37,0)</f>
        <v>1247.52475247525</v>
      </c>
      <c r="D39" s="5" t="n">
        <v>0</v>
      </c>
    </row>
    <row r="40" customFormat="false" ht="15" hidden="false" customHeight="false" outlineLevel="0" collapsed="false">
      <c r="C40" s="5" t="n">
        <v>0</v>
      </c>
      <c r="D40" s="5" t="n">
        <v>1841.58415841584</v>
      </c>
    </row>
    <row r="42" customFormat="false" ht="15" hidden="false" customHeight="false" outlineLevel="0" collapsed="false">
      <c r="B42" s="0" t="s">
        <v>17</v>
      </c>
      <c r="C42" s="8" t="n">
        <f aca="false" t="array" ref="C42:D43">MMULT(REQ,xnewdiag)</f>
        <v>187.128712871287</v>
      </c>
      <c r="D42" s="8" t="n">
        <v>460.39603960396</v>
      </c>
    </row>
    <row r="43" customFormat="false" ht="15" hidden="false" customHeight="false" outlineLevel="0" collapsed="false">
      <c r="B43" s="0" t="s">
        <v>18</v>
      </c>
      <c r="C43" s="8" t="n">
        <v>249.504950495049</v>
      </c>
      <c r="D43" s="8" t="n">
        <v>92.0792079207921</v>
      </c>
    </row>
    <row r="45" customFormat="false" ht="15" hidden="false" customHeight="false" outlineLevel="0" collapsed="false">
      <c r="B45" s="9" t="s">
        <v>19</v>
      </c>
    </row>
    <row r="47" customFormat="false" ht="15" hidden="false" customHeight="false" outlineLevel="0" collapsed="false">
      <c r="C47" s="0" t="s">
        <v>0</v>
      </c>
      <c r="D47" s="0" t="s">
        <v>1</v>
      </c>
      <c r="E47" s="0" t="s">
        <v>2</v>
      </c>
      <c r="G47" s="0" t="s">
        <v>3</v>
      </c>
    </row>
    <row r="48" customFormat="false" ht="15" hidden="false" customHeight="false" outlineLevel="0" collapsed="false">
      <c r="B48" s="0" t="s">
        <v>0</v>
      </c>
      <c r="C48" s="10" t="n">
        <f aca="false" t="array" ref="C48:D49">C42:D43</f>
        <v>187.128712871287</v>
      </c>
      <c r="D48" s="10" t="n">
        <v>460.39603960396</v>
      </c>
      <c r="E48" s="11" t="n">
        <f aca="false" t="array" ref="E48:E49">C33:C34</f>
        <v>600</v>
      </c>
      <c r="G48" s="12" t="n">
        <f aca="false">SUM(C48:E48)</f>
        <v>1247.52475247525</v>
      </c>
    </row>
    <row r="49" customFormat="false" ht="15" hidden="false" customHeight="false" outlineLevel="0" collapsed="false">
      <c r="B49" s="0" t="s">
        <v>1</v>
      </c>
      <c r="C49" s="10" t="n">
        <v>249.504950495049</v>
      </c>
      <c r="D49" s="10" t="n">
        <v>92.0792079207921</v>
      </c>
      <c r="E49" s="11" t="n">
        <v>1500</v>
      </c>
      <c r="G49" s="12" t="n">
        <f aca="false">SUM(C49:E49)</f>
        <v>1841.58415841584</v>
      </c>
    </row>
    <row r="51" customFormat="false" ht="15" hidden="false" customHeight="false" outlineLevel="0" collapsed="false">
      <c r="B51" s="0" t="s">
        <v>20</v>
      </c>
      <c r="C51" s="13" t="n">
        <f aca="false">C52-SUM(C48:C49)</f>
        <v>810.891089108911</v>
      </c>
      <c r="D51" s="13" t="n">
        <f aca="false">D52-SUM(D48:D49)</f>
        <v>1289.10891089109</v>
      </c>
      <c r="E51" s="13" t="n">
        <v>1100</v>
      </c>
    </row>
    <row r="52" customFormat="false" ht="15" hidden="false" customHeight="false" outlineLevel="0" collapsed="false">
      <c r="B52" s="0" t="s">
        <v>21</v>
      </c>
      <c r="C52" s="12" t="n">
        <f aca="false">G48</f>
        <v>1247.52475247525</v>
      </c>
      <c r="D52" s="12" t="n">
        <f aca="false">G49</f>
        <v>1841.58415841584</v>
      </c>
      <c r="E52" s="0" t="n">
        <v>3200</v>
      </c>
    </row>
    <row r="54" customFormat="false" ht="15" hidden="false" customHeight="false" outlineLevel="0" collapsed="false">
      <c r="B54" s="14" t="s">
        <v>22</v>
      </c>
    </row>
    <row r="56" customFormat="false" ht="15" hidden="false" customHeight="false" outlineLevel="0" collapsed="false">
      <c r="B56" s="0" t="s">
        <v>23</v>
      </c>
      <c r="C56" s="5" t="n">
        <f aca="false" t="array" ref="C56:C57">fdemnew-fdem</f>
        <v>250</v>
      </c>
    </row>
    <row r="57" customFormat="false" ht="15" hidden="false" customHeight="false" outlineLevel="0" collapsed="false">
      <c r="C57" s="5" t="n">
        <v>-200</v>
      </c>
    </row>
    <row r="59" customFormat="false" ht="15" hidden="false" customHeight="false" outlineLevel="0" collapsed="false">
      <c r="B59" s="0" t="s">
        <v>24</v>
      </c>
      <c r="C59" s="6" t="n">
        <f aca="false" t="array" ref="C59:C60">xnew-xoriginal</f>
        <v>247.524752475247</v>
      </c>
    </row>
    <row r="60" customFormat="false" ht="15" hidden="false" customHeight="false" outlineLevel="0" collapsed="false">
      <c r="C60" s="6" t="n">
        <v>-158.415841584158</v>
      </c>
    </row>
    <row r="62" customFormat="false" ht="15" hidden="false" customHeight="false" outlineLevel="0" collapsed="false">
      <c r="B62" s="0" t="s">
        <v>25</v>
      </c>
      <c r="C62" s="5" t="n">
        <v>3.44</v>
      </c>
    </row>
    <row r="64" customFormat="false" ht="15" hidden="false" customHeight="false" outlineLevel="0" collapsed="false">
      <c r="B64" s="0" t="s">
        <v>26</v>
      </c>
      <c r="C64" s="5" t="n">
        <f aca="false" t="array" ref="C64:C65">deltafnew*C62</f>
        <v>860</v>
      </c>
    </row>
    <row r="65" customFormat="false" ht="15" hidden="false" customHeight="false" outlineLevel="0" collapsed="false">
      <c r="B65" s="0" t="s">
        <v>27</v>
      </c>
      <c r="C65" s="5" t="n">
        <v>-688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A3" activeCellId="0" sqref="A3"/>
    </sheetView>
  </sheetViews>
  <sheetFormatPr defaultColWidth="10.34375" defaultRowHeight="15" customHeight="false" zeroHeight="false" outlineLevelRow="0" outlineLevelCol="0"/>
  <sheetData>
    <row r="1" customFormat="false" ht="15" hidden="false" customHeight="false" outlineLevel="0" collapsed="false">
      <c r="A1" s="0" t="s">
        <v>28</v>
      </c>
    </row>
    <row r="2" customFormat="false" ht="15" hidden="false" customHeight="false" outlineLevel="0" collapsed="false">
      <c r="A2" s="0" t="s">
        <v>29</v>
      </c>
    </row>
    <row r="3" customFormat="false" ht="14.65" hidden="false" customHeight="false" outlineLevel="0" collapsed="false">
      <c r="A3" s="15" t="s">
        <v>30</v>
      </c>
    </row>
  </sheetData>
  <hyperlinks>
    <hyperlink ref="A3" r:id="rId1" display="https://renatovargas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2025-06-18T23:47:34Z</dcterms:created>
  <dc:creator>Renato Vargas</dc:creator>
  <dc:description/>
  <dc:language>en-US</dc:language>
  <cp:lastModifiedBy/>
  <dcterms:modified xsi:type="dcterms:W3CDTF">2026-10-14T16:44:48Z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