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killari\CN_BASE2007\Cuentas_Ambientales_de_Energia_Emisiones_al_Aire\Entrega_final\"/>
    </mc:Choice>
  </mc:AlternateContent>
  <xr:revisionPtr revIDLastSave="0" documentId="13_ncr:1_{2790A3A1-47FE-4A44-8EF9-8E557A881A23}" xr6:coauthVersionLast="47" xr6:coauthVersionMax="47" xr10:uidLastSave="{00000000-0000-0000-0000-000000000000}"/>
  <bookViews>
    <workbookView xWindow="-120" yWindow="-120" windowWidth="29040" windowHeight="15720" xr2:uid="{A69B4DA8-39A7-467F-88F0-86097A5B8F84}"/>
  </bookViews>
  <sheets>
    <sheet name="Indice" sheetId="16" r:id="rId1"/>
    <sheet name="cou_f_2019" sheetId="1" r:id="rId2"/>
    <sheet name="cou_f_2020" sheetId="4" r:id="rId3"/>
    <sheet name="cou_f_2021" sheetId="5" r:id="rId4"/>
    <sheet name="aea_1" sheetId="15" r:id="rId5"/>
    <sheet name="aea_2" sheetId="18" r:id="rId6"/>
    <sheet name="aea_3" sheetId="19" r:id="rId7"/>
    <sheet name="aea_4" sheetId="17" r:id="rId8"/>
    <sheet name="int_pbi_1" sheetId="11" r:id="rId9"/>
    <sheet name="int_pbi_2" sheetId="20" r:id="rId10"/>
    <sheet name="int_ae_1" sheetId="12" r:id="rId11"/>
    <sheet name="int_ae_2" sheetId="21" r:id="rId12"/>
    <sheet name="int_ae_3" sheetId="22" r:id="rId13"/>
    <sheet name="int_ae_4" sheetId="23" r:id="rId14"/>
    <sheet name="int_ae_5" sheetId="14" r:id="rId15"/>
    <sheet name="int_ae_6" sheetId="24" r:id="rId16"/>
    <sheet name="int_ae_7" sheetId="25" r:id="rId17"/>
    <sheet name="int_ae_8" sheetId="26" r:id="rId18"/>
  </sheets>
  <definedNames>
    <definedName name="_xlnm.Print_Area" localSheetId="4">aea_1!$A$1:$D$26</definedName>
    <definedName name="_xlnm.Print_Area" localSheetId="5">aea_2!$A$1:$D$27</definedName>
    <definedName name="_xlnm.Print_Area" localSheetId="6">aea_3!$A$1:$D$26</definedName>
    <definedName name="_xlnm.Print_Area" localSheetId="7">aea_4!$A$1:$D$26</definedName>
    <definedName name="_xlnm.Print_Area" localSheetId="1">cou_f_2019!$A$1:$Q$20</definedName>
    <definedName name="_xlnm.Print_Area" localSheetId="2">cou_f_2020!$A$1:$Q$20</definedName>
    <definedName name="_xlnm.Print_Area" localSheetId="3">cou_f_2021!$A$1:$Q$20</definedName>
    <definedName name="_xlnm.Print_Area" localSheetId="0">Indice!$A$1:$U$29</definedName>
    <definedName name="_xlnm.Print_Area" localSheetId="10">int_ae_1!$A$1:$P$24</definedName>
    <definedName name="_xlnm.Print_Area" localSheetId="11">int_ae_2!$A$1:$H$23</definedName>
    <definedName name="_xlnm.Print_Area" localSheetId="12">int_ae_3!$A$1:$P$22</definedName>
    <definedName name="_xlnm.Print_Area" localSheetId="13">int_ae_4!$A$1:$P$24</definedName>
    <definedName name="_xlnm.Print_Area" localSheetId="14">int_ae_5!$A$1:$P$23</definedName>
    <definedName name="_xlnm.Print_Area" localSheetId="15">int_ae_6!$A$1:$H$24</definedName>
    <definedName name="_xlnm.Print_Area" localSheetId="16">int_ae_7!$A$1:$P$24</definedName>
    <definedName name="_xlnm.Print_Area" localSheetId="17">int_ae_8!$A$1:$P$24</definedName>
    <definedName name="_xlnm.Print_Area" localSheetId="8">int_pbi_1!$A$1:$L$16</definedName>
    <definedName name="_xlnm.Print_Area" localSheetId="9">int_pbi_2!$A$1:$L$15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16" l="1"/>
  <c r="F21" i="16"/>
  <c r="F20" i="16"/>
  <c r="F19" i="16"/>
  <c r="F18" i="16"/>
  <c r="F17" i="16"/>
  <c r="F16" i="16"/>
  <c r="F15" i="16"/>
  <c r="F14" i="16"/>
  <c r="F13" i="16"/>
  <c r="F12" i="16"/>
  <c r="F11" i="16"/>
  <c r="F10" i="16"/>
  <c r="F9" i="16"/>
  <c r="F8" i="16"/>
  <c r="F7" i="16"/>
  <c r="F6" i="16"/>
  <c r="E20" i="16"/>
  <c r="E21" i="16"/>
  <c r="D10" i="16"/>
  <c r="D11" i="16"/>
  <c r="D12" i="16"/>
  <c r="D13" i="16"/>
  <c r="D14" i="16"/>
  <c r="D15" i="16"/>
  <c r="D16" i="16"/>
  <c r="D17" i="16"/>
  <c r="D18" i="16"/>
  <c r="D19" i="16"/>
  <c r="D20" i="16"/>
  <c r="D21" i="16"/>
  <c r="D9" i="16"/>
  <c r="D8" i="16"/>
  <c r="D7" i="16"/>
  <c r="D6" i="16"/>
  <c r="E5" i="16"/>
  <c r="D5" i="16"/>
  <c r="R6" i="16"/>
  <c r="R7" i="16" l="1"/>
  <c r="E6" i="16"/>
  <c r="R8" i="16"/>
  <c r="E7" i="16"/>
  <c r="E8" i="16" l="1"/>
  <c r="R9" i="16"/>
  <c r="R10" i="16" l="1"/>
  <c r="E9" i="16"/>
  <c r="E10" i="16" l="1"/>
  <c r="R11" i="16"/>
  <c r="E11" i="16" l="1"/>
  <c r="R12" i="16"/>
  <c r="E12" i="16" l="1"/>
  <c r="R13" i="16"/>
  <c r="E13" i="16" l="1"/>
  <c r="R14" i="16"/>
  <c r="E14" i="16" l="1"/>
  <c r="R15" i="16"/>
  <c r="E15" i="16" l="1"/>
  <c r="R16" i="16"/>
  <c r="E16" i="16" l="1"/>
  <c r="R17" i="16"/>
  <c r="E17" i="16" l="1"/>
  <c r="R18" i="16"/>
  <c r="E18" i="16" l="1"/>
  <c r="R19" i="16"/>
  <c r="E19" i="16" s="1"/>
</calcChain>
</file>

<file path=xl/sharedStrings.xml><?xml version="1.0" encoding="utf-8"?>
<sst xmlns="http://schemas.openxmlformats.org/spreadsheetml/2006/main" count="548" uniqueCount="140">
  <si>
    <t>Tipo de gas</t>
  </si>
  <si>
    <t>Hogares</t>
  </si>
  <si>
    <t>Total oferta</t>
  </si>
  <si>
    <t>Flujos al ambiente</t>
  </si>
  <si>
    <t>Utilización total de emisiones</t>
  </si>
  <si>
    <t>A</t>
  </si>
  <si>
    <t>B</t>
  </si>
  <si>
    <t>C</t>
  </si>
  <si>
    <t>F</t>
  </si>
  <si>
    <t>Explotación de minas y canteras</t>
  </si>
  <si>
    <t>Emisiones descargadas al ambiente</t>
  </si>
  <si>
    <t>Manufactura</t>
  </si>
  <si>
    <t>D</t>
  </si>
  <si>
    <t>E</t>
  </si>
  <si>
    <t>Suministro de agua; alcantarillado, gestión de desechos y actividades de saneamiento</t>
  </si>
  <si>
    <t>Transporte y almacenamiento</t>
  </si>
  <si>
    <t>H</t>
  </si>
  <si>
    <t>IND-NS</t>
  </si>
  <si>
    <t>Servicios totales (excluyendo transporte y almacenamiento)</t>
  </si>
  <si>
    <r>
      <t>Dióxido de carbono (CO</t>
    </r>
    <r>
      <rPr>
        <vertAlign val="subscript"/>
        <sz val="9"/>
        <color indexed="8"/>
        <rFont val="Calibri"/>
        <family val="2"/>
        <scheme val="minor"/>
      </rPr>
      <t>2</t>
    </r>
    <r>
      <rPr>
        <sz val="9"/>
        <color indexed="8"/>
        <rFont val="Calibri"/>
        <family val="2"/>
        <scheme val="minor"/>
      </rPr>
      <t>)</t>
    </r>
  </si>
  <si>
    <r>
      <t>Metano (CH</t>
    </r>
    <r>
      <rPr>
        <vertAlign val="subscript"/>
        <sz val="9"/>
        <color indexed="8"/>
        <rFont val="Calibri"/>
        <family val="2"/>
        <scheme val="minor"/>
      </rPr>
      <t>4</t>
    </r>
    <r>
      <rPr>
        <sz val="9"/>
        <color indexed="8"/>
        <rFont val="Calibri"/>
        <family val="2"/>
        <scheme val="minor"/>
      </rPr>
      <t>)</t>
    </r>
  </si>
  <si>
    <r>
      <t>Total emisiones de GEI en CO</t>
    </r>
    <r>
      <rPr>
        <b/>
        <vertAlign val="subscript"/>
        <sz val="9"/>
        <rFont val="Calibri"/>
        <family val="2"/>
        <scheme val="minor"/>
      </rPr>
      <t>2eq</t>
    </r>
  </si>
  <si>
    <t>UTILIZACIÓN DE EMISIONES AL AIRE</t>
  </si>
  <si>
    <t>ATU</t>
  </si>
  <si>
    <t>OFERTA DE EMISIONES AL AIRE</t>
  </si>
  <si>
    <r>
      <t xml:space="preserve">Construcción </t>
    </r>
    <r>
      <rPr>
        <b/>
        <vertAlign val="superscript"/>
        <sz val="9"/>
        <color rgb="FF000000"/>
        <rFont val="Calibri"/>
        <family val="2"/>
        <scheme val="minor"/>
      </rPr>
      <t>1/</t>
    </r>
  </si>
  <si>
    <r>
      <t xml:space="preserve">Industrias no especificadas </t>
    </r>
    <r>
      <rPr>
        <b/>
        <vertAlign val="superscript"/>
        <sz val="9"/>
        <color rgb="FF000000"/>
        <rFont val="Calibri"/>
        <family val="2"/>
        <scheme val="minor"/>
      </rPr>
      <t>2/</t>
    </r>
  </si>
  <si>
    <t>INDUSTRIAS (CIIU rev. 4)</t>
  </si>
  <si>
    <t>Año</t>
  </si>
  <si>
    <t>Millones de Soles</t>
  </si>
  <si>
    <t xml:space="preserve">Tasas Anuales de crecimiento </t>
  </si>
  <si>
    <r>
      <t>Tn de CO</t>
    </r>
    <r>
      <rPr>
        <b/>
        <vertAlign val="subscript"/>
        <sz val="9"/>
        <color theme="1"/>
        <rFont val="Calibri"/>
        <family val="2"/>
        <scheme val="minor"/>
      </rPr>
      <t>2eq</t>
    </r>
  </si>
  <si>
    <r>
      <t>(Tn de CO</t>
    </r>
    <r>
      <rPr>
        <b/>
        <vertAlign val="subscript"/>
        <sz val="9"/>
        <color theme="1"/>
        <rFont val="Calibri"/>
        <family val="2"/>
        <scheme val="minor"/>
      </rPr>
      <t xml:space="preserve">2eq </t>
    </r>
    <r>
      <rPr>
        <b/>
        <sz val="9"/>
        <color theme="1"/>
        <rFont val="Calibri"/>
        <family val="2"/>
        <scheme val="minor"/>
      </rPr>
      <t>/ millones de soles)</t>
    </r>
  </si>
  <si>
    <t>Actividades económicas</t>
  </si>
  <si>
    <t>Agricultura, silvicultura y pesca</t>
  </si>
  <si>
    <t>Electricidad, gas, vapor y aire acondicionado</t>
  </si>
  <si>
    <t>Fuente: Instituto Nacional de Estadística e Informática</t>
  </si>
  <si>
    <r>
      <t xml:space="preserve">Construcción </t>
    </r>
    <r>
      <rPr>
        <vertAlign val="superscript"/>
        <sz val="9"/>
        <rFont val="Calibri"/>
        <family val="2"/>
        <scheme val="minor"/>
      </rPr>
      <t>1/</t>
    </r>
  </si>
  <si>
    <t>Valor Agregado Bruto 
(Millones de soles)</t>
  </si>
  <si>
    <t xml:space="preserve">Valor Agregado Bruto 
</t>
  </si>
  <si>
    <t>Valores a precios constantes de 2007</t>
  </si>
  <si>
    <r>
      <t>(Toneladas de CO</t>
    </r>
    <r>
      <rPr>
        <vertAlign val="subscript"/>
        <sz val="10"/>
        <color theme="1"/>
        <rFont val="Calibri"/>
        <family val="2"/>
        <scheme val="minor"/>
      </rPr>
      <t>2 eq</t>
    </r>
    <r>
      <rPr>
        <sz val="10"/>
        <color theme="1"/>
        <rFont val="Calibri"/>
        <family val="2"/>
        <scheme val="minor"/>
      </rPr>
      <t xml:space="preserve"> / millones de soles)</t>
    </r>
  </si>
  <si>
    <t>Valores a precios corrientes</t>
  </si>
  <si>
    <t>(Variación Interanual)</t>
  </si>
  <si>
    <t>(Índices base 100 = 2019)</t>
  </si>
  <si>
    <t xml:space="preserve">Cuenta de Emisiones al Aire </t>
  </si>
  <si>
    <t xml:space="preserve">Total </t>
  </si>
  <si>
    <t>Actividades Económicas</t>
  </si>
  <si>
    <t xml:space="preserve">Emisión de Gases de Efecto Invernadero 
</t>
  </si>
  <si>
    <t>(Estructura Porcentual)</t>
  </si>
  <si>
    <t>(Índice base 100 = 2019)</t>
  </si>
  <si>
    <r>
      <t>(Toneladas de CO</t>
    </r>
    <r>
      <rPr>
        <vertAlign val="subscript"/>
        <sz val="10"/>
        <color theme="1"/>
        <rFont val="Calibri"/>
        <family val="2"/>
        <scheme val="minor"/>
      </rPr>
      <t>2 eq</t>
    </r>
    <r>
      <rPr>
        <sz val="10"/>
        <color theme="1"/>
        <rFont val="Calibri"/>
        <family val="2"/>
        <scheme val="minor"/>
      </rPr>
      <t>)</t>
    </r>
  </si>
  <si>
    <r>
      <t xml:space="preserve">Industrias no especificadas </t>
    </r>
    <r>
      <rPr>
        <vertAlign val="superscript"/>
        <sz val="9"/>
        <rFont val="Calibri"/>
        <family val="2"/>
        <scheme val="minor"/>
      </rPr>
      <t>2/</t>
    </r>
  </si>
  <si>
    <t>PERÚ: CUENTA DE EMISIONES AL AIRE EN UNIDADES FÍSICAS, 2019 - 2021</t>
  </si>
  <si>
    <t>(Toneladas de CO2eq)</t>
  </si>
  <si>
    <t>Emisiones de GEI</t>
  </si>
  <si>
    <t xml:space="preserve">Intensidad de Emisiones de GEI </t>
  </si>
  <si>
    <t>Intensidad de Emisiones de GEI</t>
  </si>
  <si>
    <t>Productividad de Emisiones de GEI</t>
  </si>
  <si>
    <r>
      <t>Emisiones de GEI
(Tn de CO</t>
    </r>
    <r>
      <rPr>
        <b/>
        <vertAlign val="subscript"/>
        <sz val="10"/>
        <rFont val="Calibri"/>
        <family val="2"/>
        <scheme val="minor"/>
      </rPr>
      <t>2eq</t>
    </r>
    <r>
      <rPr>
        <b/>
        <sz val="10"/>
        <rFont val="Calibri"/>
        <family val="2"/>
        <scheme val="minor"/>
      </rPr>
      <t>)</t>
    </r>
  </si>
  <si>
    <r>
      <t>Intensidad de Emisiones de GEI
(Tn de CO</t>
    </r>
    <r>
      <rPr>
        <b/>
        <vertAlign val="subscript"/>
        <sz val="10"/>
        <rFont val="Calibri"/>
        <family val="2"/>
        <scheme val="minor"/>
      </rPr>
      <t>2eq</t>
    </r>
    <r>
      <rPr>
        <b/>
        <sz val="10"/>
        <rFont val="Calibri"/>
        <family val="2"/>
        <scheme val="minor"/>
      </rPr>
      <t xml:space="preserve"> / millones de soles)</t>
    </r>
  </si>
  <si>
    <t>CONTENIDO</t>
  </si>
  <si>
    <t>ESTRUCTURA PORCENTUAL</t>
  </si>
  <si>
    <t>(Variación interanual)</t>
  </si>
  <si>
    <t>ÍNDICES BASE 100 = 2019</t>
  </si>
  <si>
    <t>VARIACIÓN INTERANUAL</t>
  </si>
  <si>
    <t xml:space="preserve">PERÚ: INTENSIDAD DE EMISIONES DE GEI POR PBI, 2019 - 2021 VALORES A PRECIOS CONSTANTES DE 2007 </t>
  </si>
  <si>
    <t>PERÚ: INTENSIDAD DE EMISIONES DE GEI POR PBI, 2019 - 2021 VALORES A PRECIOS CORRIENTES</t>
  </si>
  <si>
    <t>PERÚ: INTENSIDAD DE EMISIONES DE GEI POR ACTIVIDAD ECONÓMICA, 2019 - 2021 VALORES A PRECIOS CONSTANTES DE 2007</t>
  </si>
  <si>
    <t>PERÚ: INTENSIDAD DE EMISIONES DE GEI POR ACTIVIDAD ECONÓMICA, 2019 - 2021 VALORES A PRECIOS CORRIENTES</t>
  </si>
  <si>
    <t>EVOLUCIÓN DE LAS EMISIONES AL AIRE E INDICADORES DE INTENSIDAD DE GEI, POR AÑOS</t>
  </si>
  <si>
    <t>PERÚ: CUENTA EXPERIMENTAL DE EMISIONES AL AIRE, 2019 - 2021</t>
  </si>
  <si>
    <t>(Estructura porcentual)</t>
  </si>
  <si>
    <t>Total</t>
  </si>
  <si>
    <r>
      <t xml:space="preserve">Construcción </t>
    </r>
    <r>
      <rPr>
        <vertAlign val="superscript"/>
        <sz val="9"/>
        <rFont val="Calibri"/>
        <family val="2"/>
        <scheme val="minor"/>
      </rPr>
      <t>2/</t>
    </r>
  </si>
  <si>
    <r>
      <t xml:space="preserve">Manufactura </t>
    </r>
    <r>
      <rPr>
        <vertAlign val="superscript"/>
        <sz val="9"/>
        <rFont val="Calibri"/>
        <family val="2"/>
        <scheme val="minor"/>
      </rPr>
      <t>1/</t>
    </r>
  </si>
  <si>
    <t>Nota institucional</t>
  </si>
  <si>
    <t>El presente trabajo, desarrollado por el Instituto Nacional de Estadística e Informática (INEI) en el marco del “Programa de desarrollo de capacidades en estadísticas ambientales y de cambio climático”, contó con la asistencia técnica del Departamento de Estadísticas del Fondo Monetario Internacional (FMI) y el apoyo de la Secretaría de Estado para Asuntos Económicos de Suiza (SECO). Esta labor tiene como antecedente la elaboración de las Cuentas Experimentales de Flujos de Energía Física y Emisiones al Aire, cuyos resultados fueron publicados en julio de 2025, y le da continuidad mediante la actualización y ampliación del marco contable de las emisiones al aire para el período 2019-2021.</t>
  </si>
  <si>
    <r>
      <rPr>
        <sz val="9"/>
        <color theme="1"/>
        <rFont val="Calibri"/>
        <family val="2"/>
        <scheme val="minor"/>
      </rPr>
      <t>Disponible en:</t>
    </r>
    <r>
      <rPr>
        <sz val="9"/>
        <color theme="10"/>
        <rFont val="Calibri"/>
        <family val="2"/>
        <scheme val="minor"/>
      </rPr>
      <t xml:space="preserve"> </t>
    </r>
    <r>
      <rPr>
        <u/>
        <sz val="9"/>
        <color theme="10"/>
        <rFont val="Calibri"/>
        <family val="2"/>
        <scheme val="minor"/>
      </rPr>
      <t>https://www.gob.pe/institucion/inei/informes-publicaciones/6954323-cuentas-experimentales-de-energia-y-emisiones-al-aire</t>
    </r>
  </si>
  <si>
    <t>Cuadro Nº 7</t>
  </si>
  <si>
    <t>Cuadro Nº 1</t>
  </si>
  <si>
    <t>Cuadro Nº 2</t>
  </si>
  <si>
    <t>Cuadro Nº 3</t>
  </si>
  <si>
    <t>Cuadro Nº 4</t>
  </si>
  <si>
    <t>Cuadro Nº 5</t>
  </si>
  <si>
    <t>Cuadro Nº 6</t>
  </si>
  <si>
    <t>Cuadro Nº 8</t>
  </si>
  <si>
    <t>Cuadro Nº 9</t>
  </si>
  <si>
    <t>Cuadro Nº 10</t>
  </si>
  <si>
    <t>Cuadro Nº 11</t>
  </si>
  <si>
    <t>Cuadro Nº 12</t>
  </si>
  <si>
    <t>Cuadro Nº 13</t>
  </si>
  <si>
    <t>Cuadro Nº 14</t>
  </si>
  <si>
    <t>Cuadro Nº 15</t>
  </si>
  <si>
    <t>Cuadro Nº 16</t>
  </si>
  <si>
    <t>Cuadro Nº 17</t>
  </si>
  <si>
    <t>PERÚ: Cuenta de Emisiones al Aire en Unidades Físicas, 2019 - 2021</t>
  </si>
  <si>
    <t>PERÚ: Intensidad de Emisiones de GEI por PBI, 2019 - 2021</t>
  </si>
  <si>
    <t>PERÚ: Intensidad de Emisiones de GEI por Actividad Económica, 2019 - 2021</t>
  </si>
  <si>
    <t>…</t>
  </si>
  <si>
    <t>cou_f_2019</t>
  </si>
  <si>
    <t>cou_f_2020</t>
  </si>
  <si>
    <t>cou_f_2021</t>
  </si>
  <si>
    <t>aea_1</t>
  </si>
  <si>
    <t>aea_2</t>
  </si>
  <si>
    <t>aea_3</t>
  </si>
  <si>
    <t>aea_4</t>
  </si>
  <si>
    <t>int_pbi_1</t>
  </si>
  <si>
    <t>int_pbi_2</t>
  </si>
  <si>
    <t>int_ae_1</t>
  </si>
  <si>
    <t>int_ae_2</t>
  </si>
  <si>
    <t>int_ae_3</t>
  </si>
  <si>
    <t>int_ae_4</t>
  </si>
  <si>
    <t>int_ae_5</t>
  </si>
  <si>
    <t>int_ae_6</t>
  </si>
  <si>
    <t>int_ae_7</t>
  </si>
  <si>
    <t>int_ae_8</t>
  </si>
  <si>
    <r>
      <t>(Soles / Tn de CO</t>
    </r>
    <r>
      <rPr>
        <b/>
        <vertAlign val="subscript"/>
        <sz val="9"/>
        <color theme="1"/>
        <rFont val="Calibri"/>
        <family val="2"/>
        <scheme val="minor"/>
      </rPr>
      <t>2eq</t>
    </r>
    <r>
      <rPr>
        <b/>
        <sz val="9"/>
        <color theme="1"/>
        <rFont val="Calibri"/>
        <family val="2"/>
        <scheme val="minor"/>
      </rPr>
      <t>)</t>
    </r>
  </si>
  <si>
    <r>
      <t>Productividad de Emisiones de GEI
(Soles / Tn de CO</t>
    </r>
    <r>
      <rPr>
        <b/>
        <vertAlign val="subscript"/>
        <sz val="10"/>
        <rFont val="Calibri"/>
        <family val="2"/>
        <scheme val="minor"/>
      </rPr>
      <t>2eq</t>
    </r>
    <r>
      <rPr>
        <b/>
        <sz val="10"/>
        <rFont val="Calibri"/>
        <family val="2"/>
        <scheme val="minor"/>
      </rPr>
      <t>)</t>
    </r>
  </si>
  <si>
    <t>PERÚ: Cuadro de Oferta y Utilización de las Emisiones al Aire en Unidades Físicas, 2019</t>
  </si>
  <si>
    <t>PERÚ: Cuadro de Oferta y Utilización de las Emisiones al Aire en Unidades Físicas, 2020</t>
  </si>
  <si>
    <t>PERÚ: Cuadro de Oferta y Utilización de las Emisiones al Aire en Unidades Físicas, 2021</t>
  </si>
  <si>
    <t>PERÚ: CUADRO DE OFERTA Y UTILIZACIÓN DE LAS EMISIONES AL AIRE EN UNIDADES FÍSICAS, 2019</t>
  </si>
  <si>
    <t>PERÚ: CUADRO DE OFERTA Y UTILIZACIÓN DE LAS EMISIONES AL AIRE EN UNIDADES FÍSICAS, 2020</t>
  </si>
  <si>
    <t>PERÚ: CUADRO DE OFERTA Y UTILIZACIÓN DE LAS EMISIONES AL AIRE EN UNIDADES FÍSICAS, 2021</t>
  </si>
  <si>
    <t>Gases de Efecto Invernadero (GEI)</t>
  </si>
  <si>
    <r>
      <t>Óxido nitroso (N</t>
    </r>
    <r>
      <rPr>
        <vertAlign val="subscript"/>
        <sz val="9"/>
        <color indexed="8"/>
        <rFont val="Calibri"/>
        <family val="2"/>
        <scheme val="minor"/>
      </rPr>
      <t>2</t>
    </r>
    <r>
      <rPr>
        <sz val="9"/>
        <color indexed="8"/>
        <rFont val="Calibri"/>
        <family val="2"/>
        <scheme val="minor"/>
      </rPr>
      <t>O)</t>
    </r>
  </si>
  <si>
    <t>SERVICIOS</t>
  </si>
  <si>
    <t xml:space="preserve">Producto Bruto Interno </t>
  </si>
  <si>
    <t>Total de industrias CIIU/NACE</t>
  </si>
  <si>
    <r>
      <rPr>
        <b/>
        <vertAlign val="superscript"/>
        <sz val="8"/>
        <color theme="1"/>
        <rFont val="Calibri"/>
        <family val="2"/>
        <scheme val="minor"/>
      </rPr>
      <t>1/</t>
    </r>
    <r>
      <rPr>
        <sz val="8"/>
        <color theme="1"/>
        <rFont val="Calibri"/>
        <family val="2"/>
        <scheme val="minor"/>
      </rPr>
      <t xml:space="preserve"> Cabe destacar que su estimación fue calculada e independizada por el Instituto Nacional de Estadística e Informática (INEI) aplicando la participación porcentual del consumo intermedio de carburantes (diésel, gasolinas, petróleos industriales, GLP, entre otros) del sector construcción sobre el total de la industria manufacturera (excluida la refinación del petróleo) extraído de los Cuadros de Oferta y Utilización (COU) de las Cuentas Nacionales, logrando desagregar con precisión su aporte del rubro general de Industrias no especificadas.</t>
    </r>
  </si>
  <si>
    <r>
      <rPr>
        <b/>
        <vertAlign val="superscript"/>
        <sz val="8"/>
        <color theme="1"/>
        <rFont val="Calibri"/>
        <family val="2"/>
        <scheme val="minor"/>
      </rPr>
      <t>2/</t>
    </r>
    <r>
      <rPr>
        <sz val="8"/>
        <color theme="1"/>
        <rFont val="Calibri"/>
        <family val="2"/>
        <scheme val="minor"/>
      </rPr>
      <t xml:space="preserve"> Comprende las emisiones derivadas de la combustión de combustibles fósiles en subsectores de la industria manufacturera (tales como elaboración de alimentos, bebidas, textiles, sustancias químicas, minerales no metálicos, siderurgia y metalmecánica).</t>
    </r>
  </si>
  <si>
    <r>
      <rPr>
        <b/>
        <sz val="8"/>
        <color theme="1"/>
        <rFont val="Calibri"/>
        <family val="2"/>
        <scheme val="minor"/>
      </rPr>
      <t>Nota 1:</t>
    </r>
    <r>
      <rPr>
        <sz val="8"/>
        <color theme="1"/>
        <rFont val="Calibri"/>
        <family val="2"/>
        <scheme val="minor"/>
      </rPr>
      <t xml:space="preserve"> La elaboración de la Cuenta Experimental de Emisiones al Aire fue desarrollada a partir de la información oficial del Inventario Nacional de Gases de Efecto Invernadero (INGEI 2000–2021) elaborado por el Ministerio del Ambiente (MINAM) y presentado ante la Convención Marco de las Naciones Unidas sobre el Cambio Climático (CMNUCC) en el año 2025, constituyendo dicho reporte el marco de referencia y corte estadístico para la compilación de la presente serie.</t>
    </r>
  </si>
  <si>
    <r>
      <rPr>
        <vertAlign val="superscript"/>
        <sz val="8"/>
        <rFont val="Calibri"/>
        <family val="2"/>
        <scheme val="minor"/>
      </rPr>
      <t xml:space="preserve">1/ </t>
    </r>
    <r>
      <rPr>
        <sz val="8"/>
        <rFont val="Calibri"/>
        <family val="2"/>
        <scheme val="minor"/>
      </rPr>
      <t>Cabe destacar que su estimación fue calculada e independizada por el Instituto Nacional de Estadística e Informática (INEI) aplicando la participación porcentual del consumo intermedio de carburantes (diésel, gasolinas, petróleos industriales, GLP, entre otros) del sector construcción sobre el total de la industria manufacturera (excluida la refinación del petróleo) extraído de los Cuadros de Oferta y Utilización (COU) de las Cuentas Nacionales, logrando desagregar con precisión su aporte del rubro general de Industrias no especificadas.</t>
    </r>
  </si>
  <si>
    <r>
      <rPr>
        <vertAlign val="superscript"/>
        <sz val="8"/>
        <rFont val="Calibri"/>
        <family val="2"/>
        <scheme val="minor"/>
      </rPr>
      <t>2/</t>
    </r>
    <r>
      <rPr>
        <sz val="8"/>
        <rFont val="Calibri"/>
        <family val="2"/>
        <scheme val="minor"/>
      </rPr>
      <t xml:space="preserve"> Comprende las emisiones derivadas de la combustión de combustibles fósiles en subsectores de la industria manufacturera (tales como elaboración de alimentos, bebidas, textiles, sustancias químicas, minerales no metálicos, siderurgia y metalmecánica).</t>
    </r>
  </si>
  <si>
    <r>
      <rPr>
        <b/>
        <sz val="8"/>
        <rFont val="Calibri"/>
        <family val="2"/>
        <scheme val="minor"/>
      </rPr>
      <t>Nota 1:</t>
    </r>
    <r>
      <rPr>
        <sz val="8"/>
        <rFont val="Calibri"/>
        <family val="2"/>
        <scheme val="minor"/>
      </rPr>
      <t xml:space="preserve"> La elaboración de la Cuenta Experimental de Emisiones al Aire fue desarrollada a partir de la información oficial del Inventario Nacional de Gases de Efecto Invernadero (INGEI 2000–2021) elaborado por el Ministerio del Ambiente (MINAM) y presentado ante la Convención Marco de las Naciones Unidas sobre el Cambio Climático (CMNUCC) en el año 2025, constituyendo dicho reporte el marco de referencia y corte estadístico para la compilación de la presente serie.</t>
    </r>
  </si>
  <si>
    <r>
      <rPr>
        <b/>
        <sz val="8"/>
        <color theme="1"/>
        <rFont val="Calibri"/>
        <family val="2"/>
        <scheme val="minor"/>
      </rPr>
      <t>Nota 1:</t>
    </r>
    <r>
      <rPr>
        <sz val="8"/>
        <color theme="1"/>
        <rFont val="Calibri"/>
        <family val="2"/>
        <scheme val="minor"/>
      </rPr>
      <t xml:space="preserve"> Los Gases de Efecto Invernadero (GEI) considerados en la estimación comprenden el dióxido de carbono (CO</t>
    </r>
    <r>
      <rPr>
        <vertAlign val="subscript"/>
        <sz val="8"/>
        <color theme="1"/>
        <rFont val="Calibri"/>
        <family val="2"/>
        <scheme val="minor"/>
      </rPr>
      <t>2</t>
    </r>
    <r>
      <rPr>
        <sz val="8"/>
        <color theme="1"/>
        <rFont val="Calibri"/>
        <family val="2"/>
        <scheme val="minor"/>
      </rPr>
      <t>), metano (CH</t>
    </r>
    <r>
      <rPr>
        <vertAlign val="subscript"/>
        <sz val="8"/>
        <color theme="1"/>
        <rFont val="Calibri"/>
        <family val="2"/>
        <scheme val="minor"/>
      </rPr>
      <t>4</t>
    </r>
    <r>
      <rPr>
        <sz val="8"/>
        <color theme="1"/>
        <rFont val="Calibri"/>
        <family val="2"/>
        <scheme val="minor"/>
      </rPr>
      <t>) y óxido nitroso (N</t>
    </r>
    <r>
      <rPr>
        <vertAlign val="subscript"/>
        <sz val="8"/>
        <color theme="1"/>
        <rFont val="Calibri"/>
        <family val="2"/>
        <scheme val="minor"/>
      </rPr>
      <t>2</t>
    </r>
    <r>
      <rPr>
        <sz val="8"/>
        <color theme="1"/>
        <rFont val="Calibri"/>
        <family val="2"/>
        <scheme val="minor"/>
      </rPr>
      <t>O), agregados y expresados en toneladas de dióxido de carbono equivalente (Tn de CO</t>
    </r>
    <r>
      <rPr>
        <vertAlign val="subscript"/>
        <sz val="8"/>
        <color theme="1"/>
        <rFont val="Calibri"/>
        <family val="2"/>
        <scheme val="minor"/>
      </rPr>
      <t>2eq</t>
    </r>
    <r>
      <rPr>
        <sz val="8"/>
        <color theme="1"/>
        <rFont val="Calibri"/>
        <family val="2"/>
        <scheme val="minor"/>
      </rPr>
      <t>).</t>
    </r>
  </si>
  <si>
    <r>
      <rPr>
        <vertAlign val="superscript"/>
        <sz val="8"/>
        <rFont val="Calibri"/>
        <family val="2"/>
        <scheme val="minor"/>
      </rPr>
      <t>1/</t>
    </r>
    <r>
      <rPr>
        <sz val="8"/>
        <rFont val="Calibri"/>
        <family val="2"/>
        <scheme val="minor"/>
      </rPr>
      <t xml:space="preserve"> Para fines del cálculo de los indicadores de productividad e intensidad de emisiones, la actividad económica Manufactura incluye las emisiones de la categoría Industrias no especificadas, dado que corresponden a consumos energéticos de procesos térmicos de subsectores manufactureros cuyo Valor Agregado Bruto (VAB) se encuentra contemplado en el agregado macroeconómico de dicha actividad.</t>
    </r>
  </si>
  <si>
    <r>
      <rPr>
        <vertAlign val="superscript"/>
        <sz val="8"/>
        <rFont val="Calibri"/>
        <family val="2"/>
        <scheme val="minor"/>
      </rPr>
      <t>2/</t>
    </r>
    <r>
      <rPr>
        <sz val="8"/>
        <rFont val="Calibri"/>
        <family val="2"/>
        <scheme val="minor"/>
      </rPr>
      <t xml:space="preserve"> Cabe destacar que su estimación fue calculada e independizada por el Instituto Nacional de Estadística e Informática (INEI) aplicando la participación porcentual del consumo intermedio de carburantes (diésel, gasolinas, petróleos industriales, GLP, entre otros) del sector construcción sobre el total de la industria manufacturera (excluida la refinación del petróleo) extraído de los Cuadros de Oferta y Utilización (COU) de las Cuentas Nacionales, logrando desagregar con precisión su aporte del rubro general de Industrias no especificadas.</t>
    </r>
  </si>
  <si>
    <r>
      <rPr>
        <b/>
        <sz val="8"/>
        <rFont val="Calibri"/>
        <family val="2"/>
        <scheme val="minor"/>
      </rPr>
      <t>Nota 1:</t>
    </r>
    <r>
      <rPr>
        <sz val="8"/>
        <rFont val="Calibri"/>
        <family val="2"/>
        <scheme val="minor"/>
      </rPr>
      <t xml:space="preserve"> Los Gases de Efecto Invernadero (GEI) considerados en la estimación comprenden el dióxido de carbono (CO</t>
    </r>
    <r>
      <rPr>
        <vertAlign val="subscript"/>
        <sz val="8"/>
        <rFont val="Calibri"/>
        <family val="2"/>
        <scheme val="minor"/>
      </rPr>
      <t>2</t>
    </r>
    <r>
      <rPr>
        <sz val="8"/>
        <rFont val="Calibri"/>
        <family val="2"/>
        <scheme val="minor"/>
      </rPr>
      <t>), metano (CH</t>
    </r>
    <r>
      <rPr>
        <vertAlign val="subscript"/>
        <sz val="8"/>
        <rFont val="Calibri"/>
        <family val="2"/>
        <scheme val="minor"/>
      </rPr>
      <t>4</t>
    </r>
    <r>
      <rPr>
        <sz val="8"/>
        <rFont val="Calibri"/>
        <family val="2"/>
        <scheme val="minor"/>
      </rPr>
      <t>) y óxido nitroso (N</t>
    </r>
    <r>
      <rPr>
        <vertAlign val="subscript"/>
        <sz val="8"/>
        <rFont val="Calibri"/>
        <family val="2"/>
        <scheme val="minor"/>
      </rPr>
      <t>2</t>
    </r>
    <r>
      <rPr>
        <sz val="8"/>
        <rFont val="Calibri"/>
        <family val="2"/>
        <scheme val="minor"/>
      </rPr>
      <t>O), agregados y expresados en toneladas de dióxido de carbono equivalente (Tn de CO</t>
    </r>
    <r>
      <rPr>
        <vertAlign val="subscript"/>
        <sz val="8"/>
        <rFont val="Calibri"/>
        <family val="2"/>
        <scheme val="minor"/>
      </rPr>
      <t>2eq</t>
    </r>
    <r>
      <rPr>
        <sz val="8"/>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</si>
</sst>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_(* #,##0_);_(* \(#,##0\);_(* &quot;-&quot;_);_(@_)"/>
    <numFmt numFmtId="167" formatCode="#,##0.0"/>
  </numFmts>
  <fonts count="45"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9"/>
      <color indexed="8"/>
      <name val="Calibri"/>
      <family val="2"/>
      <scheme val="minor"/>
    </font>
    <font>
      <b/>
      <sz val="10"/>
      <color indexed="8"/>
      <name val="Calibri"/>
      <family val="2"/>
      <scheme val="minor"/>
    </font>
    <font>
      <b/>
      <sz val="9"/>
      <name val="Calibri"/>
      <family val="2"/>
      <scheme val="minor"/>
    </font>
    <font>
      <b/>
      <sz val="9"/>
      <color theme="1"/>
      <name val="Calibri"/>
      <family val="2"/>
      <scheme val="minor"/>
    </font>
    <font>
      <sz val="9"/>
      <color theme="1"/>
      <name val="Calibri"/>
      <family val="2"/>
      <scheme val="minor"/>
    </font>
    <font>
      <sz val="9"/>
      <color indexed="8"/>
      <name val="Calibri"/>
      <family val="2"/>
      <scheme val="minor"/>
    </font>
    <font>
      <vertAlign val="subscript"/>
      <sz val="9"/>
      <color indexed="8"/>
      <name val="Calibri"/>
      <family val="2"/>
      <scheme val="minor"/>
    </font>
    <font>
      <sz val="9"/>
      <name val="Calibri"/>
      <family val="2"/>
      <scheme val="minor"/>
    </font>
    <font>
      <b/>
      <vertAlign val="subscript"/>
      <sz val="9"/>
      <name val="Calibri"/>
      <family val="2"/>
      <scheme val="minor"/>
    </font>
    <font>
      <b/>
      <sz val="10"/>
      <name val="Calibri"/>
      <family val="2"/>
      <scheme val="minor"/>
    </font>
    <font>
      <b/>
      <vertAlign val="superscript"/>
      <sz val="9"/>
      <color rgb="FF000000"/>
      <name val="Calibri"/>
      <family val="2"/>
      <scheme val="minor"/>
    </font>
    <font>
      <b/>
      <vertAlign val="subscript"/>
      <sz val="9"/>
      <color theme="1"/>
      <name val="Calibri"/>
      <family val="2"/>
      <scheme val="minor"/>
    </font>
    <font>
      <sz val="10"/>
      <name val="Calibri"/>
      <family val="2"/>
      <scheme val="minor"/>
    </font>
    <font>
      <sz val="9"/>
      <color rgb="FF000000"/>
      <name val="Calibri"/>
      <family val="2"/>
      <scheme val="minor"/>
    </font>
    <font>
      <b/>
      <sz val="7"/>
      <name val="Calibri"/>
      <family val="2"/>
      <scheme val="minor"/>
    </font>
    <font>
      <vertAlign val="superscript"/>
      <sz val="9"/>
      <name val="Calibri"/>
      <family val="2"/>
      <scheme val="minor"/>
    </font>
    <font>
      <b/>
      <sz val="14"/>
      <color theme="1"/>
      <name val="Calibri"/>
      <family val="2"/>
      <scheme val="minor"/>
    </font>
    <font>
      <sz val="12"/>
      <color theme="1"/>
      <name val="Calibri"/>
      <family val="2"/>
      <scheme val="minor"/>
    </font>
    <font>
      <sz val="10"/>
      <color theme="1"/>
      <name val="Calibri"/>
      <family val="2"/>
      <scheme val="minor"/>
    </font>
    <font>
      <vertAlign val="subscript"/>
      <sz val="10"/>
      <color theme="1"/>
      <name val="Calibri"/>
      <family val="2"/>
      <scheme val="minor"/>
    </font>
    <font>
      <b/>
      <vertAlign val="subscript"/>
      <sz val="10"/>
      <name val="Calibri"/>
      <family val="2"/>
      <scheme val="minor"/>
    </font>
    <font>
      <b/>
      <sz val="24"/>
      <color theme="0"/>
      <name val="Calibri"/>
      <family val="2"/>
      <scheme val="minor"/>
    </font>
    <font>
      <b/>
      <sz val="24"/>
      <color rgb="FF0070C0"/>
      <name val="Calibri"/>
      <family val="2"/>
      <scheme val="minor"/>
    </font>
    <font>
      <u/>
      <sz val="11"/>
      <color theme="10"/>
      <name val="Calibri"/>
      <family val="2"/>
      <scheme val="minor"/>
    </font>
    <font>
      <sz val="12"/>
      <name val="Calibri"/>
      <family val="2"/>
      <scheme val="minor"/>
    </font>
    <font>
      <sz val="13"/>
      <color rgb="FF0070C0"/>
      <name val="Calibri"/>
      <family val="2"/>
      <scheme val="minor"/>
    </font>
    <font>
      <sz val="13"/>
      <color theme="1"/>
      <name val="Calibri"/>
      <family val="2"/>
      <scheme val="minor"/>
    </font>
    <font>
      <b/>
      <sz val="15"/>
      <color rgb="FF0070C0"/>
      <name val="Calibri"/>
      <family val="2"/>
      <scheme val="minor"/>
    </font>
    <font>
      <b/>
      <sz val="28"/>
      <color rgb="FF0070C0"/>
      <name val="Calibri"/>
      <family val="2"/>
      <scheme val="minor"/>
    </font>
    <font>
      <b/>
      <sz val="9"/>
      <color rgb="FF000000"/>
      <name val="Calibri"/>
      <family val="2"/>
      <scheme val="minor"/>
    </font>
    <font>
      <b/>
      <i/>
      <u/>
      <sz val="11"/>
      <color theme="1"/>
      <name val="Calibri"/>
      <family val="2"/>
      <scheme val="minor"/>
    </font>
    <font>
      <u/>
      <sz val="9"/>
      <color theme="10"/>
      <name val="Calibri"/>
      <family val="2"/>
      <scheme val="minor"/>
    </font>
    <font>
      <sz val="9"/>
      <color theme="10"/>
      <name val="Calibri"/>
      <family val="2"/>
      <scheme val="minor"/>
    </font>
    <font>
      <sz val="8"/>
      <name val="Calibri"/>
      <family val="2"/>
      <scheme val="minor"/>
    </font>
    <font>
      <b/>
      <sz val="8"/>
      <name val="Calibri"/>
      <family val="2"/>
      <scheme val="minor"/>
    </font>
    <font>
      <sz val="8"/>
      <color theme="1"/>
      <name val="Calibri"/>
      <family val="2"/>
      <scheme val="minor"/>
    </font>
    <font>
      <b/>
      <sz val="8"/>
      <color theme="1"/>
      <name val="Calibri"/>
      <family val="2"/>
      <scheme val="minor"/>
    </font>
    <font>
      <b/>
      <vertAlign val="superscript"/>
      <sz val="8"/>
      <color theme="1"/>
      <name val="Calibri"/>
      <family val="2"/>
      <scheme val="minor"/>
    </font>
    <font>
      <vertAlign val="superscript"/>
      <sz val="8"/>
      <name val="Calibri"/>
      <family val="2"/>
      <scheme val="minor"/>
    </font>
    <font>
      <vertAlign val="subscript"/>
      <sz val="8"/>
      <color theme="1"/>
      <name val="Calibri"/>
      <family val="2"/>
      <scheme val="minor"/>
    </font>
    <font>
      <vertAlign val="subscript"/>
      <sz val="8"/>
      <name val="Calibri"/>
      <family val="2"/>
      <scheme val="minor"/>
    </font>
  </fonts>
  <fills count="5">
    <fill>
      <patternFill patternType="none"/>
    </fill>
    <fill>
      <patternFill patternType="gray125"/>
    </fill>
    <fill>
      <patternFill patternType="solid">
        <fgColor rgb="FFC9E7FF"/>
        <bgColor indexed="64"/>
      </patternFill>
    </fill>
    <fill>
      <patternFill patternType="solid">
        <fgColor rgb="FF0070C0"/>
        <bgColor indexed="64"/>
      </patternFill>
    </fill>
    <fill>
      <patternFill patternType="solid">
        <fgColor theme="0"/>
        <bgColor indexed="64"/>
      </patternFill>
    </fill>
  </fills>
  <borders count="15">
    <border>
      <left/>
      <right/>
      <top/>
      <bottom/>
      <diagonal/>
    </border>
    <border>
      <left/>
      <right/>
      <top style="thin">
        <color rgb="FF0070C0"/>
      </top>
      <bottom style="thin">
        <color rgb="FF0070C0"/>
      </bottom>
      <diagonal/>
    </border>
    <border>
      <left/>
      <right/>
      <top style="thin">
        <color rgb="FF0070C0"/>
      </top>
      <bottom/>
      <diagonal/>
    </border>
    <border>
      <left/>
      <right/>
      <top/>
      <bottom style="thin">
        <color rgb="FF0070C0"/>
      </bottom>
      <diagonal/>
    </border>
    <border>
      <left/>
      <right style="thick">
        <color rgb="FF0070C0"/>
      </right>
      <top style="thin">
        <color rgb="FF0070C0"/>
      </top>
      <bottom style="thin">
        <color rgb="FF0070C0"/>
      </bottom>
      <diagonal/>
    </border>
    <border>
      <left/>
      <right style="thick">
        <color rgb="FF0070C0"/>
      </right>
      <top style="thin">
        <color rgb="FF0070C0"/>
      </top>
      <bottom/>
      <diagonal/>
    </border>
    <border>
      <left/>
      <right style="thick">
        <color rgb="FF0070C0"/>
      </right>
      <top/>
      <bottom/>
      <diagonal/>
    </border>
    <border>
      <left/>
      <right style="thick">
        <color rgb="FF0070C0"/>
      </right>
      <top/>
      <bottom style="thin">
        <color rgb="FF0070C0"/>
      </bottom>
      <diagonal/>
    </border>
    <border>
      <left style="thick">
        <color rgb="FF0070C0"/>
      </left>
      <right/>
      <top style="thin">
        <color rgb="FF0070C0"/>
      </top>
      <bottom style="thin">
        <color rgb="FF0070C0"/>
      </bottom>
      <diagonal/>
    </border>
    <border>
      <left style="thick">
        <color rgb="FF0070C0"/>
      </left>
      <right/>
      <top/>
      <bottom style="thin">
        <color rgb="FF0070C0"/>
      </bottom>
      <diagonal/>
    </border>
    <border>
      <left/>
      <right style="thick">
        <color theme="4"/>
      </right>
      <top style="thin">
        <color rgb="FF0070C0"/>
      </top>
      <bottom/>
      <diagonal/>
    </border>
    <border>
      <left style="thick">
        <color theme="4"/>
      </left>
      <right/>
      <top style="thin">
        <color rgb="FF0070C0"/>
      </top>
      <bottom style="thin">
        <color rgb="FF0070C0"/>
      </bottom>
      <diagonal/>
    </border>
    <border>
      <left/>
      <right style="thick">
        <color theme="4"/>
      </right>
      <top/>
      <bottom style="thin">
        <color rgb="FF0070C0"/>
      </bottom>
      <diagonal/>
    </border>
    <border>
      <left style="thin">
        <color theme="0"/>
      </left>
      <right style="thin">
        <color theme="0"/>
      </right>
      <top style="thin">
        <color theme="0"/>
      </top>
      <bottom style="thin">
        <color theme="0"/>
      </bottom>
      <diagonal/>
    </border>
    <border>
      <left style="thick">
        <color rgb="FF0070C0"/>
      </left>
      <right/>
      <top/>
      <bottom/>
      <diagonal/>
    </border>
  </borders>
  <cellStyleXfs count="9">
    <xf numFmtId="0" fontId="0" fillId="0" borderId="0"/>
    <xf numFmtId="0" fontId="1" fillId="0" borderId="0"/>
    <xf numFmtId="0" fontId="3" fillId="0" borderId="0"/>
    <xf numFmtId="164" fontId="1" fillId="0" borderId="0" applyFont="0" applyFill="0" applyBorder="0" applyAlignment="0" applyProtection="0"/>
    <xf numFmtId="166" fontId="1" fillId="0" borderId="0" applyFont="0" applyFill="0" applyBorder="0" applyAlignment="0" applyProtection="0"/>
    <xf numFmtId="0" fontId="1" fillId="0" borderId="0"/>
    <xf numFmtId="164" fontId="1" fillId="0" borderId="0" applyFont="0" applyFill="0" applyBorder="0" applyAlignment="0" applyProtection="0"/>
    <xf numFmtId="0" fontId="3" fillId="0" borderId="0"/>
    <xf numFmtId="0" fontId="27" fillId="0" borderId="0" applyNumberFormat="0" applyFill="0" applyBorder="0" applyAlignment="0" applyProtection="0"/>
  </cellStyleXfs>
  <cellXfs count="157">
    <xf numFmtId="0" fontId="0" fillId="0" borderId="0" xfId="0"/>
    <xf numFmtId="0" fontId="4" fillId="2" borderId="0" xfId="2" applyFont="1" applyFill="1" applyAlignment="1">
      <alignment horizontal="center" vertical="center" wrapText="1"/>
    </xf>
    <xf numFmtId="0" fontId="7" fillId="2" borderId="1" xfId="1" applyFont="1" applyFill="1" applyBorder="1" applyAlignment="1">
      <alignment horizontal="center" vertical="center" wrapText="1"/>
    </xf>
    <xf numFmtId="0" fontId="4" fillId="2" borderId="3" xfId="2" applyFont="1" applyFill="1" applyBorder="1" applyAlignment="1">
      <alignment horizontal="center" vertical="center" wrapText="1"/>
    </xf>
    <xf numFmtId="165" fontId="8" fillId="0" borderId="0" xfId="1" applyNumberFormat="1" applyFont="1" applyAlignment="1">
      <alignment vertical="center"/>
    </xf>
    <xf numFmtId="3" fontId="8" fillId="0" borderId="0" xfId="4" applyNumberFormat="1" applyFont="1" applyFill="1" applyBorder="1" applyAlignment="1">
      <alignment horizontal="right" vertical="center"/>
    </xf>
    <xf numFmtId="49" fontId="2" fillId="2" borderId="1" xfId="1" applyNumberFormat="1" applyFont="1" applyFill="1" applyBorder="1" applyAlignment="1">
      <alignment vertical="center"/>
    </xf>
    <xf numFmtId="0" fontId="4" fillId="2" borderId="1" xfId="1" applyFont="1" applyFill="1" applyBorder="1" applyAlignment="1">
      <alignment horizontal="center" vertical="top" wrapText="1"/>
    </xf>
    <xf numFmtId="0" fontId="4" fillId="2" borderId="2" xfId="2" applyFont="1" applyFill="1" applyBorder="1" applyAlignment="1">
      <alignment horizontal="center" vertical="center" wrapText="1"/>
    </xf>
    <xf numFmtId="0" fontId="6" fillId="0" borderId="6" xfId="3" applyNumberFormat="1" applyFont="1" applyFill="1" applyBorder="1" applyAlignment="1">
      <alignment horizontal="left" vertical="center" shrinkToFit="1"/>
    </xf>
    <xf numFmtId="0" fontId="8" fillId="0" borderId="6" xfId="1" applyFont="1" applyBorder="1" applyAlignment="1">
      <alignment horizontal="left" vertical="center" wrapText="1" indent="1"/>
    </xf>
    <xf numFmtId="0" fontId="11" fillId="0" borderId="6" xfId="3" applyNumberFormat="1" applyFont="1" applyFill="1" applyBorder="1" applyAlignment="1">
      <alignment horizontal="left" vertical="center" indent="1" shrinkToFit="1"/>
    </xf>
    <xf numFmtId="0" fontId="13" fillId="2" borderId="8" xfId="0" applyFont="1" applyFill="1" applyBorder="1" applyAlignment="1">
      <alignment horizontal="center" vertical="center" wrapText="1"/>
    </xf>
    <xf numFmtId="0" fontId="4" fillId="2" borderId="8" xfId="1" applyFont="1" applyFill="1" applyBorder="1" applyAlignment="1">
      <alignment horizontal="center" vertical="top" wrapText="1"/>
    </xf>
    <xf numFmtId="165" fontId="8" fillId="0" borderId="6" xfId="1" applyNumberFormat="1" applyFont="1" applyBorder="1" applyAlignment="1">
      <alignment vertical="center"/>
    </xf>
    <xf numFmtId="3" fontId="8" fillId="0" borderId="6" xfId="4" applyNumberFormat="1" applyFont="1" applyFill="1" applyBorder="1" applyAlignment="1">
      <alignment horizontal="right" vertical="center"/>
    </xf>
    <xf numFmtId="1" fontId="8" fillId="0" borderId="6" xfId="6" applyNumberFormat="1" applyFont="1" applyFill="1" applyBorder="1" applyAlignment="1">
      <alignment horizontal="center" vertical="center" wrapText="1"/>
    </xf>
    <xf numFmtId="3" fontId="8" fillId="0" borderId="0" xfId="6" applyNumberFormat="1" applyFont="1" applyFill="1" applyBorder="1" applyAlignment="1">
      <alignment horizontal="center" vertical="center" wrapText="1"/>
    </xf>
    <xf numFmtId="1" fontId="8" fillId="0" borderId="7" xfId="6" applyNumberFormat="1" applyFont="1" applyFill="1" applyBorder="1" applyAlignment="1">
      <alignment horizontal="center" vertical="center" wrapText="1"/>
    </xf>
    <xf numFmtId="3" fontId="8" fillId="0" borderId="3" xfId="6"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3" fontId="7" fillId="0" borderId="0" xfId="6" applyNumberFormat="1" applyFont="1" applyFill="1" applyBorder="1" applyAlignment="1">
      <alignment horizontal="center" vertical="center" wrapText="1"/>
    </xf>
    <xf numFmtId="3" fontId="7" fillId="0" borderId="3" xfId="6" applyNumberFormat="1" applyFont="1" applyFill="1" applyBorder="1" applyAlignment="1">
      <alignment horizontal="center" vertical="center" wrapText="1"/>
    </xf>
    <xf numFmtId="0" fontId="8" fillId="0" borderId="0" xfId="0" applyFont="1" applyAlignment="1">
      <alignment vertical="top" wrapText="1"/>
    </xf>
    <xf numFmtId="0" fontId="6" fillId="2" borderId="2" xfId="0" applyFont="1" applyFill="1" applyBorder="1" applyAlignment="1">
      <alignment horizontal="center" vertical="center" wrapText="1"/>
    </xf>
    <xf numFmtId="167" fontId="8" fillId="0" borderId="0" xfId="6" applyNumberFormat="1" applyFont="1" applyFill="1" applyBorder="1" applyAlignment="1">
      <alignment horizontal="center" vertical="center" wrapText="1"/>
    </xf>
    <xf numFmtId="167" fontId="8" fillId="0" borderId="3" xfId="6"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0" fontId="18" fillId="0" borderId="0" xfId="7" applyFont="1" applyAlignment="1">
      <alignment vertical="center"/>
    </xf>
    <xf numFmtId="0" fontId="16" fillId="2" borderId="3" xfId="0" applyFont="1" applyFill="1" applyBorder="1" applyAlignment="1">
      <alignment horizontal="center" vertical="center" wrapText="1"/>
    </xf>
    <xf numFmtId="0" fontId="13" fillId="2" borderId="2" xfId="0" applyFont="1" applyFill="1" applyBorder="1" applyAlignment="1">
      <alignment horizontal="center" vertical="center" wrapText="1"/>
    </xf>
    <xf numFmtId="3" fontId="8" fillId="0" borderId="0" xfId="4" applyNumberFormat="1" applyFont="1" applyFill="1" applyBorder="1" applyAlignment="1">
      <alignment horizontal="center" vertical="center"/>
    </xf>
    <xf numFmtId="3" fontId="17" fillId="0" borderId="0" xfId="0" applyNumberFormat="1" applyFont="1" applyAlignment="1">
      <alignment horizontal="center" vertical="center" wrapText="1"/>
    </xf>
    <xf numFmtId="167" fontId="17" fillId="0" borderId="0" xfId="0" applyNumberFormat="1" applyFont="1" applyAlignment="1">
      <alignment horizontal="center" vertical="center" wrapText="1"/>
    </xf>
    <xf numFmtId="3" fontId="17" fillId="0" borderId="9" xfId="0" applyNumberFormat="1" applyFont="1" applyBorder="1" applyAlignment="1">
      <alignment horizontal="center" vertical="center" wrapText="1"/>
    </xf>
    <xf numFmtId="3" fontId="17" fillId="0" borderId="3" xfId="0" applyNumberFormat="1" applyFont="1" applyBorder="1" applyAlignment="1">
      <alignment horizontal="center" vertical="center" wrapText="1"/>
    </xf>
    <xf numFmtId="3" fontId="8" fillId="0" borderId="3" xfId="4" applyNumberFormat="1" applyFont="1" applyFill="1" applyBorder="1" applyAlignment="1">
      <alignment horizontal="center" vertical="center"/>
    </xf>
    <xf numFmtId="167" fontId="17" fillId="0" borderId="3" xfId="0" applyNumberFormat="1" applyFont="1" applyBorder="1" applyAlignment="1">
      <alignment horizontal="center" vertical="center" wrapText="1"/>
    </xf>
    <xf numFmtId="167" fontId="8" fillId="0" borderId="0" xfId="4" applyNumberFormat="1" applyFont="1" applyFill="1" applyBorder="1" applyAlignment="1">
      <alignment horizontal="center" vertical="center"/>
    </xf>
    <xf numFmtId="0" fontId="22" fillId="0" borderId="0" xfId="0" applyFont="1"/>
    <xf numFmtId="0" fontId="13" fillId="0" borderId="5" xfId="0" applyFont="1" applyBorder="1" applyAlignment="1">
      <alignment horizontal="left" vertical="center" wrapText="1"/>
    </xf>
    <xf numFmtId="0" fontId="13" fillId="0" borderId="6" xfId="0" applyFont="1" applyBorder="1" applyAlignment="1">
      <alignment horizontal="left" vertical="center" wrapText="1" indent="2"/>
    </xf>
    <xf numFmtId="0" fontId="11" fillId="0" borderId="6" xfId="7" applyFont="1" applyBorder="1" applyAlignment="1">
      <alignment horizontal="left" vertical="center" indent="4"/>
    </xf>
    <xf numFmtId="0" fontId="11" fillId="0" borderId="6" xfId="7" applyFont="1" applyBorder="1" applyAlignment="1">
      <alignment horizontal="left" vertical="center" wrapText="1" indent="4"/>
    </xf>
    <xf numFmtId="0" fontId="13" fillId="0" borderId="7" xfId="0" applyFont="1" applyBorder="1" applyAlignment="1">
      <alignment horizontal="left" vertical="center" wrapText="1" indent="2"/>
    </xf>
    <xf numFmtId="3" fontId="7" fillId="0" borderId="0" xfId="4" applyNumberFormat="1" applyFont="1" applyFill="1" applyBorder="1" applyAlignment="1">
      <alignment horizontal="center" vertical="center"/>
    </xf>
    <xf numFmtId="3" fontId="7" fillId="0" borderId="9" xfId="4" applyNumberFormat="1" applyFont="1" applyFill="1" applyBorder="1" applyAlignment="1">
      <alignment horizontal="center" vertical="center"/>
    </xf>
    <xf numFmtId="3" fontId="7" fillId="0" borderId="3" xfId="4" applyNumberFormat="1" applyFont="1" applyFill="1" applyBorder="1" applyAlignment="1">
      <alignment horizontal="center" vertical="center"/>
    </xf>
    <xf numFmtId="167" fontId="7" fillId="0" borderId="0" xfId="4" applyNumberFormat="1" applyFont="1" applyFill="1" applyBorder="1" applyAlignment="1">
      <alignment horizontal="center" vertical="center"/>
    </xf>
    <xf numFmtId="167" fontId="7" fillId="0" borderId="9" xfId="4" applyNumberFormat="1" applyFont="1" applyFill="1" applyBorder="1" applyAlignment="1">
      <alignment horizontal="center" vertical="center"/>
    </xf>
    <xf numFmtId="167" fontId="7" fillId="0" borderId="3" xfId="4" applyNumberFormat="1" applyFont="1" applyFill="1" applyBorder="1" applyAlignment="1">
      <alignment horizontal="center" vertical="center"/>
    </xf>
    <xf numFmtId="167" fontId="13" fillId="0" borderId="0" xfId="0" applyNumberFormat="1" applyFont="1" applyAlignment="1">
      <alignment horizontal="center" vertical="center" wrapText="1"/>
    </xf>
    <xf numFmtId="167" fontId="13" fillId="0" borderId="3" xfId="0" applyNumberFormat="1" applyFont="1" applyBorder="1" applyAlignment="1">
      <alignment horizontal="center" vertical="center" wrapText="1"/>
    </xf>
    <xf numFmtId="167" fontId="16" fillId="0" borderId="0" xfId="0" applyNumberFormat="1" applyFont="1" applyAlignment="1">
      <alignment horizontal="center" vertical="center" wrapText="1"/>
    </xf>
    <xf numFmtId="0" fontId="6" fillId="0" borderId="0" xfId="7" applyFont="1" applyAlignment="1">
      <alignment vertical="center"/>
    </xf>
    <xf numFmtId="0" fontId="28" fillId="0" borderId="0" xfId="8" applyFont="1" applyFill="1" applyAlignment="1">
      <alignment horizontal="center"/>
    </xf>
    <xf numFmtId="0" fontId="29" fillId="0" borderId="0" xfId="0" applyFont="1" applyAlignment="1">
      <alignment horizontal="center"/>
    </xf>
    <xf numFmtId="0" fontId="21" fillId="0" borderId="0" xfId="8" applyFont="1" applyFill="1" applyAlignment="1">
      <alignment horizontal="center"/>
    </xf>
    <xf numFmtId="0" fontId="1" fillId="0" borderId="0" xfId="8" applyFont="1" applyFill="1" applyAlignment="1">
      <alignment horizontal="center"/>
    </xf>
    <xf numFmtId="0" fontId="28" fillId="0" borderId="0" xfId="0" applyFont="1"/>
    <xf numFmtId="0" fontId="28" fillId="0" borderId="0" xfId="8" applyFont="1"/>
    <xf numFmtId="0" fontId="30" fillId="0" borderId="0" xfId="8" applyFont="1" applyFill="1" applyAlignment="1">
      <alignment horizontal="center"/>
    </xf>
    <xf numFmtId="0" fontId="21" fillId="0" borderId="0" xfId="0" applyFont="1" applyAlignment="1">
      <alignment horizontal="center"/>
    </xf>
    <xf numFmtId="0" fontId="21" fillId="0" borderId="0" xfId="8" applyFont="1" applyAlignment="1">
      <alignment horizontal="center"/>
    </xf>
    <xf numFmtId="0" fontId="0" fillId="0" borderId="0" xfId="8" applyFont="1" applyFill="1" applyAlignment="1">
      <alignment horizontal="center"/>
    </xf>
    <xf numFmtId="0" fontId="26" fillId="0" borderId="13" xfId="0" applyFont="1" applyBorder="1" applyAlignment="1">
      <alignment vertical="top"/>
    </xf>
    <xf numFmtId="0" fontId="21" fillId="0" borderId="0" xfId="8" applyFont="1"/>
    <xf numFmtId="0" fontId="1" fillId="0" borderId="0" xfId="0" applyFont="1"/>
    <xf numFmtId="0" fontId="31" fillId="0" borderId="13" xfId="0" applyFont="1" applyBorder="1" applyAlignment="1">
      <alignment horizontal="left"/>
    </xf>
    <xf numFmtId="0" fontId="32" fillId="0" borderId="13" xfId="0" applyFont="1" applyBorder="1" applyAlignment="1">
      <alignment vertical="top"/>
    </xf>
    <xf numFmtId="0" fontId="11" fillId="0" borderId="6" xfId="7" applyFont="1" applyBorder="1" applyAlignment="1">
      <alignment horizontal="left" vertical="center" indent="2"/>
    </xf>
    <xf numFmtId="0" fontId="11" fillId="0" borderId="6" xfId="7" applyFont="1" applyBorder="1" applyAlignment="1">
      <alignment horizontal="left" vertical="center" wrapText="1" indent="2"/>
    </xf>
    <xf numFmtId="0" fontId="11" fillId="0" borderId="7" xfId="7" applyFont="1" applyBorder="1" applyAlignment="1">
      <alignment horizontal="left" vertical="center" wrapText="1" indent="2"/>
    </xf>
    <xf numFmtId="167" fontId="17" fillId="0" borderId="9" xfId="0" applyNumberFormat="1" applyFont="1" applyBorder="1" applyAlignment="1">
      <alignment horizontal="center" vertical="center" wrapText="1"/>
    </xf>
    <xf numFmtId="3" fontId="0" fillId="0" borderId="0" xfId="0" applyNumberFormat="1"/>
    <xf numFmtId="167" fontId="8" fillId="0" borderId="9" xfId="4" applyNumberFormat="1" applyFont="1" applyFill="1" applyBorder="1" applyAlignment="1">
      <alignment horizontal="center" vertical="center"/>
    </xf>
    <xf numFmtId="167" fontId="8" fillId="0" borderId="3" xfId="4" applyNumberFormat="1" applyFont="1" applyFill="1" applyBorder="1" applyAlignment="1">
      <alignment horizontal="center" vertical="center"/>
    </xf>
    <xf numFmtId="0" fontId="34" fillId="0" borderId="0" xfId="0" applyFont="1"/>
    <xf numFmtId="0" fontId="0" fillId="0" borderId="0" xfId="0" applyAlignment="1">
      <alignment vertical="center"/>
    </xf>
    <xf numFmtId="0" fontId="7" fillId="0" borderId="0" xfId="0" applyFont="1" applyAlignment="1">
      <alignment vertical="center"/>
    </xf>
    <xf numFmtId="0" fontId="20" fillId="0" borderId="0" xfId="0" applyFont="1" applyAlignment="1">
      <alignment vertical="center"/>
    </xf>
    <xf numFmtId="0" fontId="22" fillId="0" borderId="0" xfId="0" applyFont="1" applyAlignment="1">
      <alignment vertical="center"/>
    </xf>
    <xf numFmtId="49" fontId="5" fillId="4" borderId="6" xfId="2" applyNumberFormat="1" applyFont="1" applyFill="1" applyBorder="1" applyAlignment="1">
      <alignment horizontal="center" vertical="center" wrapText="1"/>
    </xf>
    <xf numFmtId="0" fontId="4" fillId="4" borderId="0" xfId="1" applyFont="1" applyFill="1" applyAlignment="1">
      <alignment horizontal="center" vertical="top" wrapText="1"/>
    </xf>
    <xf numFmtId="0" fontId="4" fillId="4" borderId="0" xfId="2" applyFont="1" applyFill="1" applyAlignment="1">
      <alignment horizontal="center" vertical="center" wrapText="1"/>
    </xf>
    <xf numFmtId="0" fontId="4" fillId="4" borderId="6" xfId="2" applyFont="1" applyFill="1" applyBorder="1" applyAlignment="1">
      <alignment horizontal="center" vertical="center" wrapText="1"/>
    </xf>
    <xf numFmtId="0" fontId="0" fillId="4" borderId="0" xfId="0" applyFill="1"/>
    <xf numFmtId="0" fontId="6" fillId="4" borderId="7" xfId="3" applyNumberFormat="1" applyFont="1" applyFill="1" applyBorder="1" applyAlignment="1">
      <alignment horizontal="left" vertical="center" shrinkToFit="1"/>
    </xf>
    <xf numFmtId="3" fontId="7" fillId="4" borderId="3" xfId="4" applyNumberFormat="1" applyFont="1" applyFill="1" applyBorder="1" applyAlignment="1">
      <alignment horizontal="right" vertical="center"/>
    </xf>
    <xf numFmtId="3" fontId="7" fillId="4" borderId="7" xfId="4" applyNumberFormat="1" applyFont="1" applyFill="1" applyBorder="1" applyAlignment="1">
      <alignment horizontal="right" vertical="center"/>
    </xf>
    <xf numFmtId="0" fontId="6" fillId="2" borderId="6" xfId="3" applyNumberFormat="1" applyFont="1" applyFill="1" applyBorder="1" applyAlignment="1">
      <alignment horizontal="left" vertical="center" shrinkToFit="1"/>
    </xf>
    <xf numFmtId="3" fontId="7" fillId="2" borderId="0" xfId="4" applyNumberFormat="1" applyFont="1" applyFill="1" applyBorder="1" applyAlignment="1">
      <alignment horizontal="right" vertical="center"/>
    </xf>
    <xf numFmtId="3" fontId="7" fillId="2" borderId="6" xfId="4" applyNumberFormat="1" applyFont="1" applyFill="1" applyBorder="1" applyAlignment="1">
      <alignment horizontal="right" vertical="center"/>
    </xf>
    <xf numFmtId="0" fontId="13" fillId="4" borderId="0" xfId="0" applyFont="1" applyFill="1" applyAlignment="1">
      <alignment horizontal="center" vertical="center" wrapText="1"/>
    </xf>
    <xf numFmtId="3" fontId="7" fillId="0" borderId="14" xfId="4" applyNumberFormat="1" applyFont="1" applyFill="1" applyBorder="1" applyAlignment="1">
      <alignment horizontal="center" vertical="center"/>
    </xf>
    <xf numFmtId="0" fontId="13" fillId="2" borderId="6" xfId="0" applyFont="1" applyFill="1" applyBorder="1" applyAlignment="1">
      <alignment horizontal="left" vertical="center" wrapText="1"/>
    </xf>
    <xf numFmtId="3" fontId="13" fillId="2" borderId="0" xfId="0" applyNumberFormat="1" applyFont="1" applyFill="1" applyAlignment="1">
      <alignment horizontal="center" vertical="center" wrapText="1"/>
    </xf>
    <xf numFmtId="167" fontId="7" fillId="0" borderId="14" xfId="4" applyNumberFormat="1" applyFont="1" applyFill="1" applyBorder="1" applyAlignment="1">
      <alignment horizontal="center" vertical="center"/>
    </xf>
    <xf numFmtId="167" fontId="13" fillId="2" borderId="0" xfId="0" applyNumberFormat="1" applyFont="1" applyFill="1" applyAlignment="1">
      <alignment horizontal="center" vertical="center" wrapText="1"/>
    </xf>
    <xf numFmtId="3" fontId="8" fillId="0" borderId="14" xfId="4" applyNumberFormat="1" applyFont="1" applyFill="1" applyBorder="1" applyAlignment="1">
      <alignment horizontal="center" vertical="center"/>
    </xf>
    <xf numFmtId="0" fontId="6" fillId="2"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49" fontId="4" fillId="4" borderId="5" xfId="2" applyNumberFormat="1" applyFont="1" applyFill="1" applyBorder="1" applyAlignment="1">
      <alignment horizontal="center" vertical="center" wrapText="1"/>
    </xf>
    <xf numFmtId="0" fontId="6" fillId="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49" fontId="4" fillId="4" borderId="6" xfId="2" applyNumberFormat="1" applyFont="1" applyFill="1" applyBorder="1" applyAlignment="1">
      <alignment horizontal="center"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11" fillId="4" borderId="6" xfId="7" applyFont="1" applyFill="1" applyBorder="1" applyAlignment="1">
      <alignment horizontal="left" vertical="center" indent="2"/>
    </xf>
    <xf numFmtId="0" fontId="16" fillId="4" borderId="0" xfId="0" applyFont="1" applyFill="1" applyAlignment="1">
      <alignment horizontal="center" vertical="center" wrapText="1"/>
    </xf>
    <xf numFmtId="3" fontId="17" fillId="0" borderId="14" xfId="0" applyNumberFormat="1" applyFont="1" applyBorder="1" applyAlignment="1">
      <alignment horizontal="center" vertical="center" wrapText="1"/>
    </xf>
    <xf numFmtId="0" fontId="16" fillId="2" borderId="0" xfId="0" applyFont="1" applyFill="1" applyAlignment="1">
      <alignment horizontal="center" vertical="center" wrapText="1"/>
    </xf>
    <xf numFmtId="3" fontId="33" fillId="2" borderId="0" xfId="0" applyNumberFormat="1" applyFont="1" applyFill="1" applyAlignment="1">
      <alignment horizontal="center" vertical="center" wrapText="1"/>
    </xf>
    <xf numFmtId="167" fontId="17" fillId="0" borderId="14" xfId="0" applyNumberFormat="1" applyFont="1" applyBorder="1" applyAlignment="1">
      <alignment horizontal="center" vertical="center" wrapText="1"/>
    </xf>
    <xf numFmtId="167" fontId="8" fillId="0" borderId="14" xfId="4" applyNumberFormat="1" applyFont="1" applyFill="1" applyBorder="1" applyAlignment="1">
      <alignment horizontal="center" vertical="center"/>
    </xf>
    <xf numFmtId="167" fontId="16" fillId="2" borderId="0" xfId="0" applyNumberFormat="1" applyFont="1" applyFill="1" applyAlignment="1">
      <alignment horizontal="center" vertical="center" wrapText="1"/>
    </xf>
    <xf numFmtId="0" fontId="13" fillId="4" borderId="5" xfId="0" applyFont="1" applyFill="1" applyBorder="1" applyAlignment="1">
      <alignment horizontal="left" vertical="center" wrapText="1"/>
    </xf>
    <xf numFmtId="0" fontId="39" fillId="0" borderId="0" xfId="0" applyFont="1"/>
    <xf numFmtId="0" fontId="39" fillId="0" borderId="0" xfId="0" applyFont="1" applyAlignment="1">
      <alignment vertical="center"/>
    </xf>
    <xf numFmtId="0" fontId="40" fillId="0" borderId="0" xfId="0" applyFont="1" applyAlignment="1">
      <alignment vertical="center"/>
    </xf>
    <xf numFmtId="0" fontId="38" fillId="0" borderId="0" xfId="7" applyFont="1" applyAlignment="1">
      <alignment vertical="center"/>
    </xf>
    <xf numFmtId="0" fontId="39" fillId="0" borderId="0" xfId="0" applyFont="1" applyAlignment="1">
      <alignment vertical="center" wrapText="1"/>
    </xf>
    <xf numFmtId="0" fontId="37" fillId="0" borderId="0" xfId="7" applyFont="1" applyAlignment="1">
      <alignment vertical="center" wrapText="1"/>
    </xf>
    <xf numFmtId="0" fontId="37" fillId="0" borderId="0" xfId="7" applyFont="1" applyAlignment="1">
      <alignment vertical="top" wrapText="1"/>
    </xf>
    <xf numFmtId="0" fontId="25" fillId="3" borderId="13" xfId="0" applyFont="1" applyFill="1" applyBorder="1" applyAlignment="1">
      <alignment horizontal="center" vertical="center" textRotation="90" wrapText="1"/>
    </xf>
    <xf numFmtId="0" fontId="8" fillId="0" borderId="0" xfId="0" applyFont="1" applyAlignment="1">
      <alignment horizontal="justify" wrapText="1"/>
    </xf>
    <xf numFmtId="0" fontId="35" fillId="0" borderId="0" xfId="8" applyFont="1" applyAlignment="1">
      <alignment horizontal="left"/>
    </xf>
    <xf numFmtId="0" fontId="39" fillId="0" borderId="0" xfId="0" applyFont="1" applyAlignment="1">
      <alignment horizontal="justify" vertical="center" wrapText="1"/>
    </xf>
    <xf numFmtId="49" fontId="5" fillId="2" borderId="5" xfId="2" applyNumberFormat="1" applyFont="1" applyFill="1" applyBorder="1" applyAlignment="1">
      <alignment horizontal="center" vertical="center" wrapText="1"/>
    </xf>
    <xf numFmtId="49" fontId="5" fillId="2" borderId="6" xfId="2" applyNumberFormat="1" applyFont="1" applyFill="1" applyBorder="1" applyAlignment="1">
      <alignment horizontal="center" vertical="center" wrapText="1"/>
    </xf>
    <xf numFmtId="49" fontId="5" fillId="2" borderId="7" xfId="2" applyNumberFormat="1" applyFont="1" applyFill="1" applyBorder="1" applyAlignment="1">
      <alignment horizontal="center" vertical="center" wrapText="1"/>
    </xf>
    <xf numFmtId="0" fontId="2" fillId="2" borderId="1" xfId="1" applyFont="1" applyFill="1" applyBorder="1" applyAlignment="1">
      <alignment horizontal="center" vertical="center"/>
    </xf>
    <xf numFmtId="0" fontId="2" fillId="2" borderId="4" xfId="1" applyFont="1" applyFill="1" applyBorder="1" applyAlignment="1">
      <alignment horizontal="center" vertical="center"/>
    </xf>
    <xf numFmtId="0" fontId="2" fillId="2" borderId="8" xfId="1" applyFont="1" applyFill="1" applyBorder="1" applyAlignment="1">
      <alignment horizontal="center" vertical="center" wrapText="1"/>
    </xf>
    <xf numFmtId="0" fontId="2" fillId="2" borderId="1" xfId="1" applyFont="1" applyFill="1" applyBorder="1" applyAlignment="1">
      <alignment horizontal="center" vertical="center" wrapText="1"/>
    </xf>
    <xf numFmtId="0" fontId="4" fillId="2" borderId="5" xfId="2" applyFont="1" applyFill="1" applyBorder="1" applyAlignment="1">
      <alignment horizontal="center" vertical="center" wrapText="1"/>
    </xf>
    <xf numFmtId="0" fontId="4" fillId="2" borderId="6" xfId="2" applyFont="1" applyFill="1" applyBorder="1" applyAlignment="1">
      <alignment horizontal="center" vertical="center" wrapText="1"/>
    </xf>
    <xf numFmtId="0" fontId="4" fillId="2" borderId="7"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4" fillId="2" borderId="0" xfId="2" applyFont="1" applyFill="1" applyAlignment="1">
      <alignment horizontal="center" vertical="center" wrapText="1"/>
    </xf>
    <xf numFmtId="0" fontId="7" fillId="2" borderId="8" xfId="1" applyFont="1" applyFill="1" applyBorder="1" applyAlignment="1">
      <alignment horizontal="center" vertical="center" wrapText="1"/>
    </xf>
    <xf numFmtId="0" fontId="7" fillId="2" borderId="1" xfId="1" applyFont="1" applyFill="1" applyBorder="1" applyAlignment="1">
      <alignment horizontal="center" vertical="center" wrapText="1"/>
    </xf>
    <xf numFmtId="0" fontId="37" fillId="0" borderId="0" xfId="7" applyFont="1" applyAlignment="1">
      <alignment horizontal="justify" vertical="center" wrapText="1"/>
    </xf>
    <xf numFmtId="0" fontId="37" fillId="0" borderId="2" xfId="7" applyFont="1" applyBorder="1" applyAlignment="1">
      <alignment horizontal="justify"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xf>
    <xf numFmtId="0" fontId="13" fillId="2" borderId="1" xfId="0" applyFont="1" applyFill="1" applyBorder="1" applyAlignment="1">
      <alignment horizontal="center" vertical="center"/>
    </xf>
    <xf numFmtId="0" fontId="39" fillId="0" borderId="2" xfId="0" applyFont="1" applyBorder="1" applyAlignment="1">
      <alignment horizontal="justify" vertical="center" wrapText="1"/>
    </xf>
    <xf numFmtId="0" fontId="7" fillId="2" borderId="1" xfId="0" applyFont="1" applyFill="1" applyBorder="1" applyAlignment="1">
      <alignment horizontal="center" vertical="center" wrapText="1"/>
    </xf>
    <xf numFmtId="49" fontId="4" fillId="2" borderId="5" xfId="2" applyNumberFormat="1" applyFont="1" applyFill="1" applyBorder="1" applyAlignment="1">
      <alignment horizontal="center" vertical="center" wrapText="1"/>
    </xf>
    <xf numFmtId="49" fontId="4" fillId="2" borderId="7" xfId="2" applyNumberFormat="1"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1" xfId="0" applyFont="1" applyFill="1" applyBorder="1" applyAlignment="1">
      <alignment horizontal="center" vertical="center" wrapText="1"/>
    </xf>
  </cellXfs>
  <cellStyles count="9">
    <cellStyle name="Hipervínculo" xfId="8" builtinId="8"/>
    <cellStyle name="Millares [0] 3" xfId="4" xr:uid="{C2AB705B-6ACE-455B-9FE9-84696F186E82}"/>
    <cellStyle name="Millares 3 3" xfId="6" xr:uid="{20362781-2649-4107-9ADB-51A2A5F0FBE8}"/>
    <cellStyle name="Millares 4" xfId="3" xr:uid="{34282070-699F-476B-891D-2D6B7A350942}"/>
    <cellStyle name="Normal" xfId="0" builtinId="0"/>
    <cellStyle name="Normal 2 3" xfId="2" xr:uid="{4D7071EB-E702-4170-B4BD-592BF4F003A2}"/>
    <cellStyle name="Normal 3" xfId="1" xr:uid="{D5D617D2-8719-4285-B367-ED2813DBC27A}"/>
    <cellStyle name="Normal 8 2" xfId="5" xr:uid="{E1B5BBD2-B1B0-4AD9-B71A-6AE8F4DC9135}"/>
    <cellStyle name="Normal_actividad AGRICUL" xfId="7" xr:uid="{B3571C39-EF5A-436C-B77F-56D30038F77A}"/>
  </cellStyles>
  <dxfs count="0"/>
  <tableStyles count="0" defaultTableStyle="TableStyleMedium2" defaultPivotStyle="PivotStyleLight16"/>
  <colors>
    <mruColors>
      <color rgb="FFC9E7FF"/>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editAs="oneCell">
    <xdr:from>
      <xdr:col>21</xdr:col>
      <xdr:colOff>560</xdr:colOff>
      <xdr:row>0</xdr:row>
      <xdr:rowOff>0</xdr:rowOff>
    </xdr:from>
    <xdr:to>
      <xdr:col>27</xdr:col>
      <xdr:colOff>26416</xdr:colOff>
      <xdr:row>29</xdr:row>
      <xdr:rowOff>9524</xdr:rowOff>
    </xdr:to>
    <xdr:pic>
      <xdr:nvPicPr>
        <xdr:cNvPr id="6" name="Imagen 5">
          <a:extLst>
            <a:ext uri="{FF2B5EF4-FFF2-40B4-BE49-F238E27FC236}">
              <a16:creationId xmlns:a16="http://schemas.microsoft.com/office/drawing/2014/main" id="{9C503FEA-9479-4145-A579-F6547762A9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97260" y="0"/>
          <a:ext cx="4597856" cy="64007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133350</xdr:colOff>
      <xdr:row>0</xdr:row>
      <xdr:rowOff>104775</xdr:rowOff>
    </xdr:from>
    <xdr:to>
      <xdr:col>17</xdr:col>
      <xdr:colOff>0</xdr:colOff>
      <xdr:row>2</xdr:row>
      <xdr:rowOff>91017</xdr:rowOff>
    </xdr:to>
    <xdr:pic>
      <xdr:nvPicPr>
        <xdr:cNvPr id="2" name="1 Imagen">
          <a:hlinkClick xmlns:r="http://schemas.openxmlformats.org/officeDocument/2006/relationships" r:id="rId1"/>
          <a:extLst>
            <a:ext uri="{FF2B5EF4-FFF2-40B4-BE49-F238E27FC236}">
              <a16:creationId xmlns:a16="http://schemas.microsoft.com/office/drawing/2014/main" id="{1CF25F20-6411-4FF7-A03A-0FD4395F75A3}"/>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13430250" y="104775"/>
          <a:ext cx="107632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114300</xdr:colOff>
      <xdr:row>0</xdr:row>
      <xdr:rowOff>114300</xdr:rowOff>
    </xdr:from>
    <xdr:to>
      <xdr:col>16</xdr:col>
      <xdr:colOff>1009650</xdr:colOff>
      <xdr:row>2</xdr:row>
      <xdr:rowOff>100542</xdr:rowOff>
    </xdr:to>
    <xdr:pic>
      <xdr:nvPicPr>
        <xdr:cNvPr id="2" name="1 Imagen">
          <a:hlinkClick xmlns:r="http://schemas.openxmlformats.org/officeDocument/2006/relationships" r:id="rId1"/>
          <a:extLst>
            <a:ext uri="{FF2B5EF4-FFF2-40B4-BE49-F238E27FC236}">
              <a16:creationId xmlns:a16="http://schemas.microsoft.com/office/drawing/2014/main" id="{3847B5B2-B5A8-4623-9909-269566BAE1DC}"/>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15640050" y="304800"/>
          <a:ext cx="107632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152400</xdr:colOff>
      <xdr:row>0</xdr:row>
      <xdr:rowOff>76200</xdr:rowOff>
    </xdr:from>
    <xdr:to>
      <xdr:col>17</xdr:col>
      <xdr:colOff>19050</xdr:colOff>
      <xdr:row>2</xdr:row>
      <xdr:rowOff>62442</xdr:rowOff>
    </xdr:to>
    <xdr:pic>
      <xdr:nvPicPr>
        <xdr:cNvPr id="2" name="1 Imagen">
          <a:hlinkClick xmlns:r="http://schemas.openxmlformats.org/officeDocument/2006/relationships" r:id="rId1"/>
          <a:extLst>
            <a:ext uri="{FF2B5EF4-FFF2-40B4-BE49-F238E27FC236}">
              <a16:creationId xmlns:a16="http://schemas.microsoft.com/office/drawing/2014/main" id="{62E7549D-DFAE-4C2F-A97A-34BBF38FB8D6}"/>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13449300" y="76200"/>
          <a:ext cx="107632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85725</xdr:colOff>
      <xdr:row>0</xdr:row>
      <xdr:rowOff>142875</xdr:rowOff>
    </xdr:from>
    <xdr:to>
      <xdr:col>5</xdr:col>
      <xdr:colOff>400050</xdr:colOff>
      <xdr:row>2</xdr:row>
      <xdr:rowOff>129117</xdr:rowOff>
    </xdr:to>
    <xdr:pic>
      <xdr:nvPicPr>
        <xdr:cNvPr id="2" name="1 Imagen">
          <a:hlinkClick xmlns:r="http://schemas.openxmlformats.org/officeDocument/2006/relationships" r:id="rId1"/>
          <a:extLst>
            <a:ext uri="{FF2B5EF4-FFF2-40B4-BE49-F238E27FC236}">
              <a16:creationId xmlns:a16="http://schemas.microsoft.com/office/drawing/2014/main" id="{12E7DF11-3BA3-4C94-932C-63B8A89A9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6343650" y="142875"/>
          <a:ext cx="107632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133350</xdr:colOff>
      <xdr:row>0</xdr:row>
      <xdr:rowOff>133350</xdr:rowOff>
    </xdr:from>
    <xdr:to>
      <xdr:col>5</xdr:col>
      <xdr:colOff>447675</xdr:colOff>
      <xdr:row>2</xdr:row>
      <xdr:rowOff>119592</xdr:rowOff>
    </xdr:to>
    <xdr:pic>
      <xdr:nvPicPr>
        <xdr:cNvPr id="2" name="1 Imagen">
          <a:hlinkClick xmlns:r="http://schemas.openxmlformats.org/officeDocument/2006/relationships" r:id="rId1"/>
          <a:extLst>
            <a:ext uri="{FF2B5EF4-FFF2-40B4-BE49-F238E27FC236}">
              <a16:creationId xmlns:a16="http://schemas.microsoft.com/office/drawing/2014/main" id="{7DA84D29-2CAC-499A-8A4A-BFEA7E55DE92}"/>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6391275" y="133350"/>
          <a:ext cx="107632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180975</xdr:colOff>
      <xdr:row>0</xdr:row>
      <xdr:rowOff>161925</xdr:rowOff>
    </xdr:from>
    <xdr:to>
      <xdr:col>5</xdr:col>
      <xdr:colOff>495300</xdr:colOff>
      <xdr:row>2</xdr:row>
      <xdr:rowOff>148167</xdr:rowOff>
    </xdr:to>
    <xdr:pic>
      <xdr:nvPicPr>
        <xdr:cNvPr id="2" name="1 Imagen">
          <a:hlinkClick xmlns:r="http://schemas.openxmlformats.org/officeDocument/2006/relationships" r:id="rId1"/>
          <a:extLst>
            <a:ext uri="{FF2B5EF4-FFF2-40B4-BE49-F238E27FC236}">
              <a16:creationId xmlns:a16="http://schemas.microsoft.com/office/drawing/2014/main" id="{DC45F614-CA71-477D-806E-FC4466421D53}"/>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6438900" y="161925"/>
          <a:ext cx="107632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123825</xdr:colOff>
      <xdr:row>0</xdr:row>
      <xdr:rowOff>142875</xdr:rowOff>
    </xdr:from>
    <xdr:to>
      <xdr:col>5</xdr:col>
      <xdr:colOff>438150</xdr:colOff>
      <xdr:row>2</xdr:row>
      <xdr:rowOff>129117</xdr:rowOff>
    </xdr:to>
    <xdr:pic>
      <xdr:nvPicPr>
        <xdr:cNvPr id="2" name="1 Imagen">
          <a:hlinkClick xmlns:r="http://schemas.openxmlformats.org/officeDocument/2006/relationships" r:id="rId1"/>
          <a:extLst>
            <a:ext uri="{FF2B5EF4-FFF2-40B4-BE49-F238E27FC236}">
              <a16:creationId xmlns:a16="http://schemas.microsoft.com/office/drawing/2014/main" id="{F10F5EA7-2028-4A3A-8B0B-E3EBCD9213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6381750" y="142875"/>
          <a:ext cx="107632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1066800</xdr:colOff>
      <xdr:row>0</xdr:row>
      <xdr:rowOff>171450</xdr:rowOff>
    </xdr:from>
    <xdr:to>
      <xdr:col>11</xdr:col>
      <xdr:colOff>1009650</xdr:colOff>
      <xdr:row>2</xdr:row>
      <xdr:rowOff>157692</xdr:rowOff>
    </xdr:to>
    <xdr:pic>
      <xdr:nvPicPr>
        <xdr:cNvPr id="2" name="1 Imagen">
          <a:hlinkClick xmlns:r="http://schemas.openxmlformats.org/officeDocument/2006/relationships" r:id="rId1"/>
          <a:extLst>
            <a:ext uri="{FF2B5EF4-FFF2-40B4-BE49-F238E27FC236}">
              <a16:creationId xmlns:a16="http://schemas.microsoft.com/office/drawing/2014/main" id="{4F92EDA6-2B0C-4B4F-A295-A375A4EA46F2}"/>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9324975" y="171450"/>
          <a:ext cx="107632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1066800</xdr:colOff>
      <xdr:row>0</xdr:row>
      <xdr:rowOff>142875</xdr:rowOff>
    </xdr:from>
    <xdr:to>
      <xdr:col>11</xdr:col>
      <xdr:colOff>1009650</xdr:colOff>
      <xdr:row>2</xdr:row>
      <xdr:rowOff>129117</xdr:rowOff>
    </xdr:to>
    <xdr:pic>
      <xdr:nvPicPr>
        <xdr:cNvPr id="2" name="1 Imagen">
          <a:hlinkClick xmlns:r="http://schemas.openxmlformats.org/officeDocument/2006/relationships" r:id="rId1"/>
          <a:extLst>
            <a:ext uri="{FF2B5EF4-FFF2-40B4-BE49-F238E27FC236}">
              <a16:creationId xmlns:a16="http://schemas.microsoft.com/office/drawing/2014/main" id="{793289ED-7894-4172-8F3F-B8BF0BFAF7C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9324975" y="142875"/>
          <a:ext cx="107632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14</xdr:col>
      <xdr:colOff>619125</xdr:colOff>
      <xdr:row>0</xdr:row>
      <xdr:rowOff>209550</xdr:rowOff>
    </xdr:from>
    <xdr:to>
      <xdr:col>15</xdr:col>
      <xdr:colOff>561975</xdr:colOff>
      <xdr:row>3</xdr:row>
      <xdr:rowOff>5292</xdr:rowOff>
    </xdr:to>
    <xdr:pic>
      <xdr:nvPicPr>
        <xdr:cNvPr id="2" name="1 Imagen">
          <a:hlinkClick xmlns:r="http://schemas.openxmlformats.org/officeDocument/2006/relationships" r:id="rId1"/>
          <a:extLst>
            <a:ext uri="{FF2B5EF4-FFF2-40B4-BE49-F238E27FC236}">
              <a16:creationId xmlns:a16="http://schemas.microsoft.com/office/drawing/2014/main" id="{3DDD5476-3DAA-44F3-ABFC-D6C26C013D9A}"/>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11934825" y="209550"/>
          <a:ext cx="107632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996043</xdr:colOff>
      <xdr:row>1</xdr:row>
      <xdr:rowOff>54428</xdr:rowOff>
    </xdr:from>
    <xdr:to>
      <xdr:col>7</xdr:col>
      <xdr:colOff>938893</xdr:colOff>
      <xdr:row>3</xdr:row>
      <xdr:rowOff>95099</xdr:rowOff>
    </xdr:to>
    <xdr:pic>
      <xdr:nvPicPr>
        <xdr:cNvPr id="2" name="1 Imagen">
          <a:hlinkClick xmlns:r="http://schemas.openxmlformats.org/officeDocument/2006/relationships" r:id="rId1"/>
          <a:extLst>
            <a:ext uri="{FF2B5EF4-FFF2-40B4-BE49-F238E27FC236}">
              <a16:creationId xmlns:a16="http://schemas.microsoft.com/office/drawing/2014/main" id="{818A5F63-22D1-4352-B2BA-E7CE89D77C92}"/>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8643257" y="299357"/>
          <a:ext cx="1072243" cy="476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14</xdr:col>
      <xdr:colOff>676275</xdr:colOff>
      <xdr:row>0</xdr:row>
      <xdr:rowOff>95250</xdr:rowOff>
    </xdr:from>
    <xdr:to>
      <xdr:col>15</xdr:col>
      <xdr:colOff>619125</xdr:colOff>
      <xdr:row>2</xdr:row>
      <xdr:rowOff>81492</xdr:rowOff>
    </xdr:to>
    <xdr:pic>
      <xdr:nvPicPr>
        <xdr:cNvPr id="2" name="1 Imagen">
          <a:hlinkClick xmlns:r="http://schemas.openxmlformats.org/officeDocument/2006/relationships" r:id="rId1"/>
          <a:extLst>
            <a:ext uri="{FF2B5EF4-FFF2-40B4-BE49-F238E27FC236}">
              <a16:creationId xmlns:a16="http://schemas.microsoft.com/office/drawing/2014/main" id="{B16874D1-0D19-4180-860D-14F0ADB15F53}"/>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11991975" y="95250"/>
          <a:ext cx="107632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14</xdr:col>
      <xdr:colOff>571500</xdr:colOff>
      <xdr:row>0</xdr:row>
      <xdr:rowOff>190500</xdr:rowOff>
    </xdr:from>
    <xdr:to>
      <xdr:col>15</xdr:col>
      <xdr:colOff>514350</xdr:colOff>
      <xdr:row>2</xdr:row>
      <xdr:rowOff>176742</xdr:rowOff>
    </xdr:to>
    <xdr:pic>
      <xdr:nvPicPr>
        <xdr:cNvPr id="2" name="1 Imagen">
          <a:hlinkClick xmlns:r="http://schemas.openxmlformats.org/officeDocument/2006/relationships" r:id="rId1"/>
          <a:extLst>
            <a:ext uri="{FF2B5EF4-FFF2-40B4-BE49-F238E27FC236}">
              <a16:creationId xmlns:a16="http://schemas.microsoft.com/office/drawing/2014/main" id="{EE75532D-C301-438D-86F7-E0F794F1CFDC}"/>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11887200" y="190500"/>
          <a:ext cx="107632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14</xdr:col>
      <xdr:colOff>990600</xdr:colOff>
      <xdr:row>0</xdr:row>
      <xdr:rowOff>219075</xdr:rowOff>
    </xdr:from>
    <xdr:to>
      <xdr:col>15</xdr:col>
      <xdr:colOff>933450</xdr:colOff>
      <xdr:row>3</xdr:row>
      <xdr:rowOff>14817</xdr:rowOff>
    </xdr:to>
    <xdr:pic>
      <xdr:nvPicPr>
        <xdr:cNvPr id="2" name="1 Imagen">
          <a:hlinkClick xmlns:r="http://schemas.openxmlformats.org/officeDocument/2006/relationships" r:id="rId1"/>
          <a:extLst>
            <a:ext uri="{FF2B5EF4-FFF2-40B4-BE49-F238E27FC236}">
              <a16:creationId xmlns:a16="http://schemas.microsoft.com/office/drawing/2014/main" id="{B12CF753-14D1-4376-999B-B6D5B395E885}"/>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16011525" y="219075"/>
          <a:ext cx="107632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28575</xdr:colOff>
      <xdr:row>1</xdr:row>
      <xdr:rowOff>19050</xdr:rowOff>
    </xdr:from>
    <xdr:to>
      <xdr:col>7</xdr:col>
      <xdr:colOff>1104900</xdr:colOff>
      <xdr:row>3</xdr:row>
      <xdr:rowOff>52917</xdr:rowOff>
    </xdr:to>
    <xdr:pic>
      <xdr:nvPicPr>
        <xdr:cNvPr id="2" name="1 Imagen">
          <a:hlinkClick xmlns:r="http://schemas.openxmlformats.org/officeDocument/2006/relationships" r:id="rId1"/>
          <a:extLst>
            <a:ext uri="{FF2B5EF4-FFF2-40B4-BE49-F238E27FC236}">
              <a16:creationId xmlns:a16="http://schemas.microsoft.com/office/drawing/2014/main" id="{00B22D59-1CC2-42E5-8FA8-2399E924450D}"/>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8829675" y="257175"/>
          <a:ext cx="107632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14</xdr:col>
      <xdr:colOff>876300</xdr:colOff>
      <xdr:row>1</xdr:row>
      <xdr:rowOff>3175</xdr:rowOff>
    </xdr:from>
    <xdr:to>
      <xdr:col>15</xdr:col>
      <xdr:colOff>819150</xdr:colOff>
      <xdr:row>3</xdr:row>
      <xdr:rowOff>37042</xdr:rowOff>
    </xdr:to>
    <xdr:pic>
      <xdr:nvPicPr>
        <xdr:cNvPr id="2" name="1 Imagen">
          <a:hlinkClick xmlns:r="http://schemas.openxmlformats.org/officeDocument/2006/relationships" r:id="rId1"/>
          <a:extLst>
            <a:ext uri="{FF2B5EF4-FFF2-40B4-BE49-F238E27FC236}">
              <a16:creationId xmlns:a16="http://schemas.microsoft.com/office/drawing/2014/main" id="{984E960E-C688-4183-82DE-E4CF8880112D}"/>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15814675" y="241300"/>
          <a:ext cx="106997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14</xdr:col>
      <xdr:colOff>844550</xdr:colOff>
      <xdr:row>1</xdr:row>
      <xdr:rowOff>31750</xdr:rowOff>
    </xdr:from>
    <xdr:to>
      <xdr:col>15</xdr:col>
      <xdr:colOff>787400</xdr:colOff>
      <xdr:row>3</xdr:row>
      <xdr:rowOff>65617</xdr:rowOff>
    </xdr:to>
    <xdr:pic>
      <xdr:nvPicPr>
        <xdr:cNvPr id="2" name="1 Imagen">
          <a:hlinkClick xmlns:r="http://schemas.openxmlformats.org/officeDocument/2006/relationships" r:id="rId1"/>
          <a:extLst>
            <a:ext uri="{FF2B5EF4-FFF2-40B4-BE49-F238E27FC236}">
              <a16:creationId xmlns:a16="http://schemas.microsoft.com/office/drawing/2014/main" id="{8AB3B3DE-FEE4-426D-8CCF-17AAA29A4325}"/>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10378" t="30818" r="8176"/>
        <a:stretch>
          <a:fillRect/>
        </a:stretch>
      </xdr:blipFill>
      <xdr:spPr bwMode="auto">
        <a:xfrm>
          <a:off x="15782925" y="269875"/>
          <a:ext cx="1069975"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b.pe/institucion/inei/informes-publicaciones/6954323-cuentas-experimentales-de-energia-y-emisiones-al-air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7255F-D8B4-4349-B35E-7231B769CE26}">
  <sheetPr codeName="Hoja2">
    <pageSetUpPr fitToPage="1"/>
  </sheetPr>
  <dimension ref="A1:T528"/>
  <sheetViews>
    <sheetView showGridLines="0" tabSelected="1" zoomScaleNormal="100" zoomScaleSheetLayoutView="100" workbookViewId="0">
      <selection activeCell="H13" sqref="H13"/>
    </sheetView>
  </sheetViews>
  <sheetFormatPr baseColWidth="10" defaultRowHeight="17.25" x14ac:dyDescent="0.3"/>
  <cols>
    <col min="2" max="2" width="3.5703125" customWidth="1"/>
    <col min="3" max="3" width="3.42578125" customWidth="1"/>
    <col min="4" max="4" width="11.42578125" customWidth="1"/>
    <col min="5" max="5" width="5.140625" style="56" bestFit="1" customWidth="1"/>
    <col min="16" max="16" width="14.7109375" customWidth="1"/>
    <col min="17" max="17" width="11.42578125" hidden="1" customWidth="1"/>
    <col min="18" max="18" width="5" hidden="1" customWidth="1"/>
    <col min="19" max="20" width="11.42578125" hidden="1" customWidth="1"/>
  </cols>
  <sheetData>
    <row r="1" spans="1:19" ht="15" x14ac:dyDescent="0.25">
      <c r="A1" s="124" t="s">
        <v>61</v>
      </c>
      <c r="E1"/>
    </row>
    <row r="2" spans="1:19" ht="36" x14ac:dyDescent="0.25">
      <c r="A2" s="124"/>
      <c r="C2" s="69" t="s">
        <v>71</v>
      </c>
      <c r="D2" s="65"/>
      <c r="E2" s="65"/>
      <c r="F2" s="65"/>
      <c r="G2" s="65"/>
      <c r="H2" s="65"/>
      <c r="I2" s="65"/>
      <c r="J2" s="65"/>
      <c r="K2" s="65"/>
      <c r="L2" s="65"/>
      <c r="M2" s="65"/>
    </row>
    <row r="3" spans="1:19" ht="3" customHeight="1" x14ac:dyDescent="0.25">
      <c r="A3" s="124"/>
      <c r="E3"/>
    </row>
    <row r="4" spans="1:19" ht="19.5" x14ac:dyDescent="0.3">
      <c r="A4" s="124"/>
      <c r="C4" s="68" t="s">
        <v>70</v>
      </c>
      <c r="E4" s="55"/>
    </row>
    <row r="5" spans="1:19" ht="15.75" x14ac:dyDescent="0.25">
      <c r="A5" s="124"/>
      <c r="D5" s="66" t="str">
        <f>HYPERLINK("#" &amp; Q5 &amp; "!A1", "CUADRO N°")</f>
        <v>CUADRO N°</v>
      </c>
      <c r="E5" s="57">
        <f>HYPERLINK("#" &amp; $Q5&amp; "!A1", $R5)</f>
        <v>1</v>
      </c>
      <c r="F5" s="66" t="str">
        <f>HYPERLINK("#" &amp; $Q5&amp; "!A1", $S5)</f>
        <v>PERÚ: CUADRO DE OFERTA Y UTILIZACIÓN DE LAS EMISIONES AL AIRE EN UNIDADES FÍSICAS, 2019</v>
      </c>
      <c r="Q5" t="s">
        <v>100</v>
      </c>
      <c r="R5">
        <v>1</v>
      </c>
      <c r="S5" t="s">
        <v>122</v>
      </c>
    </row>
    <row r="6" spans="1:19" ht="15.75" x14ac:dyDescent="0.25">
      <c r="A6" s="124"/>
      <c r="D6" s="66" t="str">
        <f>HYPERLINK("#" &amp; Q6 &amp; "!A1", "CUADRO N°")</f>
        <v>CUADRO N°</v>
      </c>
      <c r="E6" s="57">
        <f>HYPERLINK("#" &amp; $Q6&amp; "!A1", $R6)</f>
        <v>2</v>
      </c>
      <c r="F6" s="66" t="str">
        <f>HYPERLINK("#" &amp; $Q6&amp; "!A1", $S6)</f>
        <v>PERÚ: CUADRO DE OFERTA Y UTILIZACIÓN DE LAS EMISIONES AL AIRE EN UNIDADES FÍSICAS, 2020</v>
      </c>
      <c r="Q6" t="s">
        <v>101</v>
      </c>
      <c r="R6">
        <f>R5+1</f>
        <v>2</v>
      </c>
      <c r="S6" t="s">
        <v>123</v>
      </c>
    </row>
    <row r="7" spans="1:19" ht="15.75" x14ac:dyDescent="0.25">
      <c r="A7" s="124"/>
      <c r="D7" s="66" t="str">
        <f>HYPERLINK("#" &amp; Q7 &amp; "!A1", "CUADRO N°")</f>
        <v>CUADRO N°</v>
      </c>
      <c r="E7" s="57">
        <f>HYPERLINK("#" &amp; $Q7&amp; "!A1", $R7)</f>
        <v>3</v>
      </c>
      <c r="F7" s="66" t="str">
        <f>HYPERLINK("#" &amp; $Q7&amp; "!A1", $S7)</f>
        <v>PERÚ: CUADRO DE OFERTA Y UTILIZACIÓN DE LAS EMISIONES AL AIRE EN UNIDADES FÍSICAS, 2021</v>
      </c>
      <c r="Q7" t="s">
        <v>102</v>
      </c>
      <c r="R7">
        <f>R6+1</f>
        <v>3</v>
      </c>
      <c r="S7" t="s">
        <v>124</v>
      </c>
    </row>
    <row r="8" spans="1:19" ht="15.75" x14ac:dyDescent="0.25">
      <c r="A8" s="124"/>
      <c r="D8" s="66" t="str">
        <f>HYPERLINK("#" &amp; Q8 &amp; "!A1", "CUADRO N°")</f>
        <v>CUADRO N°</v>
      </c>
      <c r="E8" s="57">
        <f t="shared" ref="E8:E21" si="0">HYPERLINK("#" &amp; $Q8&amp; "!A1", $R8)</f>
        <v>4</v>
      </c>
      <c r="F8" s="66" t="str">
        <f>HYPERLINK("#" &amp; $Q8&amp; "!A1", $S8)</f>
        <v>PERÚ: CUENTA DE EMISIONES AL AIRE EN UNIDADES FÍSICAS, 2019 - 2021</v>
      </c>
      <c r="Q8" t="s">
        <v>103</v>
      </c>
      <c r="R8">
        <f>R7+1</f>
        <v>4</v>
      </c>
      <c r="S8" t="s">
        <v>53</v>
      </c>
    </row>
    <row r="9" spans="1:19" ht="15.75" x14ac:dyDescent="0.25">
      <c r="A9" s="124"/>
      <c r="D9" s="66" t="str">
        <f>HYPERLINK("#" &amp; Q9 &amp; "!A1", "CUADRO N°")</f>
        <v>CUADRO N°</v>
      </c>
      <c r="E9" s="57">
        <f t="shared" si="0"/>
        <v>5</v>
      </c>
      <c r="F9" s="66" t="str">
        <f>HYPERLINK("#" &amp; $Q9&amp; "!A1", $S9)</f>
        <v>ESTRUCTURA PORCENTUAL</v>
      </c>
      <c r="Q9" t="s">
        <v>104</v>
      </c>
      <c r="R9">
        <f t="shared" ref="R9:R18" si="1">R8+1</f>
        <v>5</v>
      </c>
      <c r="S9" t="s">
        <v>62</v>
      </c>
    </row>
    <row r="10" spans="1:19" ht="15.75" x14ac:dyDescent="0.25">
      <c r="A10" s="124"/>
      <c r="D10" s="66" t="str">
        <f t="shared" ref="D10:D21" si="2">HYPERLINK("#" &amp; Q10 &amp; "!A1", "CUADRO N°")</f>
        <v>CUADRO N°</v>
      </c>
      <c r="E10" s="57">
        <f t="shared" si="0"/>
        <v>6</v>
      </c>
      <c r="F10" s="66" t="str">
        <f t="shared" ref="F10:F21" si="3">HYPERLINK("#" &amp; $Q10&amp; "!A1", $S10)</f>
        <v>ÍNDICES BASE 100 = 2019</v>
      </c>
      <c r="Q10" t="s">
        <v>105</v>
      </c>
      <c r="R10">
        <f t="shared" si="1"/>
        <v>6</v>
      </c>
      <c r="S10" t="s">
        <v>64</v>
      </c>
    </row>
    <row r="11" spans="1:19" ht="15.75" x14ac:dyDescent="0.25">
      <c r="A11" s="124"/>
      <c r="D11" s="66" t="str">
        <f t="shared" si="2"/>
        <v>CUADRO N°</v>
      </c>
      <c r="E11" s="57">
        <f t="shared" si="0"/>
        <v>7</v>
      </c>
      <c r="F11" s="66" t="str">
        <f t="shared" si="3"/>
        <v>VARIACIÓN INTERANUAL</v>
      </c>
      <c r="G11" s="67"/>
      <c r="Q11" t="s">
        <v>106</v>
      </c>
      <c r="R11">
        <f t="shared" si="1"/>
        <v>7</v>
      </c>
      <c r="S11" t="s">
        <v>65</v>
      </c>
    </row>
    <row r="12" spans="1:19" ht="15.75" x14ac:dyDescent="0.25">
      <c r="A12" s="124"/>
      <c r="D12" s="66" t="str">
        <f t="shared" si="2"/>
        <v>CUADRO N°</v>
      </c>
      <c r="E12" s="57">
        <f t="shared" si="0"/>
        <v>8</v>
      </c>
      <c r="F12" s="66" t="str">
        <f t="shared" si="3"/>
        <v xml:space="preserve">PERÚ: INTENSIDAD DE EMISIONES DE GEI POR PBI, 2019 - 2021 VALORES A PRECIOS CONSTANTES DE 2007 </v>
      </c>
      <c r="G12" s="67"/>
      <c r="Q12" t="s">
        <v>107</v>
      </c>
      <c r="R12">
        <f t="shared" si="1"/>
        <v>8</v>
      </c>
      <c r="S12" t="s">
        <v>66</v>
      </c>
    </row>
    <row r="13" spans="1:19" ht="15.75" x14ac:dyDescent="0.25">
      <c r="A13" s="124"/>
      <c r="D13" s="66" t="str">
        <f t="shared" si="2"/>
        <v>CUADRO N°</v>
      </c>
      <c r="E13" s="57">
        <f t="shared" si="0"/>
        <v>9</v>
      </c>
      <c r="F13" s="66" t="str">
        <f t="shared" si="3"/>
        <v>PERÚ: INTENSIDAD DE EMISIONES DE GEI POR PBI, 2019 - 2021 VALORES A PRECIOS CORRIENTES</v>
      </c>
      <c r="G13" s="67"/>
      <c r="Q13" t="s">
        <v>108</v>
      </c>
      <c r="R13">
        <f t="shared" si="1"/>
        <v>9</v>
      </c>
      <c r="S13" t="s">
        <v>67</v>
      </c>
    </row>
    <row r="14" spans="1:19" ht="15.75" x14ac:dyDescent="0.25">
      <c r="A14" s="124"/>
      <c r="D14" s="66" t="str">
        <f t="shared" si="2"/>
        <v>CUADRO N°</v>
      </c>
      <c r="E14" s="57">
        <f t="shared" si="0"/>
        <v>10</v>
      </c>
      <c r="F14" s="66" t="str">
        <f t="shared" si="3"/>
        <v>PERÚ: INTENSIDAD DE EMISIONES DE GEI POR ACTIVIDAD ECONÓMICA, 2019 - 2021 VALORES A PRECIOS CONSTANTES DE 2007</v>
      </c>
      <c r="G14" s="67"/>
      <c r="Q14" t="s">
        <v>109</v>
      </c>
      <c r="R14">
        <f t="shared" si="1"/>
        <v>10</v>
      </c>
      <c r="S14" t="s">
        <v>68</v>
      </c>
    </row>
    <row r="15" spans="1:19" ht="15.75" x14ac:dyDescent="0.25">
      <c r="A15" s="124"/>
      <c r="D15" s="66" t="str">
        <f t="shared" si="2"/>
        <v>CUADRO N°</v>
      </c>
      <c r="E15" s="57">
        <f t="shared" si="0"/>
        <v>11</v>
      </c>
      <c r="F15" s="66" t="str">
        <f t="shared" si="3"/>
        <v>ESTRUCTURA PORCENTUAL</v>
      </c>
      <c r="G15" s="67"/>
      <c r="Q15" t="s">
        <v>110</v>
      </c>
      <c r="R15">
        <f t="shared" si="1"/>
        <v>11</v>
      </c>
      <c r="S15" t="s">
        <v>62</v>
      </c>
    </row>
    <row r="16" spans="1:19" ht="15.75" x14ac:dyDescent="0.25">
      <c r="A16" s="124"/>
      <c r="D16" s="66" t="str">
        <f t="shared" si="2"/>
        <v>CUADRO N°</v>
      </c>
      <c r="E16" s="57">
        <f t="shared" si="0"/>
        <v>12</v>
      </c>
      <c r="F16" s="66" t="str">
        <f t="shared" si="3"/>
        <v>ÍNDICES BASE 100 = 2019</v>
      </c>
      <c r="G16" s="67"/>
      <c r="Q16" t="s">
        <v>111</v>
      </c>
      <c r="R16">
        <f t="shared" si="1"/>
        <v>12</v>
      </c>
      <c r="S16" t="s">
        <v>64</v>
      </c>
    </row>
    <row r="17" spans="1:20" ht="15.75" x14ac:dyDescent="0.25">
      <c r="A17" s="124"/>
      <c r="D17" s="66" t="str">
        <f t="shared" si="2"/>
        <v>CUADRO N°</v>
      </c>
      <c r="E17" s="57">
        <f t="shared" si="0"/>
        <v>13</v>
      </c>
      <c r="F17" s="66" t="str">
        <f t="shared" si="3"/>
        <v>VARIACIÓN INTERANUAL</v>
      </c>
      <c r="G17" s="67"/>
      <c r="Q17" t="s">
        <v>112</v>
      </c>
      <c r="R17">
        <f t="shared" si="1"/>
        <v>13</v>
      </c>
      <c r="S17" t="s">
        <v>65</v>
      </c>
    </row>
    <row r="18" spans="1:20" ht="15.75" x14ac:dyDescent="0.25">
      <c r="A18" s="124"/>
      <c r="D18" s="66" t="str">
        <f t="shared" si="2"/>
        <v>CUADRO N°</v>
      </c>
      <c r="E18" s="57">
        <f t="shared" si="0"/>
        <v>14</v>
      </c>
      <c r="F18" s="66" t="str">
        <f t="shared" si="3"/>
        <v>PERÚ: INTENSIDAD DE EMISIONES DE GEI POR ACTIVIDAD ECONÓMICA, 2019 - 2021 VALORES A PRECIOS CORRIENTES</v>
      </c>
      <c r="G18" s="67"/>
      <c r="Q18" t="s">
        <v>113</v>
      </c>
      <c r="R18">
        <f t="shared" si="1"/>
        <v>14</v>
      </c>
      <c r="S18" t="s">
        <v>69</v>
      </c>
    </row>
    <row r="19" spans="1:20" ht="15.75" x14ac:dyDescent="0.25">
      <c r="A19" s="124"/>
      <c r="D19" s="66" t="str">
        <f t="shared" si="2"/>
        <v>CUADRO N°</v>
      </c>
      <c r="E19" s="57">
        <f t="shared" si="0"/>
        <v>15</v>
      </c>
      <c r="F19" s="66" t="str">
        <f t="shared" si="3"/>
        <v>ESTRUCTURA PORCENTUAL</v>
      </c>
      <c r="G19" s="67"/>
      <c r="Q19" t="s">
        <v>114</v>
      </c>
      <c r="R19">
        <f>R18+1</f>
        <v>15</v>
      </c>
      <c r="S19" t="s">
        <v>62</v>
      </c>
    </row>
    <row r="20" spans="1:20" ht="15.75" x14ac:dyDescent="0.25">
      <c r="A20" s="124"/>
      <c r="D20" s="66" t="str">
        <f t="shared" si="2"/>
        <v>CUADRO N°</v>
      </c>
      <c r="E20" s="57">
        <f t="shared" si="0"/>
        <v>16</v>
      </c>
      <c r="F20" s="66" t="str">
        <f t="shared" si="3"/>
        <v>ÍNDICES BASE 100 = 2019</v>
      </c>
      <c r="Q20" t="s">
        <v>115</v>
      </c>
      <c r="R20">
        <v>16</v>
      </c>
      <c r="S20" t="s">
        <v>64</v>
      </c>
    </row>
    <row r="21" spans="1:20" ht="15.75" x14ac:dyDescent="0.25">
      <c r="A21" s="124"/>
      <c r="D21" s="66" t="str">
        <f t="shared" si="2"/>
        <v>CUADRO N°</v>
      </c>
      <c r="E21" s="57">
        <f t="shared" si="0"/>
        <v>17</v>
      </c>
      <c r="F21" s="66" t="str">
        <f t="shared" si="3"/>
        <v>VARIACIÓN INTERANUAL</v>
      </c>
      <c r="Q21" t="s">
        <v>116</v>
      </c>
      <c r="R21">
        <v>17</v>
      </c>
      <c r="S21" t="s">
        <v>65</v>
      </c>
    </row>
    <row r="22" spans="1:20" ht="15.75" x14ac:dyDescent="0.25">
      <c r="A22" s="124"/>
      <c r="E22" s="55"/>
    </row>
    <row r="23" spans="1:20" ht="15.75" x14ac:dyDescent="0.25">
      <c r="E23" s="55"/>
    </row>
    <row r="24" spans="1:20" ht="15.75" x14ac:dyDescent="0.25">
      <c r="E24" s="55"/>
    </row>
    <row r="25" spans="1:20" ht="15.75" x14ac:dyDescent="0.25">
      <c r="A25" s="77" t="s">
        <v>76</v>
      </c>
      <c r="E25" s="55"/>
    </row>
    <row r="26" spans="1:20" ht="51.75" customHeight="1" x14ac:dyDescent="0.25">
      <c r="A26" s="125" t="s">
        <v>77</v>
      </c>
      <c r="B26" s="125"/>
      <c r="C26" s="125"/>
      <c r="D26" s="125"/>
      <c r="E26" s="125"/>
      <c r="F26" s="125"/>
      <c r="G26" s="125"/>
      <c r="H26" s="125"/>
      <c r="I26" s="125"/>
      <c r="J26" s="125"/>
      <c r="K26" s="125"/>
      <c r="L26" s="125"/>
      <c r="M26" s="125"/>
      <c r="N26" s="125"/>
      <c r="O26" s="125"/>
      <c r="P26" s="125"/>
      <c r="Q26" s="125"/>
      <c r="R26" s="125"/>
      <c r="S26" s="125"/>
      <c r="T26" s="125"/>
    </row>
    <row r="27" spans="1:20" ht="15.75" customHeight="1" x14ac:dyDescent="0.25">
      <c r="A27" s="126" t="s">
        <v>78</v>
      </c>
      <c r="B27" s="126"/>
      <c r="C27" s="126"/>
      <c r="D27" s="126"/>
      <c r="E27" s="126"/>
      <c r="F27" s="126"/>
      <c r="G27" s="126"/>
      <c r="H27" s="126"/>
      <c r="I27" s="126"/>
      <c r="J27" s="126"/>
      <c r="K27" s="126"/>
      <c r="L27" s="126"/>
      <c r="M27" s="126"/>
      <c r="N27" s="126"/>
      <c r="O27" s="126"/>
      <c r="P27" s="126"/>
      <c r="Q27" s="126"/>
      <c r="R27" s="126"/>
      <c r="S27" s="126"/>
      <c r="T27" s="126"/>
    </row>
    <row r="28" spans="1:20" ht="15.75" x14ac:dyDescent="0.25">
      <c r="E28" s="55"/>
    </row>
    <row r="29" spans="1:20" ht="15.75" x14ac:dyDescent="0.25">
      <c r="E29" s="55"/>
    </row>
    <row r="30" spans="1:20" ht="15.75" x14ac:dyDescent="0.25">
      <c r="E30" s="55"/>
    </row>
    <row r="31" spans="1:20" ht="15.75" x14ac:dyDescent="0.25">
      <c r="E31" s="55"/>
    </row>
    <row r="32" spans="1:20" ht="15.75" x14ac:dyDescent="0.25">
      <c r="E32" s="55"/>
    </row>
    <row r="33" spans="5:5" ht="15.75" x14ac:dyDescent="0.25">
      <c r="E33" s="55"/>
    </row>
    <row r="34" spans="5:5" ht="15.75" x14ac:dyDescent="0.25">
      <c r="E34" s="55"/>
    </row>
    <row r="35" spans="5:5" ht="15.75" x14ac:dyDescent="0.25">
      <c r="E35" s="55"/>
    </row>
    <row r="36" spans="5:5" ht="15.75" x14ac:dyDescent="0.25">
      <c r="E36" s="55"/>
    </row>
    <row r="37" spans="5:5" ht="15.75" x14ac:dyDescent="0.25">
      <c r="E37" s="55"/>
    </row>
    <row r="38" spans="5:5" ht="15.75" x14ac:dyDescent="0.25">
      <c r="E38" s="55"/>
    </row>
    <row r="39" spans="5:5" ht="15.75" x14ac:dyDescent="0.25">
      <c r="E39" s="55"/>
    </row>
    <row r="40" spans="5:5" ht="15.75" x14ac:dyDescent="0.25">
      <c r="E40" s="55"/>
    </row>
    <row r="41" spans="5:5" ht="15.75" x14ac:dyDescent="0.25">
      <c r="E41" s="55"/>
    </row>
    <row r="42" spans="5:5" ht="15.75" x14ac:dyDescent="0.25">
      <c r="E42" s="55"/>
    </row>
    <row r="43" spans="5:5" ht="15.75" x14ac:dyDescent="0.25">
      <c r="E43" s="55"/>
    </row>
    <row r="44" spans="5:5" ht="15.75" x14ac:dyDescent="0.25">
      <c r="E44" s="55"/>
    </row>
    <row r="45" spans="5:5" ht="15.75" x14ac:dyDescent="0.25">
      <c r="E45" s="55"/>
    </row>
    <row r="46" spans="5:5" ht="15.75" x14ac:dyDescent="0.25">
      <c r="E46" s="55"/>
    </row>
    <row r="47" spans="5:5" ht="15.75" x14ac:dyDescent="0.25">
      <c r="E47" s="55"/>
    </row>
    <row r="48" spans="5:5" ht="15.75" x14ac:dyDescent="0.25">
      <c r="E48" s="55"/>
    </row>
    <row r="49" spans="5:5" ht="15.75" x14ac:dyDescent="0.25">
      <c r="E49" s="55"/>
    </row>
    <row r="50" spans="5:5" ht="15.75" x14ac:dyDescent="0.25">
      <c r="E50" s="55"/>
    </row>
    <row r="51" spans="5:5" ht="15.75" x14ac:dyDescent="0.25">
      <c r="E51" s="55"/>
    </row>
    <row r="52" spans="5:5" ht="15.75" x14ac:dyDescent="0.25">
      <c r="E52" s="55"/>
    </row>
    <row r="53" spans="5:5" ht="15.75" x14ac:dyDescent="0.25">
      <c r="E53" s="55"/>
    </row>
    <row r="54" spans="5:5" ht="15.75" x14ac:dyDescent="0.25">
      <c r="E54" s="55"/>
    </row>
    <row r="55" spans="5:5" ht="15.75" x14ac:dyDescent="0.25">
      <c r="E55" s="55"/>
    </row>
    <row r="56" spans="5:5" ht="15.75" x14ac:dyDescent="0.25">
      <c r="E56" s="55"/>
    </row>
    <row r="57" spans="5:5" ht="15.75" x14ac:dyDescent="0.25">
      <c r="E57" s="55"/>
    </row>
    <row r="58" spans="5:5" ht="15.75" x14ac:dyDescent="0.25">
      <c r="E58" s="55"/>
    </row>
    <row r="59" spans="5:5" ht="15.75" x14ac:dyDescent="0.25">
      <c r="E59" s="55"/>
    </row>
    <row r="60" spans="5:5" ht="15.75" x14ac:dyDescent="0.25">
      <c r="E60" s="55"/>
    </row>
    <row r="61" spans="5:5" ht="15.75" x14ac:dyDescent="0.25">
      <c r="E61" s="55"/>
    </row>
    <row r="62" spans="5:5" ht="15.75" x14ac:dyDescent="0.25">
      <c r="E62" s="55"/>
    </row>
    <row r="63" spans="5:5" ht="15.75" x14ac:dyDescent="0.25">
      <c r="E63" s="55"/>
    </row>
    <row r="64" spans="5:5" ht="15.75" x14ac:dyDescent="0.25">
      <c r="E64" s="55"/>
    </row>
    <row r="65" spans="5:5" ht="15.75" x14ac:dyDescent="0.25">
      <c r="E65" s="55"/>
    </row>
    <row r="66" spans="5:5" ht="15.75" x14ac:dyDescent="0.25">
      <c r="E66" s="55"/>
    </row>
    <row r="67" spans="5:5" ht="15.75" x14ac:dyDescent="0.25">
      <c r="E67" s="55"/>
    </row>
    <row r="68" spans="5:5" ht="15.75" x14ac:dyDescent="0.25">
      <c r="E68" s="55"/>
    </row>
    <row r="69" spans="5:5" ht="15.75" x14ac:dyDescent="0.25">
      <c r="E69" s="55"/>
    </row>
    <row r="70" spans="5:5" ht="15.75" x14ac:dyDescent="0.25">
      <c r="E70" s="55"/>
    </row>
    <row r="71" spans="5:5" ht="15.75" x14ac:dyDescent="0.25">
      <c r="E71" s="55"/>
    </row>
    <row r="72" spans="5:5" ht="15.75" x14ac:dyDescent="0.25">
      <c r="E72" s="55"/>
    </row>
    <row r="73" spans="5:5" ht="15.75" x14ac:dyDescent="0.25">
      <c r="E73" s="55"/>
    </row>
    <row r="74" spans="5:5" ht="15.75" x14ac:dyDescent="0.25">
      <c r="E74" s="55"/>
    </row>
    <row r="75" spans="5:5" ht="15.75" x14ac:dyDescent="0.25">
      <c r="E75" s="55"/>
    </row>
    <row r="77" spans="5:5" ht="15" x14ac:dyDescent="0.25">
      <c r="E77"/>
    </row>
    <row r="78" spans="5:5" ht="15.75" x14ac:dyDescent="0.25">
      <c r="E78" s="55"/>
    </row>
    <row r="79" spans="5:5" ht="15.75" x14ac:dyDescent="0.25">
      <c r="E79" s="55"/>
    </row>
    <row r="80" spans="5:5" ht="15.75" x14ac:dyDescent="0.25">
      <c r="E80" s="55"/>
    </row>
    <row r="81" spans="5:5" ht="15.75" x14ac:dyDescent="0.25">
      <c r="E81" s="55"/>
    </row>
    <row r="82" spans="5:5" ht="15.75" x14ac:dyDescent="0.25">
      <c r="E82" s="55"/>
    </row>
    <row r="83" spans="5:5" ht="15.75" x14ac:dyDescent="0.25">
      <c r="E83" s="55"/>
    </row>
    <row r="84" spans="5:5" ht="15.75" x14ac:dyDescent="0.25">
      <c r="E84" s="55"/>
    </row>
    <row r="85" spans="5:5" ht="15.75" x14ac:dyDescent="0.25">
      <c r="E85" s="55"/>
    </row>
    <row r="86" spans="5:5" ht="15.75" x14ac:dyDescent="0.25">
      <c r="E86" s="55"/>
    </row>
    <row r="87" spans="5:5" ht="15.75" x14ac:dyDescent="0.25">
      <c r="E87" s="55"/>
    </row>
    <row r="88" spans="5:5" ht="15.75" x14ac:dyDescent="0.25">
      <c r="E88" s="55"/>
    </row>
    <row r="89" spans="5:5" ht="15.75" x14ac:dyDescent="0.25">
      <c r="E89" s="55"/>
    </row>
    <row r="90" spans="5:5" ht="15.75" x14ac:dyDescent="0.25">
      <c r="E90" s="55"/>
    </row>
    <row r="91" spans="5:5" ht="15.75" x14ac:dyDescent="0.25">
      <c r="E91" s="55"/>
    </row>
    <row r="92" spans="5:5" ht="15.75" x14ac:dyDescent="0.25">
      <c r="E92" s="55"/>
    </row>
    <row r="93" spans="5:5" ht="15.75" x14ac:dyDescent="0.25">
      <c r="E93" s="55"/>
    </row>
    <row r="94" spans="5:5" ht="15.75" x14ac:dyDescent="0.25">
      <c r="E94" s="55"/>
    </row>
    <row r="95" spans="5:5" ht="15.75" x14ac:dyDescent="0.25">
      <c r="E95" s="55"/>
    </row>
    <row r="96" spans="5:5" ht="15.75" x14ac:dyDescent="0.25">
      <c r="E96" s="55"/>
    </row>
    <row r="97" spans="5:5" ht="15.75" x14ac:dyDescent="0.25">
      <c r="E97" s="55"/>
    </row>
    <row r="98" spans="5:5" ht="15.75" x14ac:dyDescent="0.25">
      <c r="E98" s="55"/>
    </row>
    <row r="99" spans="5:5" ht="15.75" x14ac:dyDescent="0.25">
      <c r="E99" s="55"/>
    </row>
    <row r="100" spans="5:5" ht="15.75" x14ac:dyDescent="0.25">
      <c r="E100" s="55"/>
    </row>
    <row r="101" spans="5:5" ht="15.75" x14ac:dyDescent="0.25">
      <c r="E101" s="55"/>
    </row>
    <row r="102" spans="5:5" ht="15.75" x14ac:dyDescent="0.25">
      <c r="E102" s="55"/>
    </row>
    <row r="103" spans="5:5" ht="15.75" x14ac:dyDescent="0.25">
      <c r="E103" s="55"/>
    </row>
    <row r="104" spans="5:5" ht="15.75" x14ac:dyDescent="0.25">
      <c r="E104" s="55"/>
    </row>
    <row r="105" spans="5:5" ht="15.75" x14ac:dyDescent="0.25">
      <c r="E105" s="55"/>
    </row>
    <row r="106" spans="5:5" ht="15.75" x14ac:dyDescent="0.25">
      <c r="E106" s="55"/>
    </row>
    <row r="107" spans="5:5" ht="15.75" x14ac:dyDescent="0.25">
      <c r="E107" s="55"/>
    </row>
    <row r="108" spans="5:5" ht="15.75" x14ac:dyDescent="0.25">
      <c r="E108" s="55"/>
    </row>
    <row r="109" spans="5:5" ht="15.75" x14ac:dyDescent="0.25">
      <c r="E109" s="55"/>
    </row>
    <row r="110" spans="5:5" ht="15.75" x14ac:dyDescent="0.25">
      <c r="E110" s="55"/>
    </row>
    <row r="111" spans="5:5" ht="15.75" x14ac:dyDescent="0.25">
      <c r="E111" s="55"/>
    </row>
    <row r="112" spans="5:5" ht="15.75" x14ac:dyDescent="0.25">
      <c r="E112" s="55"/>
    </row>
    <row r="113" spans="5:5" ht="15.75" x14ac:dyDescent="0.25">
      <c r="E113" s="55"/>
    </row>
    <row r="114" spans="5:5" ht="15.75" x14ac:dyDescent="0.25">
      <c r="E114" s="55"/>
    </row>
    <row r="115" spans="5:5" ht="15.75" x14ac:dyDescent="0.25">
      <c r="E115" s="55"/>
    </row>
    <row r="116" spans="5:5" ht="15.75" x14ac:dyDescent="0.25">
      <c r="E116" s="55"/>
    </row>
    <row r="117" spans="5:5" ht="15.75" x14ac:dyDescent="0.25">
      <c r="E117" s="55"/>
    </row>
    <row r="118" spans="5:5" ht="15.75" x14ac:dyDescent="0.25">
      <c r="E118" s="55"/>
    </row>
    <row r="119" spans="5:5" ht="15.75" x14ac:dyDescent="0.25">
      <c r="E119" s="55"/>
    </row>
    <row r="120" spans="5:5" ht="15.75" x14ac:dyDescent="0.25">
      <c r="E120" s="55"/>
    </row>
    <row r="121" spans="5:5" ht="15.75" x14ac:dyDescent="0.25">
      <c r="E121" s="55"/>
    </row>
    <row r="122" spans="5:5" ht="15.75" x14ac:dyDescent="0.25">
      <c r="E122" s="55"/>
    </row>
    <row r="123" spans="5:5" ht="15.75" x14ac:dyDescent="0.25">
      <c r="E123" s="55"/>
    </row>
    <row r="124" spans="5:5" ht="15.75" x14ac:dyDescent="0.25">
      <c r="E124" s="55"/>
    </row>
    <row r="125" spans="5:5" ht="15.75" x14ac:dyDescent="0.25">
      <c r="E125" s="55"/>
    </row>
    <row r="126" spans="5:5" ht="15.75" x14ac:dyDescent="0.25">
      <c r="E126" s="55"/>
    </row>
    <row r="127" spans="5:5" ht="15.75" x14ac:dyDescent="0.25">
      <c r="E127" s="55"/>
    </row>
    <row r="128" spans="5:5" ht="15.75" x14ac:dyDescent="0.25">
      <c r="E128" s="55"/>
    </row>
    <row r="129" spans="5:5" ht="15.75" x14ac:dyDescent="0.25">
      <c r="E129" s="55"/>
    </row>
    <row r="130" spans="5:5" ht="15.75" x14ac:dyDescent="0.25">
      <c r="E130" s="55"/>
    </row>
    <row r="131" spans="5:5" ht="15.75" x14ac:dyDescent="0.25">
      <c r="E131" s="55"/>
    </row>
    <row r="132" spans="5:5" ht="15.75" x14ac:dyDescent="0.25">
      <c r="E132" s="55"/>
    </row>
    <row r="133" spans="5:5" ht="15.75" x14ac:dyDescent="0.25">
      <c r="E133" s="55"/>
    </row>
    <row r="134" spans="5:5" ht="15.75" x14ac:dyDescent="0.25">
      <c r="E134" s="55"/>
    </row>
    <row r="135" spans="5:5" ht="15.75" x14ac:dyDescent="0.25">
      <c r="E135" s="55"/>
    </row>
    <row r="136" spans="5:5" ht="15.75" x14ac:dyDescent="0.25">
      <c r="E136" s="55"/>
    </row>
    <row r="137" spans="5:5" ht="15.75" x14ac:dyDescent="0.25">
      <c r="E137" s="55"/>
    </row>
    <row r="138" spans="5:5" ht="15.75" x14ac:dyDescent="0.25">
      <c r="E138" s="55"/>
    </row>
    <row r="139" spans="5:5" ht="15.75" x14ac:dyDescent="0.25">
      <c r="E139" s="55"/>
    </row>
    <row r="140" spans="5:5" ht="15.75" x14ac:dyDescent="0.25">
      <c r="E140" s="55"/>
    </row>
    <row r="141" spans="5:5" ht="15.75" x14ac:dyDescent="0.25">
      <c r="E141" s="55"/>
    </row>
    <row r="142" spans="5:5" ht="15.75" x14ac:dyDescent="0.25">
      <c r="E142" s="55"/>
    </row>
    <row r="143" spans="5:5" ht="15.75" x14ac:dyDescent="0.25">
      <c r="E143" s="55"/>
    </row>
    <row r="144" spans="5:5" ht="15.75" x14ac:dyDescent="0.25">
      <c r="E144" s="55"/>
    </row>
    <row r="145" spans="5:5" ht="15.75" x14ac:dyDescent="0.25">
      <c r="E145" s="55"/>
    </row>
    <row r="146" spans="5:5" ht="15.75" x14ac:dyDescent="0.25">
      <c r="E146" s="55"/>
    </row>
    <row r="147" spans="5:5" ht="15.75" x14ac:dyDescent="0.25">
      <c r="E147" s="55"/>
    </row>
    <row r="148" spans="5:5" ht="15.75" x14ac:dyDescent="0.25">
      <c r="E148" s="55"/>
    </row>
    <row r="149" spans="5:5" ht="15.75" x14ac:dyDescent="0.25">
      <c r="E149" s="55"/>
    </row>
    <row r="150" spans="5:5" ht="15.75" x14ac:dyDescent="0.25">
      <c r="E150" s="55"/>
    </row>
    <row r="151" spans="5:5" ht="15.75" x14ac:dyDescent="0.25">
      <c r="E151" s="55"/>
    </row>
    <row r="152" spans="5:5" ht="15.75" x14ac:dyDescent="0.25">
      <c r="E152" s="55"/>
    </row>
    <row r="153" spans="5:5" ht="15.75" x14ac:dyDescent="0.25">
      <c r="E153" s="55"/>
    </row>
    <row r="154" spans="5:5" ht="15.75" x14ac:dyDescent="0.25">
      <c r="E154" s="55"/>
    </row>
    <row r="155" spans="5:5" ht="15.75" x14ac:dyDescent="0.25">
      <c r="E155" s="55"/>
    </row>
    <row r="156" spans="5:5" ht="15.75" x14ac:dyDescent="0.25">
      <c r="E156" s="55"/>
    </row>
    <row r="157" spans="5:5" ht="15.75" x14ac:dyDescent="0.25">
      <c r="E157" s="55"/>
    </row>
    <row r="158" spans="5:5" ht="15.75" x14ac:dyDescent="0.25">
      <c r="E158" s="55"/>
    </row>
    <row r="159" spans="5:5" ht="15.75" x14ac:dyDescent="0.25">
      <c r="E159" s="55"/>
    </row>
    <row r="160" spans="5:5" ht="15.75" x14ac:dyDescent="0.25">
      <c r="E160" s="55"/>
    </row>
    <row r="161" spans="5:5" ht="15.75" x14ac:dyDescent="0.25">
      <c r="E161" s="55"/>
    </row>
    <row r="162" spans="5:5" ht="15.75" x14ac:dyDescent="0.25">
      <c r="E162" s="55"/>
    </row>
    <row r="163" spans="5:5" ht="15.75" x14ac:dyDescent="0.25">
      <c r="E163" s="55"/>
    </row>
    <row r="164" spans="5:5" ht="15.75" x14ac:dyDescent="0.25">
      <c r="E164" s="55"/>
    </row>
    <row r="165" spans="5:5" ht="15.75" x14ac:dyDescent="0.25">
      <c r="E165" s="55"/>
    </row>
    <row r="166" spans="5:5" ht="15.75" x14ac:dyDescent="0.25">
      <c r="E166" s="55"/>
    </row>
    <row r="167" spans="5:5" ht="15.75" x14ac:dyDescent="0.25">
      <c r="E167" s="55"/>
    </row>
    <row r="168" spans="5:5" ht="15.75" x14ac:dyDescent="0.25">
      <c r="E168" s="55"/>
    </row>
    <row r="169" spans="5:5" ht="15.75" x14ac:dyDescent="0.25">
      <c r="E169" s="55"/>
    </row>
    <row r="170" spans="5:5" ht="15.75" x14ac:dyDescent="0.25">
      <c r="E170" s="55"/>
    </row>
    <row r="171" spans="5:5" ht="15.75" x14ac:dyDescent="0.25">
      <c r="E171" s="55"/>
    </row>
    <row r="172" spans="5:5" ht="15.75" x14ac:dyDescent="0.25">
      <c r="E172" s="55"/>
    </row>
    <row r="173" spans="5:5" ht="15.75" x14ac:dyDescent="0.25">
      <c r="E173" s="55"/>
    </row>
    <row r="174" spans="5:5" ht="15.75" x14ac:dyDescent="0.25">
      <c r="E174" s="55"/>
    </row>
    <row r="175" spans="5:5" ht="15.75" x14ac:dyDescent="0.25">
      <c r="E175" s="55"/>
    </row>
    <row r="176" spans="5:5" ht="15.75" x14ac:dyDescent="0.25">
      <c r="E176" s="55"/>
    </row>
    <row r="177" spans="5:5" ht="15.75" x14ac:dyDescent="0.25">
      <c r="E177" s="55"/>
    </row>
    <row r="178" spans="5:5" ht="15.75" x14ac:dyDescent="0.25">
      <c r="E178" s="55"/>
    </row>
    <row r="179" spans="5:5" ht="15.75" x14ac:dyDescent="0.25">
      <c r="E179" s="55"/>
    </row>
    <row r="180" spans="5:5" ht="15.75" x14ac:dyDescent="0.25">
      <c r="E180" s="55"/>
    </row>
    <row r="181" spans="5:5" ht="15.75" x14ac:dyDescent="0.25">
      <c r="E181" s="55"/>
    </row>
    <row r="182" spans="5:5" ht="15.75" x14ac:dyDescent="0.25">
      <c r="E182" s="55"/>
    </row>
    <row r="183" spans="5:5" ht="15.75" x14ac:dyDescent="0.25">
      <c r="E183" s="55"/>
    </row>
    <row r="184" spans="5:5" ht="15.75" x14ac:dyDescent="0.25">
      <c r="E184" s="55"/>
    </row>
    <row r="185" spans="5:5" ht="15.75" x14ac:dyDescent="0.25">
      <c r="E185" s="55"/>
    </row>
    <row r="186" spans="5:5" ht="15.75" x14ac:dyDescent="0.25">
      <c r="E186" s="55"/>
    </row>
    <row r="187" spans="5:5" ht="15.75" x14ac:dyDescent="0.25">
      <c r="E187" s="55"/>
    </row>
    <row r="188" spans="5:5" ht="15.75" x14ac:dyDescent="0.25">
      <c r="E188" s="55"/>
    </row>
    <row r="189" spans="5:5" ht="15.75" x14ac:dyDescent="0.25">
      <c r="E189" s="55"/>
    </row>
    <row r="190" spans="5:5" ht="15.75" x14ac:dyDescent="0.25">
      <c r="E190" s="55"/>
    </row>
    <row r="193" spans="5:5" ht="15" x14ac:dyDescent="0.25">
      <c r="E193"/>
    </row>
    <row r="194" spans="5:5" ht="15.75" x14ac:dyDescent="0.25">
      <c r="E194" s="55"/>
    </row>
    <row r="195" spans="5:5" ht="15.75" x14ac:dyDescent="0.25">
      <c r="E195" s="55"/>
    </row>
    <row r="196" spans="5:5" ht="15.75" x14ac:dyDescent="0.25">
      <c r="E196" s="55"/>
    </row>
    <row r="197" spans="5:5" ht="15.75" x14ac:dyDescent="0.25">
      <c r="E197" s="55"/>
    </row>
    <row r="198" spans="5:5" ht="15.75" x14ac:dyDescent="0.25">
      <c r="E198" s="55"/>
    </row>
    <row r="199" spans="5:5" ht="15.75" x14ac:dyDescent="0.25">
      <c r="E199" s="55"/>
    </row>
    <row r="200" spans="5:5" ht="15.75" x14ac:dyDescent="0.25">
      <c r="E200" s="55"/>
    </row>
    <row r="201" spans="5:5" ht="15.75" x14ac:dyDescent="0.25">
      <c r="E201" s="55"/>
    </row>
    <row r="202" spans="5:5" ht="15.75" x14ac:dyDescent="0.25">
      <c r="E202" s="55"/>
    </row>
    <row r="203" spans="5:5" ht="15.75" x14ac:dyDescent="0.25">
      <c r="E203" s="55"/>
    </row>
    <row r="204" spans="5:5" ht="15.75" x14ac:dyDescent="0.25">
      <c r="E204" s="55"/>
    </row>
    <row r="205" spans="5:5" ht="15.75" x14ac:dyDescent="0.25">
      <c r="E205" s="55"/>
    </row>
    <row r="206" spans="5:5" ht="15.75" x14ac:dyDescent="0.25">
      <c r="E206" s="55"/>
    </row>
    <row r="207" spans="5:5" ht="15.75" x14ac:dyDescent="0.25">
      <c r="E207" s="55"/>
    </row>
    <row r="208" spans="5:5" ht="15.75" x14ac:dyDescent="0.25">
      <c r="E208" s="55"/>
    </row>
    <row r="209" spans="5:5" ht="15.75" x14ac:dyDescent="0.25">
      <c r="E209" s="55"/>
    </row>
    <row r="210" spans="5:5" ht="15.75" x14ac:dyDescent="0.25">
      <c r="E210" s="55"/>
    </row>
    <row r="211" spans="5:5" ht="15.75" x14ac:dyDescent="0.25">
      <c r="E211" s="55"/>
    </row>
    <row r="212" spans="5:5" ht="15.75" x14ac:dyDescent="0.25">
      <c r="E212" s="55"/>
    </row>
    <row r="213" spans="5:5" ht="15.75" x14ac:dyDescent="0.25">
      <c r="E213" s="55"/>
    </row>
    <row r="214" spans="5:5" ht="15.75" x14ac:dyDescent="0.25">
      <c r="E214" s="55"/>
    </row>
    <row r="215" spans="5:5" ht="15.75" x14ac:dyDescent="0.25">
      <c r="E215" s="55"/>
    </row>
    <row r="216" spans="5:5" ht="15.75" x14ac:dyDescent="0.25">
      <c r="E216" s="55"/>
    </row>
    <row r="217" spans="5:5" ht="15.75" x14ac:dyDescent="0.25">
      <c r="E217" s="55"/>
    </row>
    <row r="218" spans="5:5" ht="15.75" x14ac:dyDescent="0.25">
      <c r="E218" s="55"/>
    </row>
    <row r="219" spans="5:5" ht="15.75" x14ac:dyDescent="0.25">
      <c r="E219" s="55"/>
    </row>
    <row r="220" spans="5:5" ht="15.75" x14ac:dyDescent="0.25">
      <c r="E220" s="55"/>
    </row>
    <row r="221" spans="5:5" ht="15.75" x14ac:dyDescent="0.25">
      <c r="E221" s="55"/>
    </row>
    <row r="222" spans="5:5" ht="15.75" x14ac:dyDescent="0.25">
      <c r="E222" s="55"/>
    </row>
    <row r="223" spans="5:5" ht="15.75" x14ac:dyDescent="0.25">
      <c r="E223" s="55"/>
    </row>
    <row r="224" spans="5:5" ht="15.75" x14ac:dyDescent="0.25">
      <c r="E224" s="55"/>
    </row>
    <row r="225" spans="5:5" ht="15.75" x14ac:dyDescent="0.25">
      <c r="E225" s="55"/>
    </row>
    <row r="226" spans="5:5" ht="15.75" x14ac:dyDescent="0.25">
      <c r="E226" s="55"/>
    </row>
    <row r="227" spans="5:5" ht="15.75" x14ac:dyDescent="0.25">
      <c r="E227" s="55"/>
    </row>
    <row r="228" spans="5:5" ht="15.75" x14ac:dyDescent="0.25">
      <c r="E228" s="55"/>
    </row>
    <row r="229" spans="5:5" ht="15.75" x14ac:dyDescent="0.25">
      <c r="E229" s="55"/>
    </row>
    <row r="230" spans="5:5" ht="15.75" x14ac:dyDescent="0.25">
      <c r="E230" s="55"/>
    </row>
    <row r="231" spans="5:5" ht="15.75" x14ac:dyDescent="0.25">
      <c r="E231" s="55"/>
    </row>
    <row r="232" spans="5:5" ht="15.75" x14ac:dyDescent="0.25">
      <c r="E232" s="55"/>
    </row>
    <row r="233" spans="5:5" ht="15.75" x14ac:dyDescent="0.25">
      <c r="E233" s="55"/>
    </row>
    <row r="234" spans="5:5" ht="15.75" x14ac:dyDescent="0.25">
      <c r="E234" s="55"/>
    </row>
    <row r="235" spans="5:5" ht="15.75" x14ac:dyDescent="0.25">
      <c r="E235" s="55"/>
    </row>
    <row r="236" spans="5:5" ht="15.75" x14ac:dyDescent="0.25">
      <c r="E236" s="55"/>
    </row>
    <row r="237" spans="5:5" ht="15.75" x14ac:dyDescent="0.25">
      <c r="E237" s="55"/>
    </row>
    <row r="238" spans="5:5" ht="15.75" x14ac:dyDescent="0.25">
      <c r="E238" s="55"/>
    </row>
    <row r="239" spans="5:5" ht="15.75" x14ac:dyDescent="0.25">
      <c r="E239" s="55"/>
    </row>
    <row r="240" spans="5:5" ht="15.75" x14ac:dyDescent="0.25">
      <c r="E240" s="55"/>
    </row>
    <row r="241" spans="5:5" ht="15.75" x14ac:dyDescent="0.25">
      <c r="E241" s="55"/>
    </row>
    <row r="242" spans="5:5" ht="15.75" x14ac:dyDescent="0.25">
      <c r="E242" s="55"/>
    </row>
    <row r="243" spans="5:5" ht="15.75" x14ac:dyDescent="0.25">
      <c r="E243" s="55"/>
    </row>
    <row r="244" spans="5:5" ht="15.75" x14ac:dyDescent="0.25">
      <c r="E244" s="55"/>
    </row>
    <row r="245" spans="5:5" ht="15.75" x14ac:dyDescent="0.25">
      <c r="E245" s="55"/>
    </row>
    <row r="246" spans="5:5" ht="15.75" x14ac:dyDescent="0.25">
      <c r="E246" s="55"/>
    </row>
    <row r="247" spans="5:5" ht="15.75" x14ac:dyDescent="0.25">
      <c r="E247" s="55"/>
    </row>
    <row r="248" spans="5:5" ht="15.75" x14ac:dyDescent="0.25">
      <c r="E248" s="55"/>
    </row>
    <row r="249" spans="5:5" ht="15.75" x14ac:dyDescent="0.25">
      <c r="E249" s="55"/>
    </row>
    <row r="250" spans="5:5" ht="15.75" x14ac:dyDescent="0.25">
      <c r="E250" s="55"/>
    </row>
    <row r="251" spans="5:5" ht="15.75" x14ac:dyDescent="0.25">
      <c r="E251" s="55"/>
    </row>
    <row r="252" spans="5:5" ht="15.75" x14ac:dyDescent="0.25">
      <c r="E252" s="55"/>
    </row>
    <row r="253" spans="5:5" ht="15.75" x14ac:dyDescent="0.25">
      <c r="E253" s="55"/>
    </row>
    <row r="254" spans="5:5" ht="15.75" x14ac:dyDescent="0.25">
      <c r="E254" s="55"/>
    </row>
    <row r="255" spans="5:5" ht="15.75" x14ac:dyDescent="0.25">
      <c r="E255" s="55"/>
    </row>
    <row r="256" spans="5:5" ht="15.75" x14ac:dyDescent="0.25">
      <c r="E256" s="55"/>
    </row>
    <row r="257" spans="5:5" ht="15.75" x14ac:dyDescent="0.25">
      <c r="E257" s="55"/>
    </row>
    <row r="258" spans="5:5" ht="15.75" x14ac:dyDescent="0.25">
      <c r="E258" s="55"/>
    </row>
    <row r="259" spans="5:5" ht="15.75" x14ac:dyDescent="0.25">
      <c r="E259" s="55"/>
    </row>
    <row r="260" spans="5:5" ht="15.75" x14ac:dyDescent="0.25">
      <c r="E260" s="55"/>
    </row>
    <row r="261" spans="5:5" ht="15.75" x14ac:dyDescent="0.25">
      <c r="E261" s="55"/>
    </row>
    <row r="262" spans="5:5" ht="15.75" x14ac:dyDescent="0.25">
      <c r="E262" s="55"/>
    </row>
    <row r="263" spans="5:5" ht="15.75" x14ac:dyDescent="0.25">
      <c r="E263" s="55"/>
    </row>
    <row r="264" spans="5:5" ht="15.75" x14ac:dyDescent="0.25">
      <c r="E264" s="55"/>
    </row>
    <row r="265" spans="5:5" ht="15.75" x14ac:dyDescent="0.25">
      <c r="E265" s="55"/>
    </row>
    <row r="266" spans="5:5" ht="15.75" x14ac:dyDescent="0.25">
      <c r="E266" s="55"/>
    </row>
    <row r="267" spans="5:5" ht="15.75" x14ac:dyDescent="0.25">
      <c r="E267" s="55"/>
    </row>
    <row r="268" spans="5:5" ht="15.75" x14ac:dyDescent="0.25">
      <c r="E268" s="55"/>
    </row>
    <row r="269" spans="5:5" ht="15.75" x14ac:dyDescent="0.25">
      <c r="E269" s="55"/>
    </row>
    <row r="270" spans="5:5" ht="15.75" x14ac:dyDescent="0.25">
      <c r="E270" s="55"/>
    </row>
    <row r="271" spans="5:5" ht="15.75" x14ac:dyDescent="0.25">
      <c r="E271" s="55"/>
    </row>
    <row r="272" spans="5:5" ht="15.75" x14ac:dyDescent="0.25">
      <c r="E272" s="57"/>
    </row>
    <row r="273" spans="5:5" ht="15.75" x14ac:dyDescent="0.25">
      <c r="E273" s="57"/>
    </row>
    <row r="274" spans="5:5" ht="15.75" x14ac:dyDescent="0.25">
      <c r="E274" s="57"/>
    </row>
    <row r="275" spans="5:5" ht="15.75" x14ac:dyDescent="0.25">
      <c r="E275" s="57"/>
    </row>
    <row r="276" spans="5:5" ht="15.75" x14ac:dyDescent="0.25">
      <c r="E276" s="57"/>
    </row>
    <row r="277" spans="5:5" ht="15.75" x14ac:dyDescent="0.25">
      <c r="E277" s="57"/>
    </row>
    <row r="278" spans="5:5" ht="15.75" x14ac:dyDescent="0.25">
      <c r="E278" s="57"/>
    </row>
    <row r="279" spans="5:5" ht="15.75" x14ac:dyDescent="0.25">
      <c r="E279" s="57"/>
    </row>
    <row r="280" spans="5:5" ht="15.75" x14ac:dyDescent="0.25">
      <c r="E280" s="57"/>
    </row>
    <row r="281" spans="5:5" ht="15.75" x14ac:dyDescent="0.25">
      <c r="E281" s="57"/>
    </row>
    <row r="282" spans="5:5" ht="15.75" x14ac:dyDescent="0.25">
      <c r="E282" s="57"/>
    </row>
    <row r="283" spans="5:5" ht="15.75" x14ac:dyDescent="0.25">
      <c r="E283" s="57"/>
    </row>
    <row r="284" spans="5:5" ht="15.75" x14ac:dyDescent="0.25">
      <c r="E284" s="57"/>
    </row>
    <row r="285" spans="5:5" ht="15" x14ac:dyDescent="0.25">
      <c r="E285" s="58"/>
    </row>
    <row r="286" spans="5:5" ht="15" x14ac:dyDescent="0.25">
      <c r="E286" s="58"/>
    </row>
    <row r="287" spans="5:5" ht="15.75" x14ac:dyDescent="0.25">
      <c r="E287" s="57"/>
    </row>
    <row r="288" spans="5:5" ht="15" x14ac:dyDescent="0.25">
      <c r="E288" s="58"/>
    </row>
    <row r="289" spans="5:5" ht="15" x14ac:dyDescent="0.25">
      <c r="E289" s="58"/>
    </row>
    <row r="290" spans="5:5" ht="15.75" x14ac:dyDescent="0.25">
      <c r="E290" s="57"/>
    </row>
    <row r="291" spans="5:5" ht="15.75" x14ac:dyDescent="0.25">
      <c r="E291" s="57"/>
    </row>
    <row r="292" spans="5:5" ht="15" x14ac:dyDescent="0.25">
      <c r="E292" s="58"/>
    </row>
    <row r="293" spans="5:5" ht="15.75" x14ac:dyDescent="0.25">
      <c r="E293" s="57"/>
    </row>
    <row r="294" spans="5:5" ht="15.75" x14ac:dyDescent="0.25">
      <c r="E294" s="57"/>
    </row>
    <row r="295" spans="5:5" ht="15" x14ac:dyDescent="0.25">
      <c r="E295" s="58"/>
    </row>
    <row r="296" spans="5:5" ht="15.75" x14ac:dyDescent="0.25">
      <c r="E296" s="57"/>
    </row>
    <row r="297" spans="5:5" ht="15.75" x14ac:dyDescent="0.25">
      <c r="E297" s="57"/>
    </row>
    <row r="298" spans="5:5" ht="15" x14ac:dyDescent="0.25">
      <c r="E298" s="58"/>
    </row>
    <row r="299" spans="5:5" ht="15.75" x14ac:dyDescent="0.25">
      <c r="E299" s="57"/>
    </row>
    <row r="300" spans="5:5" ht="15.75" x14ac:dyDescent="0.25">
      <c r="E300" s="57"/>
    </row>
    <row r="301" spans="5:5" ht="15" x14ac:dyDescent="0.25">
      <c r="E301" s="58"/>
    </row>
    <row r="302" spans="5:5" ht="15.75" x14ac:dyDescent="0.25">
      <c r="E302" s="57"/>
    </row>
    <row r="303" spans="5:5" ht="15.75" x14ac:dyDescent="0.25">
      <c r="E303" s="57"/>
    </row>
    <row r="304" spans="5:5" ht="15.75" x14ac:dyDescent="0.25">
      <c r="E304" s="57"/>
    </row>
    <row r="305" spans="5:5" ht="15.75" x14ac:dyDescent="0.25">
      <c r="E305" s="57"/>
    </row>
    <row r="306" spans="5:5" ht="15.75" x14ac:dyDescent="0.25">
      <c r="E306" s="55"/>
    </row>
    <row r="307" spans="5:5" ht="15.75" x14ac:dyDescent="0.25">
      <c r="E307" s="55"/>
    </row>
    <row r="308" spans="5:5" ht="15.75" x14ac:dyDescent="0.25">
      <c r="E308" s="55"/>
    </row>
    <row r="309" spans="5:5" ht="15.75" x14ac:dyDescent="0.25">
      <c r="E309" s="55"/>
    </row>
    <row r="310" spans="5:5" ht="15.75" x14ac:dyDescent="0.25">
      <c r="E310" s="55"/>
    </row>
    <row r="311" spans="5:5" ht="15.75" x14ac:dyDescent="0.25">
      <c r="E311" s="55"/>
    </row>
    <row r="312" spans="5:5" ht="15.75" x14ac:dyDescent="0.25">
      <c r="E312" s="55"/>
    </row>
    <row r="313" spans="5:5" ht="15.75" x14ac:dyDescent="0.25">
      <c r="E313" s="55"/>
    </row>
    <row r="314" spans="5:5" ht="15.75" x14ac:dyDescent="0.25">
      <c r="E314" s="55"/>
    </row>
    <row r="315" spans="5:5" ht="15.75" x14ac:dyDescent="0.25">
      <c r="E315" s="55"/>
    </row>
    <row r="316" spans="5:5" ht="15.75" x14ac:dyDescent="0.25">
      <c r="E316" s="55"/>
    </row>
    <row r="317" spans="5:5" ht="15.75" x14ac:dyDescent="0.25">
      <c r="E317" s="55"/>
    </row>
    <row r="318" spans="5:5" ht="15.75" x14ac:dyDescent="0.25">
      <c r="E318" s="55"/>
    </row>
    <row r="319" spans="5:5" ht="15.75" x14ac:dyDescent="0.25">
      <c r="E319" s="55"/>
    </row>
    <row r="320" spans="5:5" ht="15.75" x14ac:dyDescent="0.25">
      <c r="E320" s="55"/>
    </row>
    <row r="321" spans="5:5" ht="15.75" x14ac:dyDescent="0.25">
      <c r="E321" s="55"/>
    </row>
    <row r="322" spans="5:5" ht="15.75" x14ac:dyDescent="0.25">
      <c r="E322" s="55"/>
    </row>
    <row r="323" spans="5:5" ht="15.75" x14ac:dyDescent="0.25">
      <c r="E323" s="55"/>
    </row>
    <row r="324" spans="5:5" ht="15.75" x14ac:dyDescent="0.25">
      <c r="E324" s="55"/>
    </row>
    <row r="325" spans="5:5" ht="15.75" x14ac:dyDescent="0.25">
      <c r="E325" s="55"/>
    </row>
    <row r="326" spans="5:5" ht="15.75" x14ac:dyDescent="0.25">
      <c r="E326" s="55"/>
    </row>
    <row r="327" spans="5:5" ht="15.75" x14ac:dyDescent="0.25">
      <c r="E327" s="55"/>
    </row>
    <row r="328" spans="5:5" ht="15.75" x14ac:dyDescent="0.25">
      <c r="E328" s="55"/>
    </row>
    <row r="329" spans="5:5" ht="15.75" x14ac:dyDescent="0.25">
      <c r="E329" s="55"/>
    </row>
    <row r="330" spans="5:5" ht="15.75" x14ac:dyDescent="0.25">
      <c r="E330" s="55"/>
    </row>
    <row r="331" spans="5:5" ht="15.75" x14ac:dyDescent="0.25">
      <c r="E331" s="55"/>
    </row>
    <row r="332" spans="5:5" ht="15.75" x14ac:dyDescent="0.25">
      <c r="E332" s="55"/>
    </row>
    <row r="333" spans="5:5" ht="15.75" x14ac:dyDescent="0.25">
      <c r="E333" s="55"/>
    </row>
    <row r="334" spans="5:5" ht="15.75" x14ac:dyDescent="0.25">
      <c r="E334" s="55"/>
    </row>
    <row r="335" spans="5:5" ht="15.75" x14ac:dyDescent="0.25">
      <c r="E335" s="55"/>
    </row>
    <row r="336" spans="5:5" ht="15.75" x14ac:dyDescent="0.25">
      <c r="E336" s="55"/>
    </row>
    <row r="337" spans="5:5" ht="15.75" x14ac:dyDescent="0.25">
      <c r="E337" s="55"/>
    </row>
    <row r="338" spans="5:5" ht="15.75" x14ac:dyDescent="0.25">
      <c r="E338" s="55"/>
    </row>
    <row r="339" spans="5:5" ht="15.75" x14ac:dyDescent="0.25">
      <c r="E339" s="55"/>
    </row>
    <row r="340" spans="5:5" ht="15.75" x14ac:dyDescent="0.25">
      <c r="E340" s="55"/>
    </row>
    <row r="341" spans="5:5" ht="15.75" x14ac:dyDescent="0.25">
      <c r="E341" s="55"/>
    </row>
    <row r="342" spans="5:5" ht="15.75" x14ac:dyDescent="0.25">
      <c r="E342" s="55"/>
    </row>
    <row r="343" spans="5:5" ht="15.75" x14ac:dyDescent="0.25">
      <c r="E343" s="55"/>
    </row>
    <row r="344" spans="5:5" ht="15.75" x14ac:dyDescent="0.25">
      <c r="E344" s="55"/>
    </row>
    <row r="345" spans="5:5" ht="15.75" x14ac:dyDescent="0.25">
      <c r="E345" s="55"/>
    </row>
    <row r="346" spans="5:5" ht="15.75" x14ac:dyDescent="0.25">
      <c r="E346" s="55"/>
    </row>
    <row r="347" spans="5:5" ht="15.75" x14ac:dyDescent="0.25">
      <c r="E347" s="55"/>
    </row>
    <row r="348" spans="5:5" ht="15.75" x14ac:dyDescent="0.25">
      <c r="E348" s="55"/>
    </row>
    <row r="349" spans="5:5" ht="15.75" x14ac:dyDescent="0.25">
      <c r="E349" s="55"/>
    </row>
    <row r="350" spans="5:5" ht="15.75" x14ac:dyDescent="0.25">
      <c r="E350" s="55"/>
    </row>
    <row r="351" spans="5:5" ht="15.75" x14ac:dyDescent="0.25">
      <c r="E351" s="55"/>
    </row>
    <row r="352" spans="5:5" ht="15.75" x14ac:dyDescent="0.25">
      <c r="E352" s="55"/>
    </row>
    <row r="353" spans="5:5" ht="15.75" x14ac:dyDescent="0.25">
      <c r="E353" s="55"/>
    </row>
    <row r="354" spans="5:5" ht="15.75" x14ac:dyDescent="0.25">
      <c r="E354" s="55"/>
    </row>
    <row r="355" spans="5:5" ht="15.75" x14ac:dyDescent="0.25">
      <c r="E355" s="55"/>
    </row>
    <row r="356" spans="5:5" ht="15.75" x14ac:dyDescent="0.25">
      <c r="E356" s="55"/>
    </row>
    <row r="357" spans="5:5" ht="15.75" x14ac:dyDescent="0.25">
      <c r="E357" s="55"/>
    </row>
    <row r="358" spans="5:5" ht="15.75" x14ac:dyDescent="0.25">
      <c r="E358" s="55"/>
    </row>
    <row r="359" spans="5:5" ht="15.75" x14ac:dyDescent="0.25">
      <c r="E359" s="55"/>
    </row>
    <row r="360" spans="5:5" ht="15.75" x14ac:dyDescent="0.25">
      <c r="E360" s="55"/>
    </row>
    <row r="361" spans="5:5" ht="15.75" x14ac:dyDescent="0.25">
      <c r="E361" s="55"/>
    </row>
    <row r="364" spans="5:5" ht="15" x14ac:dyDescent="0.25">
      <c r="E364"/>
    </row>
    <row r="365" spans="5:5" ht="15" x14ac:dyDescent="0.25">
      <c r="E365"/>
    </row>
    <row r="366" spans="5:5" ht="15.75" x14ac:dyDescent="0.25">
      <c r="E366" s="59"/>
    </row>
    <row r="367" spans="5:5" ht="15.75" x14ac:dyDescent="0.25">
      <c r="E367" s="60"/>
    </row>
    <row r="368" spans="5:5" ht="15.75" x14ac:dyDescent="0.25">
      <c r="E368" s="60"/>
    </row>
    <row r="369" spans="5:5" ht="15.75" x14ac:dyDescent="0.25">
      <c r="E369" s="59"/>
    </row>
    <row r="370" spans="5:5" ht="15.75" x14ac:dyDescent="0.25">
      <c r="E370" s="60"/>
    </row>
    <row r="371" spans="5:5" ht="15.75" x14ac:dyDescent="0.25">
      <c r="E371" s="60"/>
    </row>
    <row r="372" spans="5:5" ht="15.75" x14ac:dyDescent="0.25">
      <c r="E372" s="59"/>
    </row>
    <row r="373" spans="5:5" ht="15.75" x14ac:dyDescent="0.25">
      <c r="E373" s="60"/>
    </row>
    <row r="374" spans="5:5" ht="15.75" x14ac:dyDescent="0.25">
      <c r="E374" s="60"/>
    </row>
    <row r="375" spans="5:5" ht="15.75" x14ac:dyDescent="0.25">
      <c r="E375" s="59"/>
    </row>
    <row r="376" spans="5:5" ht="15.75" x14ac:dyDescent="0.25">
      <c r="E376" s="60"/>
    </row>
    <row r="377" spans="5:5" ht="15.75" x14ac:dyDescent="0.25">
      <c r="E377" s="60"/>
    </row>
    <row r="378" spans="5:5" ht="15.75" x14ac:dyDescent="0.25">
      <c r="E378" s="59"/>
    </row>
    <row r="379" spans="5:5" ht="15.75" x14ac:dyDescent="0.25">
      <c r="E379" s="60"/>
    </row>
    <row r="380" spans="5:5" ht="15.75" x14ac:dyDescent="0.25">
      <c r="E380" s="60"/>
    </row>
    <row r="381" spans="5:5" ht="15.75" x14ac:dyDescent="0.25">
      <c r="E381" s="59"/>
    </row>
    <row r="382" spans="5:5" ht="15.75" x14ac:dyDescent="0.25">
      <c r="E382" s="60"/>
    </row>
    <row r="383" spans="5:5" ht="15.75" x14ac:dyDescent="0.25">
      <c r="E383" s="60"/>
    </row>
    <row r="384" spans="5:5" ht="15.75" x14ac:dyDescent="0.25">
      <c r="E384" s="59"/>
    </row>
    <row r="385" spans="5:5" ht="15.75" x14ac:dyDescent="0.25">
      <c r="E385" s="60"/>
    </row>
    <row r="386" spans="5:5" ht="15.75" x14ac:dyDescent="0.25">
      <c r="E386" s="60"/>
    </row>
    <row r="387" spans="5:5" ht="15.75" x14ac:dyDescent="0.25">
      <c r="E387" s="59"/>
    </row>
    <row r="388" spans="5:5" ht="15.75" x14ac:dyDescent="0.25">
      <c r="E388" s="60"/>
    </row>
    <row r="389" spans="5:5" ht="15.75" x14ac:dyDescent="0.25">
      <c r="E389" s="60"/>
    </row>
    <row r="390" spans="5:5" ht="15.75" x14ac:dyDescent="0.25">
      <c r="E390" s="59"/>
    </row>
    <row r="391" spans="5:5" ht="15.75" x14ac:dyDescent="0.25">
      <c r="E391" s="60"/>
    </row>
    <row r="392" spans="5:5" ht="15.75" x14ac:dyDescent="0.25">
      <c r="E392" s="60"/>
    </row>
    <row r="393" spans="5:5" ht="15.75" x14ac:dyDescent="0.25">
      <c r="E393" s="59"/>
    </row>
    <row r="394" spans="5:5" ht="15.75" x14ac:dyDescent="0.25">
      <c r="E394" s="60"/>
    </row>
    <row r="395" spans="5:5" ht="15.75" x14ac:dyDescent="0.25">
      <c r="E395" s="60"/>
    </row>
    <row r="396" spans="5:5" ht="15.75" x14ac:dyDescent="0.25">
      <c r="E396" s="59"/>
    </row>
    <row r="397" spans="5:5" ht="15.75" x14ac:dyDescent="0.25">
      <c r="E397" s="60"/>
    </row>
    <row r="398" spans="5:5" ht="15.75" x14ac:dyDescent="0.25">
      <c r="E398" s="60"/>
    </row>
    <row r="399" spans="5:5" ht="15.75" x14ac:dyDescent="0.25">
      <c r="E399" s="59"/>
    </row>
    <row r="400" spans="5:5" ht="15.75" x14ac:dyDescent="0.25">
      <c r="E400" s="60"/>
    </row>
    <row r="401" spans="5:5" ht="15.75" x14ac:dyDescent="0.25">
      <c r="E401" s="60"/>
    </row>
    <row r="402" spans="5:5" ht="15.75" x14ac:dyDescent="0.25">
      <c r="E402" s="59"/>
    </row>
    <row r="403" spans="5:5" ht="15.75" x14ac:dyDescent="0.25">
      <c r="E403" s="60"/>
    </row>
    <row r="404" spans="5:5" ht="15.75" x14ac:dyDescent="0.25">
      <c r="E404" s="60"/>
    </row>
    <row r="405" spans="5:5" ht="15.75" x14ac:dyDescent="0.25">
      <c r="E405" s="59"/>
    </row>
    <row r="406" spans="5:5" ht="15.75" x14ac:dyDescent="0.25">
      <c r="E406" s="60"/>
    </row>
    <row r="407" spans="5:5" ht="15.75" x14ac:dyDescent="0.25">
      <c r="E407" s="60"/>
    </row>
    <row r="408" spans="5:5" ht="15.75" x14ac:dyDescent="0.25">
      <c r="E408" s="59"/>
    </row>
    <row r="409" spans="5:5" ht="15.75" x14ac:dyDescent="0.25">
      <c r="E409" s="60"/>
    </row>
    <row r="410" spans="5:5" ht="15.75" x14ac:dyDescent="0.25">
      <c r="E410" s="60"/>
    </row>
    <row r="411" spans="5:5" ht="15.75" x14ac:dyDescent="0.25">
      <c r="E411" s="59"/>
    </row>
    <row r="412" spans="5:5" ht="15.75" x14ac:dyDescent="0.25">
      <c r="E412" s="60"/>
    </row>
    <row r="413" spans="5:5" ht="15.75" x14ac:dyDescent="0.25">
      <c r="E413" s="60"/>
    </row>
    <row r="414" spans="5:5" x14ac:dyDescent="0.3">
      <c r="E414" s="61"/>
    </row>
    <row r="416" spans="5:5" ht="15" x14ac:dyDescent="0.25">
      <c r="E416"/>
    </row>
    <row r="417" spans="5:5" ht="15.75" x14ac:dyDescent="0.25">
      <c r="E417" s="55"/>
    </row>
    <row r="418" spans="5:5" ht="15.75" x14ac:dyDescent="0.25">
      <c r="E418" s="55"/>
    </row>
    <row r="419" spans="5:5" ht="15.75" x14ac:dyDescent="0.25">
      <c r="E419" s="62"/>
    </row>
    <row r="420" spans="5:5" ht="15.75" x14ac:dyDescent="0.25">
      <c r="E420" s="62"/>
    </row>
    <row r="421" spans="5:5" ht="15.75" x14ac:dyDescent="0.25">
      <c r="E421" s="62"/>
    </row>
    <row r="422" spans="5:5" ht="15.75" x14ac:dyDescent="0.25">
      <c r="E422" s="62"/>
    </row>
    <row r="423" spans="5:5" ht="15.75" x14ac:dyDescent="0.25">
      <c r="E423" s="62"/>
    </row>
    <row r="424" spans="5:5" ht="15.75" x14ac:dyDescent="0.25">
      <c r="E424" s="62"/>
    </row>
    <row r="425" spans="5:5" ht="15.75" x14ac:dyDescent="0.25">
      <c r="E425" s="62"/>
    </row>
    <row r="426" spans="5:5" ht="15.75" x14ac:dyDescent="0.25">
      <c r="E426" s="62"/>
    </row>
    <row r="427" spans="5:5" ht="15.75" x14ac:dyDescent="0.25">
      <c r="E427" s="62"/>
    </row>
    <row r="428" spans="5:5" ht="15.75" x14ac:dyDescent="0.25">
      <c r="E428" s="62"/>
    </row>
    <row r="429" spans="5:5" ht="15.75" x14ac:dyDescent="0.25">
      <c r="E429" s="62"/>
    </row>
    <row r="430" spans="5:5" ht="15.75" x14ac:dyDescent="0.25">
      <c r="E430" s="62"/>
    </row>
    <row r="431" spans="5:5" ht="15.75" x14ac:dyDescent="0.25">
      <c r="E431" s="62"/>
    </row>
    <row r="432" spans="5:5" ht="15.75" x14ac:dyDescent="0.25">
      <c r="E432" s="62"/>
    </row>
    <row r="433" spans="5:5" ht="15.75" x14ac:dyDescent="0.25">
      <c r="E433" s="62"/>
    </row>
    <row r="434" spans="5:5" ht="15.75" x14ac:dyDescent="0.25">
      <c r="E434" s="62"/>
    </row>
    <row r="435" spans="5:5" ht="15.75" x14ac:dyDescent="0.25">
      <c r="E435" s="62"/>
    </row>
    <row r="436" spans="5:5" ht="15.75" x14ac:dyDescent="0.25">
      <c r="E436" s="62"/>
    </row>
    <row r="437" spans="5:5" ht="15.75" x14ac:dyDescent="0.25">
      <c r="E437" s="63"/>
    </row>
    <row r="438" spans="5:5" ht="15.75" x14ac:dyDescent="0.25">
      <c r="E438" s="63"/>
    </row>
    <row r="439" spans="5:5" ht="15.75" x14ac:dyDescent="0.25">
      <c r="E439" s="62"/>
    </row>
    <row r="440" spans="5:5" ht="15.75" x14ac:dyDescent="0.25">
      <c r="E440" s="63"/>
    </row>
    <row r="441" spans="5:5" ht="15.75" x14ac:dyDescent="0.25">
      <c r="E441" s="63"/>
    </row>
    <row r="442" spans="5:5" ht="15.75" x14ac:dyDescent="0.25">
      <c r="E442" s="62"/>
    </row>
    <row r="443" spans="5:5" ht="15.75" x14ac:dyDescent="0.25">
      <c r="E443" s="63"/>
    </row>
    <row r="444" spans="5:5" ht="15.75" x14ac:dyDescent="0.25">
      <c r="E444" s="63"/>
    </row>
    <row r="445" spans="5:5" ht="15.75" x14ac:dyDescent="0.25">
      <c r="E445" s="62"/>
    </row>
    <row r="446" spans="5:5" ht="15.75" x14ac:dyDescent="0.25">
      <c r="E446" s="63"/>
    </row>
    <row r="447" spans="5:5" ht="15.75" x14ac:dyDescent="0.25">
      <c r="E447" s="63"/>
    </row>
    <row r="448" spans="5:5" ht="15.75" x14ac:dyDescent="0.25">
      <c r="E448" s="62"/>
    </row>
    <row r="449" spans="5:5" ht="15.75" x14ac:dyDescent="0.25">
      <c r="E449" s="63"/>
    </row>
    <row r="450" spans="5:5" ht="15.75" x14ac:dyDescent="0.25">
      <c r="E450" s="63"/>
    </row>
    <row r="451" spans="5:5" ht="15.75" x14ac:dyDescent="0.25">
      <c r="E451" s="62"/>
    </row>
    <row r="452" spans="5:5" ht="15.75" x14ac:dyDescent="0.25">
      <c r="E452" s="63"/>
    </row>
    <row r="453" spans="5:5" ht="15.75" x14ac:dyDescent="0.25">
      <c r="E453" s="63"/>
    </row>
    <row r="454" spans="5:5" ht="15.75" x14ac:dyDescent="0.25">
      <c r="E454" s="62"/>
    </row>
    <row r="455" spans="5:5" ht="15.75" x14ac:dyDescent="0.25">
      <c r="E455" s="63"/>
    </row>
    <row r="456" spans="5:5" ht="15.75" x14ac:dyDescent="0.25">
      <c r="E456" s="63"/>
    </row>
    <row r="457" spans="5:5" ht="15.75" x14ac:dyDescent="0.25">
      <c r="E457" s="62"/>
    </row>
    <row r="458" spans="5:5" ht="15.75" x14ac:dyDescent="0.25">
      <c r="E458" s="63"/>
    </row>
    <row r="459" spans="5:5" ht="15.75" x14ac:dyDescent="0.25">
      <c r="E459" s="63"/>
    </row>
    <row r="460" spans="5:5" ht="15.75" x14ac:dyDescent="0.25">
      <c r="E460" s="62"/>
    </row>
    <row r="461" spans="5:5" ht="15.75" x14ac:dyDescent="0.25">
      <c r="E461" s="63"/>
    </row>
    <row r="462" spans="5:5" ht="15.75" x14ac:dyDescent="0.25">
      <c r="E462" s="63"/>
    </row>
    <row r="463" spans="5:5" ht="15.75" x14ac:dyDescent="0.25">
      <c r="E463" s="62"/>
    </row>
    <row r="464" spans="5:5" ht="15.75" x14ac:dyDescent="0.25">
      <c r="E464" s="63"/>
    </row>
    <row r="465" spans="5:5" ht="15.75" x14ac:dyDescent="0.25">
      <c r="E465" s="63"/>
    </row>
    <row r="466" spans="5:5" ht="15.75" x14ac:dyDescent="0.25">
      <c r="E466" s="62"/>
    </row>
    <row r="467" spans="5:5" ht="15.75" x14ac:dyDescent="0.25">
      <c r="E467" s="63"/>
    </row>
    <row r="468" spans="5:5" ht="15.75" x14ac:dyDescent="0.25">
      <c r="E468" s="63"/>
    </row>
    <row r="469" spans="5:5" ht="15.75" x14ac:dyDescent="0.25">
      <c r="E469" s="62"/>
    </row>
    <row r="470" spans="5:5" ht="15.75" x14ac:dyDescent="0.25">
      <c r="E470" s="63"/>
    </row>
    <row r="471" spans="5:5" ht="15.75" x14ac:dyDescent="0.25">
      <c r="E471" s="63"/>
    </row>
    <row r="472" spans="5:5" ht="15.75" x14ac:dyDescent="0.25">
      <c r="E472" s="62"/>
    </row>
    <row r="473" spans="5:5" ht="15.75" x14ac:dyDescent="0.25">
      <c r="E473" s="63"/>
    </row>
    <row r="474" spans="5:5" ht="15.75" x14ac:dyDescent="0.25">
      <c r="E474" s="63"/>
    </row>
    <row r="475" spans="5:5" ht="15.75" x14ac:dyDescent="0.25">
      <c r="E475" s="62"/>
    </row>
    <row r="476" spans="5:5" ht="15.75" x14ac:dyDescent="0.25">
      <c r="E476" s="63"/>
    </row>
    <row r="477" spans="5:5" ht="15.75" x14ac:dyDescent="0.25">
      <c r="E477" s="63"/>
    </row>
    <row r="478" spans="5:5" ht="15.75" x14ac:dyDescent="0.25">
      <c r="E478" s="62"/>
    </row>
    <row r="479" spans="5:5" ht="15.75" x14ac:dyDescent="0.25">
      <c r="E479" s="63"/>
    </row>
    <row r="480" spans="5:5" ht="15.75" x14ac:dyDescent="0.25">
      <c r="E480" s="63"/>
    </row>
    <row r="481" spans="5:5" ht="15.75" x14ac:dyDescent="0.25">
      <c r="E481" s="62"/>
    </row>
    <row r="482" spans="5:5" ht="15.75" x14ac:dyDescent="0.25">
      <c r="E482" s="63"/>
    </row>
    <row r="483" spans="5:5" ht="15.75" x14ac:dyDescent="0.25">
      <c r="E483" s="63"/>
    </row>
    <row r="484" spans="5:5" ht="15.75" x14ac:dyDescent="0.25">
      <c r="E484" s="62"/>
    </row>
    <row r="485" spans="5:5" ht="15.75" x14ac:dyDescent="0.25">
      <c r="E485" s="63"/>
    </row>
    <row r="486" spans="5:5" ht="15.75" x14ac:dyDescent="0.25">
      <c r="E486" s="63"/>
    </row>
    <row r="487" spans="5:5" ht="15.75" x14ac:dyDescent="0.25">
      <c r="E487" s="62"/>
    </row>
    <row r="488" spans="5:5" ht="15.75" x14ac:dyDescent="0.25">
      <c r="E488" s="63"/>
    </row>
    <row r="489" spans="5:5" ht="15.75" x14ac:dyDescent="0.25">
      <c r="E489" s="63"/>
    </row>
    <row r="490" spans="5:5" ht="15.75" x14ac:dyDescent="0.25">
      <c r="E490" s="62"/>
    </row>
    <row r="491" spans="5:5" ht="15.75" x14ac:dyDescent="0.25">
      <c r="E491" s="63"/>
    </row>
    <row r="492" spans="5:5" ht="15.75" x14ac:dyDescent="0.25">
      <c r="E492" s="63"/>
    </row>
    <row r="493" spans="5:5" ht="15.75" x14ac:dyDescent="0.25">
      <c r="E493" s="62"/>
    </row>
    <row r="494" spans="5:5" ht="15.75" x14ac:dyDescent="0.25">
      <c r="E494" s="63"/>
    </row>
    <row r="495" spans="5:5" ht="15.75" x14ac:dyDescent="0.25">
      <c r="E495" s="63"/>
    </row>
    <row r="496" spans="5:5" ht="15.75" x14ac:dyDescent="0.25">
      <c r="E496" s="62"/>
    </row>
    <row r="497" spans="5:5" ht="15.75" x14ac:dyDescent="0.25">
      <c r="E497" s="63"/>
    </row>
    <row r="498" spans="5:5" ht="15.75" x14ac:dyDescent="0.25">
      <c r="E498" s="63"/>
    </row>
    <row r="499" spans="5:5" ht="15.75" x14ac:dyDescent="0.25">
      <c r="E499" s="62"/>
    </row>
    <row r="500" spans="5:5" ht="15.75" x14ac:dyDescent="0.25">
      <c r="E500" s="63"/>
    </row>
    <row r="501" spans="5:5" ht="15.75" x14ac:dyDescent="0.25">
      <c r="E501" s="63"/>
    </row>
    <row r="502" spans="5:5" ht="15.75" x14ac:dyDescent="0.25">
      <c r="E502" s="62"/>
    </row>
    <row r="503" spans="5:5" ht="15.75" x14ac:dyDescent="0.25">
      <c r="E503" s="63"/>
    </row>
    <row r="504" spans="5:5" ht="15.75" x14ac:dyDescent="0.25">
      <c r="E504" s="63"/>
    </row>
    <row r="505" spans="5:5" ht="15.75" x14ac:dyDescent="0.25">
      <c r="E505" s="62"/>
    </row>
    <row r="506" spans="5:5" ht="15.75" x14ac:dyDescent="0.25">
      <c r="E506" s="63"/>
    </row>
    <row r="507" spans="5:5" ht="15.75" x14ac:dyDescent="0.25">
      <c r="E507" s="63"/>
    </row>
    <row r="508" spans="5:5" ht="15.75" x14ac:dyDescent="0.25">
      <c r="E508" s="62"/>
    </row>
    <row r="509" spans="5:5" ht="15.75" x14ac:dyDescent="0.25">
      <c r="E509" s="63"/>
    </row>
    <row r="510" spans="5:5" ht="15.75" x14ac:dyDescent="0.25">
      <c r="E510" s="63"/>
    </row>
    <row r="511" spans="5:5" ht="15.75" x14ac:dyDescent="0.25">
      <c r="E511" s="62"/>
    </row>
    <row r="512" spans="5:5" ht="15.75" x14ac:dyDescent="0.25">
      <c r="E512" s="63"/>
    </row>
    <row r="513" spans="5:5" ht="15.75" x14ac:dyDescent="0.25">
      <c r="E513" s="63"/>
    </row>
    <row r="514" spans="5:5" ht="15.75" x14ac:dyDescent="0.25">
      <c r="E514" s="62"/>
    </row>
    <row r="515" spans="5:5" ht="15.75" x14ac:dyDescent="0.25">
      <c r="E515" s="63"/>
    </row>
    <row r="516" spans="5:5" ht="15.75" x14ac:dyDescent="0.25">
      <c r="E516" s="55"/>
    </row>
    <row r="517" spans="5:5" ht="15.75" x14ac:dyDescent="0.25">
      <c r="E517" s="55"/>
    </row>
    <row r="518" spans="5:5" ht="15.75" x14ac:dyDescent="0.25">
      <c r="E518" s="57"/>
    </row>
    <row r="519" spans="5:5" ht="15.75" x14ac:dyDescent="0.25">
      <c r="E519" s="57"/>
    </row>
    <row r="520" spans="5:5" ht="15.75" x14ac:dyDescent="0.25">
      <c r="E520" s="57"/>
    </row>
    <row r="521" spans="5:5" ht="15.75" x14ac:dyDescent="0.25">
      <c r="E521" s="57"/>
    </row>
    <row r="522" spans="5:5" ht="15.75" x14ac:dyDescent="0.25">
      <c r="E522" s="57"/>
    </row>
    <row r="523" spans="5:5" ht="15" x14ac:dyDescent="0.25">
      <c r="E523" s="64"/>
    </row>
    <row r="524" spans="5:5" ht="15" x14ac:dyDescent="0.25">
      <c r="E524" s="64"/>
    </row>
    <row r="525" spans="5:5" ht="15.75" x14ac:dyDescent="0.25">
      <c r="E525" s="57"/>
    </row>
    <row r="526" spans="5:5" ht="15" x14ac:dyDescent="0.25">
      <c r="E526" s="64"/>
    </row>
    <row r="527" spans="5:5" ht="15" x14ac:dyDescent="0.25">
      <c r="E527" s="64"/>
    </row>
    <row r="528" spans="5:5" ht="15.75" x14ac:dyDescent="0.25">
      <c r="E528" s="57"/>
    </row>
  </sheetData>
  <mergeCells count="3">
    <mergeCell ref="A1:A22"/>
    <mergeCell ref="A26:T26"/>
    <mergeCell ref="A27:T27"/>
  </mergeCells>
  <phoneticPr fontId="37" type="noConversion"/>
  <hyperlinks>
    <hyperlink ref="A27" r:id="rId1" xr:uid="{D3E3C230-7ED1-4333-BB54-84F3D407A6C1}"/>
  </hyperlinks>
  <pageMargins left="0.7" right="0.7" top="0.75" bottom="0.75" header="0.3" footer="0.3"/>
  <pageSetup paperSize="9" scale="74" orientation="landscape"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3203E-3E80-444E-BFE1-A8030BCB1EBE}">
  <sheetPr codeName="Hoja1">
    <tabColor rgb="FF0070C0"/>
    <pageSetUpPr fitToPage="1"/>
  </sheetPr>
  <dimension ref="A1:Q20"/>
  <sheetViews>
    <sheetView showGridLines="0" zoomScaleNormal="100" zoomScaleSheetLayoutView="100" workbookViewId="0"/>
  </sheetViews>
  <sheetFormatPr baseColWidth="10" defaultRowHeight="15" x14ac:dyDescent="0.25"/>
  <cols>
    <col min="1" max="1" width="27.7109375" customWidth="1"/>
    <col min="2" max="13" width="15.42578125" customWidth="1"/>
    <col min="14" max="14" width="2.7109375" customWidth="1"/>
    <col min="15" max="15" width="15.42578125" customWidth="1"/>
    <col min="16" max="16" width="2.7109375" customWidth="1"/>
    <col min="17" max="17" width="15.42578125" customWidth="1"/>
  </cols>
  <sheetData>
    <row r="1" spans="1:17" ht="18.75" x14ac:dyDescent="0.25">
      <c r="A1" s="80" t="s">
        <v>80</v>
      </c>
    </row>
    <row r="2" spans="1:17" ht="18.75" x14ac:dyDescent="0.25">
      <c r="A2" s="80" t="s">
        <v>119</v>
      </c>
    </row>
    <row r="3" spans="1:17" x14ac:dyDescent="0.25">
      <c r="A3" s="39" t="s">
        <v>51</v>
      </c>
    </row>
    <row r="4" spans="1:17" ht="10.5" customHeight="1" x14ac:dyDescent="0.25"/>
    <row r="5" spans="1:17" ht="24.95" customHeight="1" x14ac:dyDescent="0.25">
      <c r="A5" s="6"/>
      <c r="B5" s="131" t="s">
        <v>24</v>
      </c>
      <c r="C5" s="131"/>
      <c r="D5" s="131"/>
      <c r="E5" s="131"/>
      <c r="F5" s="131"/>
      <c r="G5" s="131"/>
      <c r="H5" s="131"/>
      <c r="I5" s="131"/>
      <c r="J5" s="131"/>
      <c r="K5" s="131"/>
      <c r="L5" s="131"/>
      <c r="M5" s="132"/>
      <c r="N5" s="133" t="s">
        <v>22</v>
      </c>
      <c r="O5" s="134"/>
      <c r="P5" s="134"/>
      <c r="Q5" s="134"/>
    </row>
    <row r="6" spans="1:17" ht="24.95" customHeight="1" x14ac:dyDescent="0.25">
      <c r="A6" s="128" t="s">
        <v>0</v>
      </c>
      <c r="B6" s="141" t="s">
        <v>27</v>
      </c>
      <c r="C6" s="142"/>
      <c r="D6" s="142"/>
      <c r="E6" s="142"/>
      <c r="F6" s="142"/>
      <c r="G6" s="142"/>
      <c r="H6" s="142"/>
      <c r="I6" s="142"/>
      <c r="J6" s="142"/>
      <c r="K6" s="142"/>
      <c r="L6" s="138" t="s">
        <v>1</v>
      </c>
      <c r="M6" s="135" t="s">
        <v>2</v>
      </c>
      <c r="N6" s="8"/>
      <c r="O6" s="138" t="s">
        <v>3</v>
      </c>
      <c r="P6" s="8"/>
      <c r="Q6" s="138" t="s">
        <v>4</v>
      </c>
    </row>
    <row r="7" spans="1:17" ht="24.95" customHeight="1" x14ac:dyDescent="0.25">
      <c r="A7" s="129"/>
      <c r="B7" s="12" t="s">
        <v>23</v>
      </c>
      <c r="C7" s="2" t="s">
        <v>5</v>
      </c>
      <c r="D7" s="2" t="s">
        <v>6</v>
      </c>
      <c r="E7" s="2" t="s">
        <v>7</v>
      </c>
      <c r="F7" s="2" t="s">
        <v>12</v>
      </c>
      <c r="G7" s="2" t="s">
        <v>13</v>
      </c>
      <c r="H7" s="2" t="s">
        <v>8</v>
      </c>
      <c r="I7" s="2" t="s">
        <v>16</v>
      </c>
      <c r="J7" s="2" t="s">
        <v>17</v>
      </c>
      <c r="K7" s="2" t="s">
        <v>127</v>
      </c>
      <c r="L7" s="140"/>
      <c r="M7" s="136"/>
      <c r="N7" s="1"/>
      <c r="O7" s="139"/>
      <c r="P7" s="1"/>
      <c r="Q7" s="140"/>
    </row>
    <row r="8" spans="1:17" ht="50.1" customHeight="1" x14ac:dyDescent="0.25">
      <c r="A8" s="130"/>
      <c r="B8" s="13" t="s">
        <v>129</v>
      </c>
      <c r="C8" s="7" t="s">
        <v>34</v>
      </c>
      <c r="D8" s="7" t="s">
        <v>9</v>
      </c>
      <c r="E8" s="7" t="s">
        <v>11</v>
      </c>
      <c r="F8" s="7" t="s">
        <v>35</v>
      </c>
      <c r="G8" s="7" t="s">
        <v>14</v>
      </c>
      <c r="H8" s="7" t="s">
        <v>25</v>
      </c>
      <c r="I8" s="7" t="s">
        <v>15</v>
      </c>
      <c r="J8" s="7" t="s">
        <v>26</v>
      </c>
      <c r="K8" s="7" t="s">
        <v>18</v>
      </c>
      <c r="L8" s="139"/>
      <c r="M8" s="137"/>
      <c r="N8" s="3"/>
      <c r="O8" s="3" t="s">
        <v>10</v>
      </c>
      <c r="P8" s="3"/>
      <c r="Q8" s="139"/>
    </row>
    <row r="9" spans="1:17" s="86" customFormat="1" ht="15" customHeight="1" x14ac:dyDescent="0.25">
      <c r="A9" s="82"/>
      <c r="B9" s="83"/>
      <c r="C9" s="83"/>
      <c r="D9" s="83"/>
      <c r="E9" s="83"/>
      <c r="F9" s="83"/>
      <c r="G9" s="83"/>
      <c r="H9" s="83"/>
      <c r="I9" s="83"/>
      <c r="J9" s="83"/>
      <c r="K9" s="83"/>
      <c r="L9" s="84"/>
      <c r="M9" s="85"/>
      <c r="N9" s="84"/>
      <c r="O9" s="84"/>
      <c r="P9" s="84"/>
      <c r="Q9" s="84"/>
    </row>
    <row r="10" spans="1:17" ht="15" customHeight="1" x14ac:dyDescent="0.25">
      <c r="A10" s="9" t="s">
        <v>125</v>
      </c>
      <c r="B10" s="4"/>
      <c r="C10" s="4"/>
      <c r="D10" s="4"/>
      <c r="E10" s="4"/>
      <c r="F10" s="4"/>
      <c r="G10" s="4"/>
      <c r="H10" s="4"/>
      <c r="I10" s="4"/>
      <c r="J10" s="4"/>
      <c r="K10" s="4"/>
      <c r="L10" s="4"/>
      <c r="M10" s="14"/>
      <c r="N10" s="4"/>
      <c r="O10" s="4"/>
      <c r="P10" s="4"/>
      <c r="Q10" s="4"/>
    </row>
    <row r="11" spans="1:17" ht="15" customHeight="1" x14ac:dyDescent="0.25">
      <c r="A11" s="10" t="s">
        <v>19</v>
      </c>
      <c r="B11" s="5">
        <v>50246124.001524135</v>
      </c>
      <c r="C11" s="5">
        <v>1282075.5428348817</v>
      </c>
      <c r="D11" s="5">
        <v>5469169.8240479771</v>
      </c>
      <c r="E11" s="5">
        <v>14345321.085058298</v>
      </c>
      <c r="F11" s="5">
        <v>11464580.794673333</v>
      </c>
      <c r="G11" s="5">
        <v>53800.624511596558</v>
      </c>
      <c r="H11" s="5">
        <v>2526166.4822246912</v>
      </c>
      <c r="I11" s="5">
        <v>11823760.452324757</v>
      </c>
      <c r="J11" s="5">
        <v>1225335.2541368413</v>
      </c>
      <c r="K11" s="5">
        <v>2055913.9417117676</v>
      </c>
      <c r="L11" s="5">
        <v>9826100.334530687</v>
      </c>
      <c r="M11" s="15">
        <v>60072224.336054824</v>
      </c>
      <c r="N11" s="5"/>
      <c r="O11" s="5">
        <v>60072224.336054824</v>
      </c>
      <c r="P11" s="5"/>
      <c r="Q11" s="5">
        <v>60072224.336054824</v>
      </c>
    </row>
    <row r="12" spans="1:17" ht="15" customHeight="1" x14ac:dyDescent="0.25">
      <c r="A12" s="11" t="s">
        <v>20</v>
      </c>
      <c r="B12" s="5">
        <v>32623518.029439639</v>
      </c>
      <c r="C12" s="5">
        <v>17581132.278468184</v>
      </c>
      <c r="D12" s="5">
        <v>3406037.4430212276</v>
      </c>
      <c r="E12" s="5">
        <v>2149008.4221895481</v>
      </c>
      <c r="F12" s="5">
        <v>220273.87898845741</v>
      </c>
      <c r="G12" s="5">
        <v>8864409.0696930885</v>
      </c>
      <c r="H12" s="5">
        <v>17656.106751765074</v>
      </c>
      <c r="I12" s="5">
        <v>95130.363084607772</v>
      </c>
      <c r="J12" s="5">
        <v>267682.41742222873</v>
      </c>
      <c r="K12" s="5">
        <v>22188.04982053507</v>
      </c>
      <c r="L12" s="5">
        <v>1779292.062459457</v>
      </c>
      <c r="M12" s="15">
        <v>34402810.091899097</v>
      </c>
      <c r="N12" s="5"/>
      <c r="O12" s="5">
        <v>34402810.091899097</v>
      </c>
      <c r="P12" s="5"/>
      <c r="Q12" s="5">
        <v>34402810.091899097</v>
      </c>
    </row>
    <row r="13" spans="1:17" ht="15" customHeight="1" x14ac:dyDescent="0.25">
      <c r="A13" s="10" t="s">
        <v>126</v>
      </c>
      <c r="B13" s="5">
        <v>11887338.656389337</v>
      </c>
      <c r="C13" s="5">
        <v>11026997.538211659</v>
      </c>
      <c r="D13" s="5">
        <v>32311.07267368821</v>
      </c>
      <c r="E13" s="5">
        <v>113912.13225379222</v>
      </c>
      <c r="F13" s="5">
        <v>22554.875407398125</v>
      </c>
      <c r="G13" s="5">
        <v>482983.48746399838</v>
      </c>
      <c r="H13" s="5">
        <v>20424.840334477223</v>
      </c>
      <c r="I13" s="5">
        <v>153722.87756157495</v>
      </c>
      <c r="J13" s="5">
        <v>6184.83354441762</v>
      </c>
      <c r="K13" s="5">
        <v>28246.998938333069</v>
      </c>
      <c r="L13" s="5">
        <v>186981.94339914664</v>
      </c>
      <c r="M13" s="15">
        <v>12074320.599788483</v>
      </c>
      <c r="N13" s="5"/>
      <c r="O13" s="5">
        <v>12074320.599788483</v>
      </c>
      <c r="P13" s="5"/>
      <c r="Q13" s="5">
        <v>12074320.599788483</v>
      </c>
    </row>
    <row r="14" spans="1:17" ht="15" customHeight="1" x14ac:dyDescent="0.25">
      <c r="A14" s="10"/>
      <c r="B14" s="5"/>
      <c r="C14" s="5"/>
      <c r="D14" s="5"/>
      <c r="E14" s="5"/>
      <c r="F14" s="5"/>
      <c r="G14" s="5"/>
      <c r="H14" s="5"/>
      <c r="I14" s="5"/>
      <c r="J14" s="5"/>
      <c r="K14" s="5"/>
      <c r="L14" s="5"/>
      <c r="M14" s="15"/>
      <c r="N14" s="5"/>
      <c r="O14" s="5"/>
      <c r="P14" s="5"/>
      <c r="Q14" s="5"/>
    </row>
    <row r="15" spans="1:17" ht="15" customHeight="1" x14ac:dyDescent="0.25">
      <c r="A15" s="90" t="s">
        <v>21</v>
      </c>
      <c r="B15" s="91">
        <v>94756980.687353119</v>
      </c>
      <c r="C15" s="91">
        <v>29890205.359514724</v>
      </c>
      <c r="D15" s="91">
        <v>8907518.3397428934</v>
      </c>
      <c r="E15" s="91">
        <v>16608241.639501639</v>
      </c>
      <c r="F15" s="91">
        <v>11707409.549069189</v>
      </c>
      <c r="G15" s="91">
        <v>9401193.181668682</v>
      </c>
      <c r="H15" s="91">
        <v>2564247.4293109337</v>
      </c>
      <c r="I15" s="91">
        <v>12072613.692970941</v>
      </c>
      <c r="J15" s="91">
        <v>1499202.5051034875</v>
      </c>
      <c r="K15" s="91">
        <v>2106348.9904706357</v>
      </c>
      <c r="L15" s="91">
        <v>11792374.340389291</v>
      </c>
      <c r="M15" s="92">
        <v>106549355.02774242</v>
      </c>
      <c r="N15" s="91"/>
      <c r="O15" s="91">
        <v>106549355.02774242</v>
      </c>
      <c r="P15" s="91"/>
      <c r="Q15" s="91">
        <v>106549355.02774242</v>
      </c>
    </row>
    <row r="16" spans="1:17" s="86" customFormat="1" ht="15" customHeight="1" x14ac:dyDescent="0.25">
      <c r="A16" s="87"/>
      <c r="B16" s="88"/>
      <c r="C16" s="88"/>
      <c r="D16" s="88"/>
      <c r="E16" s="88"/>
      <c r="F16" s="88"/>
      <c r="G16" s="88"/>
      <c r="H16" s="88"/>
      <c r="I16" s="88"/>
      <c r="J16" s="88"/>
      <c r="K16" s="88"/>
      <c r="L16" s="88"/>
      <c r="M16" s="89"/>
      <c r="N16" s="88"/>
      <c r="O16" s="88"/>
      <c r="P16" s="88"/>
      <c r="Q16" s="88"/>
    </row>
    <row r="17" spans="1:17" s="118" customFormat="1" ht="30" customHeight="1" x14ac:dyDescent="0.25">
      <c r="A17" s="127" t="s">
        <v>130</v>
      </c>
      <c r="B17" s="127"/>
      <c r="C17" s="127"/>
      <c r="D17" s="127"/>
      <c r="E17" s="127"/>
      <c r="F17" s="127"/>
      <c r="G17" s="127"/>
      <c r="H17" s="127"/>
      <c r="I17" s="127"/>
      <c r="J17" s="127"/>
      <c r="K17" s="127"/>
      <c r="L17" s="127"/>
      <c r="M17" s="127"/>
      <c r="N17" s="127"/>
      <c r="O17" s="127"/>
      <c r="P17" s="127"/>
      <c r="Q17" s="127"/>
    </row>
    <row r="18" spans="1:17" s="118" customFormat="1" ht="15" customHeight="1" x14ac:dyDescent="0.25">
      <c r="A18" s="127" t="s">
        <v>131</v>
      </c>
      <c r="B18" s="127"/>
      <c r="C18" s="127"/>
      <c r="D18" s="127"/>
      <c r="E18" s="127"/>
      <c r="F18" s="127"/>
      <c r="G18" s="127"/>
      <c r="H18" s="127"/>
      <c r="I18" s="127"/>
      <c r="J18" s="127"/>
      <c r="K18" s="127"/>
      <c r="L18" s="127"/>
      <c r="M18" s="127"/>
      <c r="N18" s="127"/>
      <c r="O18" s="127"/>
      <c r="P18" s="127"/>
      <c r="Q18" s="127"/>
    </row>
    <row r="19" spans="1:17" s="118" customFormat="1" ht="30" customHeight="1" x14ac:dyDescent="0.25">
      <c r="A19" s="127" t="s">
        <v>132</v>
      </c>
      <c r="B19" s="127"/>
      <c r="C19" s="127"/>
      <c r="D19" s="127"/>
      <c r="E19" s="127"/>
      <c r="F19" s="127"/>
      <c r="G19" s="127"/>
      <c r="H19" s="127"/>
      <c r="I19" s="127"/>
      <c r="J19" s="127"/>
      <c r="K19" s="127"/>
      <c r="L19" s="127"/>
      <c r="M19" s="127"/>
      <c r="N19" s="127"/>
      <c r="O19" s="127"/>
      <c r="P19" s="127"/>
      <c r="Q19" s="127"/>
    </row>
    <row r="20" spans="1:17" s="118" customFormat="1" ht="15" customHeight="1" x14ac:dyDescent="0.25">
      <c r="A20" s="119" t="s">
        <v>36</v>
      </c>
      <c r="B20" s="119"/>
      <c r="C20" s="119"/>
      <c r="D20" s="119"/>
      <c r="E20" s="119"/>
      <c r="F20" s="119"/>
      <c r="G20" s="119"/>
      <c r="H20" s="119"/>
      <c r="I20" s="119"/>
      <c r="J20" s="119"/>
      <c r="K20" s="119"/>
      <c r="L20" s="119"/>
      <c r="M20" s="119"/>
      <c r="N20" s="119"/>
      <c r="O20" s="119"/>
      <c r="P20" s="119"/>
      <c r="Q20" s="119"/>
    </row>
  </sheetData>
  <mergeCells count="11">
    <mergeCell ref="A18:Q18"/>
    <mergeCell ref="A17:Q17"/>
    <mergeCell ref="A19:Q19"/>
    <mergeCell ref="A6:A8"/>
    <mergeCell ref="B5:M5"/>
    <mergeCell ref="N5:Q5"/>
    <mergeCell ref="M6:M8"/>
    <mergeCell ref="O6:O7"/>
    <mergeCell ref="Q6:Q8"/>
    <mergeCell ref="L6:L8"/>
    <mergeCell ref="B6:K6"/>
  </mergeCells>
  <pageMargins left="0.7" right="0.7" top="0.75" bottom="0.75" header="0.3" footer="0.3"/>
  <pageSetup paperSize="9" scale="52" orientation="landscape"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B25E3-5750-4CF2-92E7-D7649A6D09D3}">
  <sheetPr codeName="Hoja3">
    <tabColor rgb="FF0070C0"/>
  </sheetPr>
  <dimension ref="A1:Q20"/>
  <sheetViews>
    <sheetView showGridLines="0" zoomScaleNormal="100" zoomScaleSheetLayoutView="100" workbookViewId="0"/>
  </sheetViews>
  <sheetFormatPr baseColWidth="10" defaultRowHeight="15" x14ac:dyDescent="0.25"/>
  <cols>
    <col min="1" max="1" width="27.7109375" customWidth="1"/>
    <col min="2" max="13" width="15.42578125" customWidth="1"/>
    <col min="14" max="14" width="2.7109375" customWidth="1"/>
    <col min="15" max="15" width="15.42578125" customWidth="1"/>
    <col min="16" max="16" width="2.7109375" customWidth="1"/>
    <col min="17" max="17" width="15.42578125" customWidth="1"/>
  </cols>
  <sheetData>
    <row r="1" spans="1:17" ht="18.75" x14ac:dyDescent="0.25">
      <c r="A1" s="80" t="s">
        <v>81</v>
      </c>
    </row>
    <row r="2" spans="1:17" ht="18.75" x14ac:dyDescent="0.25">
      <c r="A2" s="80" t="s">
        <v>120</v>
      </c>
    </row>
    <row r="3" spans="1:17" x14ac:dyDescent="0.25">
      <c r="A3" s="39" t="s">
        <v>51</v>
      </c>
    </row>
    <row r="4" spans="1:17" ht="10.5" customHeight="1" x14ac:dyDescent="0.25"/>
    <row r="5" spans="1:17" ht="24.95" customHeight="1" x14ac:dyDescent="0.25">
      <c r="A5" s="6"/>
      <c r="B5" s="131" t="s">
        <v>24</v>
      </c>
      <c r="C5" s="131"/>
      <c r="D5" s="131"/>
      <c r="E5" s="131"/>
      <c r="F5" s="131"/>
      <c r="G5" s="131"/>
      <c r="H5" s="131"/>
      <c r="I5" s="131"/>
      <c r="J5" s="131"/>
      <c r="K5" s="131"/>
      <c r="L5" s="131"/>
      <c r="M5" s="132"/>
      <c r="N5" s="133" t="s">
        <v>22</v>
      </c>
      <c r="O5" s="134"/>
      <c r="P5" s="134"/>
      <c r="Q5" s="134"/>
    </row>
    <row r="6" spans="1:17" ht="24.95" customHeight="1" x14ac:dyDescent="0.25">
      <c r="A6" s="128" t="s">
        <v>0</v>
      </c>
      <c r="B6" s="141" t="s">
        <v>27</v>
      </c>
      <c r="C6" s="142"/>
      <c r="D6" s="142"/>
      <c r="E6" s="142"/>
      <c r="F6" s="142"/>
      <c r="G6" s="142"/>
      <c r="H6" s="142"/>
      <c r="I6" s="142"/>
      <c r="J6" s="142"/>
      <c r="K6" s="142"/>
      <c r="L6" s="138" t="s">
        <v>1</v>
      </c>
      <c r="M6" s="135" t="s">
        <v>2</v>
      </c>
      <c r="N6" s="8"/>
      <c r="O6" s="138" t="s">
        <v>3</v>
      </c>
      <c r="P6" s="8"/>
      <c r="Q6" s="138" t="s">
        <v>4</v>
      </c>
    </row>
    <row r="7" spans="1:17" ht="24.95" customHeight="1" x14ac:dyDescent="0.25">
      <c r="A7" s="129"/>
      <c r="B7" s="12" t="s">
        <v>23</v>
      </c>
      <c r="C7" s="2" t="s">
        <v>5</v>
      </c>
      <c r="D7" s="2" t="s">
        <v>6</v>
      </c>
      <c r="E7" s="2" t="s">
        <v>7</v>
      </c>
      <c r="F7" s="2" t="s">
        <v>12</v>
      </c>
      <c r="G7" s="2" t="s">
        <v>13</v>
      </c>
      <c r="H7" s="2" t="s">
        <v>8</v>
      </c>
      <c r="I7" s="2" t="s">
        <v>16</v>
      </c>
      <c r="J7" s="2" t="s">
        <v>17</v>
      </c>
      <c r="K7" s="2" t="s">
        <v>127</v>
      </c>
      <c r="L7" s="140"/>
      <c r="M7" s="136"/>
      <c r="N7" s="1"/>
      <c r="O7" s="139"/>
      <c r="P7" s="1"/>
      <c r="Q7" s="140"/>
    </row>
    <row r="8" spans="1:17" ht="50.1" customHeight="1" x14ac:dyDescent="0.25">
      <c r="A8" s="130"/>
      <c r="B8" s="13" t="s">
        <v>129</v>
      </c>
      <c r="C8" s="7" t="s">
        <v>34</v>
      </c>
      <c r="D8" s="7" t="s">
        <v>9</v>
      </c>
      <c r="E8" s="7" t="s">
        <v>11</v>
      </c>
      <c r="F8" s="7" t="s">
        <v>35</v>
      </c>
      <c r="G8" s="7" t="s">
        <v>14</v>
      </c>
      <c r="H8" s="7" t="s">
        <v>25</v>
      </c>
      <c r="I8" s="7" t="s">
        <v>15</v>
      </c>
      <c r="J8" s="7" t="s">
        <v>26</v>
      </c>
      <c r="K8" s="7" t="s">
        <v>18</v>
      </c>
      <c r="L8" s="139"/>
      <c r="M8" s="137"/>
      <c r="N8" s="3"/>
      <c r="O8" s="3" t="s">
        <v>10</v>
      </c>
      <c r="P8" s="3"/>
      <c r="Q8" s="139"/>
    </row>
    <row r="9" spans="1:17" s="86" customFormat="1" ht="15" customHeight="1" x14ac:dyDescent="0.25">
      <c r="A9" s="82"/>
      <c r="B9" s="83"/>
      <c r="C9" s="83"/>
      <c r="D9" s="83"/>
      <c r="E9" s="83"/>
      <c r="F9" s="83"/>
      <c r="G9" s="83"/>
      <c r="H9" s="83"/>
      <c r="I9" s="83"/>
      <c r="J9" s="83"/>
      <c r="K9" s="83"/>
      <c r="L9" s="84"/>
      <c r="M9" s="85"/>
      <c r="N9" s="84"/>
      <c r="O9" s="84"/>
      <c r="P9" s="84"/>
      <c r="Q9" s="84"/>
    </row>
    <row r="10" spans="1:17" x14ac:dyDescent="0.25">
      <c r="A10" s="9" t="s">
        <v>125</v>
      </c>
      <c r="B10" s="4"/>
      <c r="C10" s="4"/>
      <c r="D10" s="4"/>
      <c r="E10" s="4"/>
      <c r="F10" s="4"/>
      <c r="G10" s="4"/>
      <c r="H10" s="4"/>
      <c r="I10" s="4"/>
      <c r="J10" s="4"/>
      <c r="K10" s="4"/>
      <c r="L10" s="4"/>
      <c r="M10" s="14"/>
      <c r="N10" s="4"/>
      <c r="O10" s="4"/>
      <c r="P10" s="4"/>
      <c r="Q10" s="4"/>
    </row>
    <row r="11" spans="1:17" x14ac:dyDescent="0.25">
      <c r="A11" s="10" t="s">
        <v>19</v>
      </c>
      <c r="B11" s="5">
        <v>37233257.895372272</v>
      </c>
      <c r="C11" s="5">
        <v>1209152.2041488509</v>
      </c>
      <c r="D11" s="5">
        <v>4407775.5778368562</v>
      </c>
      <c r="E11" s="5">
        <v>10028316.610602796</v>
      </c>
      <c r="F11" s="5">
        <v>10053369.977240045</v>
      </c>
      <c r="G11" s="5">
        <v>46380.260624446521</v>
      </c>
      <c r="H11" s="5">
        <v>1878476.769047278</v>
      </c>
      <c r="I11" s="5">
        <v>6633854.7695400594</v>
      </c>
      <c r="J11" s="5">
        <v>1074003.504414611</v>
      </c>
      <c r="K11" s="5">
        <v>1901928.2219173277</v>
      </c>
      <c r="L11" s="5">
        <v>10086116.730047747</v>
      </c>
      <c r="M11" s="15">
        <v>47319374.625420019</v>
      </c>
      <c r="N11" s="5"/>
      <c r="O11" s="5">
        <v>47319374.625420019</v>
      </c>
      <c r="P11" s="5"/>
      <c r="Q11" s="5">
        <v>47319374.625420019</v>
      </c>
    </row>
    <row r="12" spans="1:17" x14ac:dyDescent="0.25">
      <c r="A12" s="11" t="s">
        <v>20</v>
      </c>
      <c r="B12" s="5">
        <v>32574789.629633002</v>
      </c>
      <c r="C12" s="5">
        <v>17731847.986436822</v>
      </c>
      <c r="D12" s="5">
        <v>3311728.6765117277</v>
      </c>
      <c r="E12" s="5">
        <v>1950099.4215549855</v>
      </c>
      <c r="F12" s="5">
        <v>213443.84989785214</v>
      </c>
      <c r="G12" s="5">
        <v>9119187.1053319462</v>
      </c>
      <c r="H12" s="5">
        <v>12999.753593521407</v>
      </c>
      <c r="I12" s="5">
        <v>55518.055838725319</v>
      </c>
      <c r="J12" s="5">
        <v>160629.52142907132</v>
      </c>
      <c r="K12" s="5">
        <v>19335.259038349537</v>
      </c>
      <c r="L12" s="5">
        <v>1654537.2312709945</v>
      </c>
      <c r="M12" s="15">
        <v>34229326.860903993</v>
      </c>
      <c r="N12" s="5"/>
      <c r="O12" s="5">
        <v>34229326.860903993</v>
      </c>
      <c r="P12" s="5"/>
      <c r="Q12" s="5">
        <v>34229326.860903993</v>
      </c>
    </row>
    <row r="13" spans="1:17" x14ac:dyDescent="0.25">
      <c r="A13" s="10" t="s">
        <v>126</v>
      </c>
      <c r="B13" s="5">
        <v>11714475.741916254</v>
      </c>
      <c r="C13" s="5">
        <v>10932546.295723723</v>
      </c>
      <c r="D13" s="5">
        <v>24507.213810221918</v>
      </c>
      <c r="E13" s="5">
        <v>99496.956841848834</v>
      </c>
      <c r="F13" s="5">
        <v>20989.855905797416</v>
      </c>
      <c r="G13" s="5">
        <v>497810.90067364782</v>
      </c>
      <c r="H13" s="5">
        <v>15296.633427543045</v>
      </c>
      <c r="I13" s="5">
        <v>91762.977412997338</v>
      </c>
      <c r="J13" s="5">
        <v>5721.8522812529418</v>
      </c>
      <c r="K13" s="5">
        <v>26343.055839220306</v>
      </c>
      <c r="L13" s="5">
        <v>195677.91106068282</v>
      </c>
      <c r="M13" s="15">
        <v>11910153.652976938</v>
      </c>
      <c r="N13" s="5"/>
      <c r="O13" s="5">
        <v>11910153.652976938</v>
      </c>
      <c r="P13" s="5"/>
      <c r="Q13" s="5">
        <v>11910153.652976938</v>
      </c>
    </row>
    <row r="14" spans="1:17" x14ac:dyDescent="0.25">
      <c r="A14" s="10"/>
      <c r="B14" s="5"/>
      <c r="C14" s="5"/>
      <c r="D14" s="5"/>
      <c r="E14" s="5"/>
      <c r="F14" s="5"/>
      <c r="G14" s="5"/>
      <c r="H14" s="5"/>
      <c r="I14" s="5"/>
      <c r="J14" s="5"/>
      <c r="K14" s="5"/>
      <c r="L14" s="5"/>
      <c r="M14" s="15"/>
      <c r="N14" s="5"/>
      <c r="O14" s="5"/>
      <c r="P14" s="5"/>
      <c r="Q14" s="5"/>
    </row>
    <row r="15" spans="1:17" x14ac:dyDescent="0.25">
      <c r="A15" s="90" t="s">
        <v>21</v>
      </c>
      <c r="B15" s="91">
        <v>81522523.266921535</v>
      </c>
      <c r="C15" s="91">
        <v>29873546.486309394</v>
      </c>
      <c r="D15" s="91">
        <v>7744011.4681588057</v>
      </c>
      <c r="E15" s="91">
        <v>12077912.988999631</v>
      </c>
      <c r="F15" s="91">
        <v>10287803.683043694</v>
      </c>
      <c r="G15" s="91">
        <v>9663378.2666300405</v>
      </c>
      <c r="H15" s="91">
        <v>1906773.1560683425</v>
      </c>
      <c r="I15" s="91">
        <v>6781135.8027917827</v>
      </c>
      <c r="J15" s="91">
        <v>1240354.8781249351</v>
      </c>
      <c r="K15" s="91">
        <v>1947606.5367948976</v>
      </c>
      <c r="L15" s="91">
        <v>11936331.872379426</v>
      </c>
      <c r="M15" s="92">
        <v>93458855.139300942</v>
      </c>
      <c r="N15" s="91"/>
      <c r="O15" s="91">
        <v>93458855.139300942</v>
      </c>
      <c r="P15" s="91"/>
      <c r="Q15" s="91">
        <v>93458855.139300942</v>
      </c>
    </row>
    <row r="16" spans="1:17" s="86" customFormat="1" x14ac:dyDescent="0.25">
      <c r="A16" s="87"/>
      <c r="B16" s="88"/>
      <c r="C16" s="88"/>
      <c r="D16" s="88"/>
      <c r="E16" s="88"/>
      <c r="F16" s="88"/>
      <c r="G16" s="88"/>
      <c r="H16" s="88"/>
      <c r="I16" s="88"/>
      <c r="J16" s="88"/>
      <c r="K16" s="88"/>
      <c r="L16" s="88"/>
      <c r="M16" s="89"/>
      <c r="N16" s="88"/>
      <c r="O16" s="88"/>
      <c r="P16" s="88"/>
      <c r="Q16" s="88"/>
    </row>
    <row r="17" spans="1:17" s="118" customFormat="1" ht="30" customHeight="1" x14ac:dyDescent="0.25">
      <c r="A17" s="127" t="s">
        <v>130</v>
      </c>
      <c r="B17" s="127"/>
      <c r="C17" s="127"/>
      <c r="D17" s="127"/>
      <c r="E17" s="127"/>
      <c r="F17" s="127"/>
      <c r="G17" s="127"/>
      <c r="H17" s="127"/>
      <c r="I17" s="127"/>
      <c r="J17" s="127"/>
      <c r="K17" s="127"/>
      <c r="L17" s="127"/>
      <c r="M17" s="127"/>
      <c r="N17" s="127"/>
      <c r="O17" s="127"/>
      <c r="P17" s="127"/>
      <c r="Q17" s="127"/>
    </row>
    <row r="18" spans="1:17" s="118" customFormat="1" ht="15" customHeight="1" x14ac:dyDescent="0.25">
      <c r="A18" s="127" t="s">
        <v>131</v>
      </c>
      <c r="B18" s="127"/>
      <c r="C18" s="127"/>
      <c r="D18" s="127"/>
      <c r="E18" s="127"/>
      <c r="F18" s="127"/>
      <c r="G18" s="127"/>
      <c r="H18" s="127"/>
      <c r="I18" s="127"/>
      <c r="J18" s="127"/>
      <c r="K18" s="127"/>
      <c r="L18" s="127"/>
      <c r="M18" s="127"/>
      <c r="N18" s="127"/>
      <c r="O18" s="127"/>
      <c r="P18" s="127"/>
      <c r="Q18" s="127"/>
    </row>
    <row r="19" spans="1:17" s="118" customFormat="1" ht="30" customHeight="1" x14ac:dyDescent="0.25">
      <c r="A19" s="127" t="s">
        <v>132</v>
      </c>
      <c r="B19" s="127"/>
      <c r="C19" s="127"/>
      <c r="D19" s="127"/>
      <c r="E19" s="127"/>
      <c r="F19" s="127"/>
      <c r="G19" s="127"/>
      <c r="H19" s="127"/>
      <c r="I19" s="127"/>
      <c r="J19" s="127"/>
      <c r="K19" s="127"/>
      <c r="L19" s="127"/>
      <c r="M19" s="127"/>
      <c r="N19" s="127"/>
      <c r="O19" s="127"/>
      <c r="P19" s="127"/>
      <c r="Q19" s="127"/>
    </row>
    <row r="20" spans="1:17" s="118" customFormat="1" ht="15" customHeight="1" x14ac:dyDescent="0.25">
      <c r="A20" s="119" t="s">
        <v>36</v>
      </c>
      <c r="B20" s="119"/>
      <c r="C20" s="119"/>
      <c r="D20" s="119"/>
      <c r="E20" s="119"/>
      <c r="F20" s="119"/>
      <c r="G20" s="119"/>
      <c r="H20" s="119"/>
      <c r="I20" s="119"/>
      <c r="J20" s="119"/>
      <c r="K20" s="119"/>
      <c r="L20" s="119"/>
      <c r="M20" s="119"/>
      <c r="N20" s="119"/>
      <c r="O20" s="119"/>
      <c r="P20" s="119"/>
      <c r="Q20" s="119"/>
    </row>
  </sheetData>
  <mergeCells count="11">
    <mergeCell ref="A17:Q17"/>
    <mergeCell ref="A18:Q18"/>
    <mergeCell ref="A19:Q19"/>
    <mergeCell ref="B5:M5"/>
    <mergeCell ref="N5:Q5"/>
    <mergeCell ref="A6:A8"/>
    <mergeCell ref="B6:K6"/>
    <mergeCell ref="L6:L8"/>
    <mergeCell ref="M6:M8"/>
    <mergeCell ref="O6:O7"/>
    <mergeCell ref="Q6:Q8"/>
  </mergeCells>
  <pageMargins left="0.7" right="0.7" top="0.75" bottom="0.75" header="0.3" footer="0.3"/>
  <pageSetup paperSize="9" scale="33"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CDD3B-9766-48B0-AB2D-CE82EFD9149D}">
  <sheetPr codeName="Hoja5">
    <tabColor rgb="FF0070C0"/>
  </sheetPr>
  <dimension ref="A1:Q20"/>
  <sheetViews>
    <sheetView showGridLines="0" zoomScaleNormal="100" zoomScaleSheetLayoutView="100" workbookViewId="0"/>
  </sheetViews>
  <sheetFormatPr baseColWidth="10" defaultRowHeight="15" x14ac:dyDescent="0.25"/>
  <cols>
    <col min="1" max="1" width="27.7109375" customWidth="1"/>
    <col min="2" max="13" width="15.42578125" customWidth="1"/>
    <col min="14" max="14" width="2.7109375" customWidth="1"/>
    <col min="15" max="15" width="15.42578125" customWidth="1"/>
    <col min="16" max="16" width="2.7109375" customWidth="1"/>
    <col min="17" max="17" width="15.42578125" customWidth="1"/>
  </cols>
  <sheetData>
    <row r="1" spans="1:17" ht="18.75" x14ac:dyDescent="0.25">
      <c r="A1" s="80" t="s">
        <v>82</v>
      </c>
    </row>
    <row r="2" spans="1:17" ht="18.75" x14ac:dyDescent="0.25">
      <c r="A2" s="80" t="s">
        <v>121</v>
      </c>
    </row>
    <row r="3" spans="1:17" x14ac:dyDescent="0.25">
      <c r="A3" s="39" t="s">
        <v>51</v>
      </c>
    </row>
    <row r="4" spans="1:17" ht="10.5" customHeight="1" x14ac:dyDescent="0.25"/>
    <row r="5" spans="1:17" ht="24.95" customHeight="1" x14ac:dyDescent="0.25">
      <c r="A5" s="6"/>
      <c r="B5" s="131" t="s">
        <v>24</v>
      </c>
      <c r="C5" s="131"/>
      <c r="D5" s="131"/>
      <c r="E5" s="131"/>
      <c r="F5" s="131"/>
      <c r="G5" s="131"/>
      <c r="H5" s="131"/>
      <c r="I5" s="131"/>
      <c r="J5" s="131"/>
      <c r="K5" s="131"/>
      <c r="L5" s="131"/>
      <c r="M5" s="132"/>
      <c r="N5" s="133" t="s">
        <v>22</v>
      </c>
      <c r="O5" s="134"/>
      <c r="P5" s="134"/>
      <c r="Q5" s="134"/>
    </row>
    <row r="6" spans="1:17" ht="24.95" customHeight="1" x14ac:dyDescent="0.25">
      <c r="A6" s="128" t="s">
        <v>0</v>
      </c>
      <c r="B6" s="141" t="s">
        <v>27</v>
      </c>
      <c r="C6" s="142"/>
      <c r="D6" s="142"/>
      <c r="E6" s="142"/>
      <c r="F6" s="142"/>
      <c r="G6" s="142"/>
      <c r="H6" s="142"/>
      <c r="I6" s="142"/>
      <c r="J6" s="142"/>
      <c r="K6" s="142"/>
      <c r="L6" s="138" t="s">
        <v>1</v>
      </c>
      <c r="M6" s="135" t="s">
        <v>2</v>
      </c>
      <c r="N6" s="8"/>
      <c r="O6" s="138" t="s">
        <v>3</v>
      </c>
      <c r="P6" s="8"/>
      <c r="Q6" s="138" t="s">
        <v>4</v>
      </c>
    </row>
    <row r="7" spans="1:17" ht="24.95" customHeight="1" x14ac:dyDescent="0.25">
      <c r="A7" s="129"/>
      <c r="B7" s="12" t="s">
        <v>23</v>
      </c>
      <c r="C7" s="2" t="s">
        <v>5</v>
      </c>
      <c r="D7" s="2" t="s">
        <v>6</v>
      </c>
      <c r="E7" s="2" t="s">
        <v>7</v>
      </c>
      <c r="F7" s="2" t="s">
        <v>12</v>
      </c>
      <c r="G7" s="2" t="s">
        <v>13</v>
      </c>
      <c r="H7" s="2" t="s">
        <v>8</v>
      </c>
      <c r="I7" s="2" t="s">
        <v>16</v>
      </c>
      <c r="J7" s="2" t="s">
        <v>17</v>
      </c>
      <c r="K7" s="2" t="s">
        <v>127</v>
      </c>
      <c r="L7" s="140"/>
      <c r="M7" s="136"/>
      <c r="N7" s="1"/>
      <c r="O7" s="139"/>
      <c r="P7" s="1"/>
      <c r="Q7" s="140"/>
    </row>
    <row r="8" spans="1:17" ht="50.1" customHeight="1" x14ac:dyDescent="0.25">
      <c r="A8" s="130"/>
      <c r="B8" s="13" t="s">
        <v>129</v>
      </c>
      <c r="C8" s="7" t="s">
        <v>34</v>
      </c>
      <c r="D8" s="7" t="s">
        <v>9</v>
      </c>
      <c r="E8" s="7" t="s">
        <v>11</v>
      </c>
      <c r="F8" s="7" t="s">
        <v>35</v>
      </c>
      <c r="G8" s="7" t="s">
        <v>14</v>
      </c>
      <c r="H8" s="7" t="s">
        <v>25</v>
      </c>
      <c r="I8" s="7" t="s">
        <v>15</v>
      </c>
      <c r="J8" s="7" t="s">
        <v>26</v>
      </c>
      <c r="K8" s="7" t="s">
        <v>18</v>
      </c>
      <c r="L8" s="139"/>
      <c r="M8" s="137"/>
      <c r="N8" s="3"/>
      <c r="O8" s="3" t="s">
        <v>10</v>
      </c>
      <c r="P8" s="3"/>
      <c r="Q8" s="139"/>
    </row>
    <row r="9" spans="1:17" s="86" customFormat="1" ht="15" customHeight="1" x14ac:dyDescent="0.25">
      <c r="A9" s="82"/>
      <c r="B9" s="83"/>
      <c r="C9" s="83"/>
      <c r="D9" s="83"/>
      <c r="E9" s="83"/>
      <c r="F9" s="83"/>
      <c r="G9" s="83"/>
      <c r="H9" s="83"/>
      <c r="I9" s="83"/>
      <c r="J9" s="83"/>
      <c r="K9" s="83"/>
      <c r="L9" s="84"/>
      <c r="M9" s="85"/>
      <c r="N9" s="84"/>
      <c r="O9" s="84"/>
      <c r="P9" s="84"/>
      <c r="Q9" s="84"/>
    </row>
    <row r="10" spans="1:17" x14ac:dyDescent="0.25">
      <c r="A10" s="9" t="s">
        <v>125</v>
      </c>
      <c r="B10" s="4"/>
      <c r="C10" s="4"/>
      <c r="D10" s="4"/>
      <c r="E10" s="4"/>
      <c r="F10" s="4"/>
      <c r="G10" s="4"/>
      <c r="H10" s="4"/>
      <c r="I10" s="4"/>
      <c r="J10" s="4"/>
      <c r="K10" s="4"/>
      <c r="L10" s="4"/>
      <c r="M10" s="14"/>
      <c r="N10" s="4"/>
      <c r="O10" s="4"/>
      <c r="P10" s="4"/>
      <c r="Q10" s="4"/>
    </row>
    <row r="11" spans="1:17" x14ac:dyDescent="0.25">
      <c r="A11" s="10" t="s">
        <v>19</v>
      </c>
      <c r="B11" s="5">
        <v>48366103.224017389</v>
      </c>
      <c r="C11" s="5">
        <v>1745367.8118403486</v>
      </c>
      <c r="D11" s="5">
        <v>5108885.9212196646</v>
      </c>
      <c r="E11" s="5">
        <v>14242435.379548227</v>
      </c>
      <c r="F11" s="5">
        <v>11702477.161506686</v>
      </c>
      <c r="G11" s="5">
        <v>58568.492736795692</v>
      </c>
      <c r="H11" s="5">
        <v>2676085.814574196</v>
      </c>
      <c r="I11" s="5">
        <v>9510278.7521029003</v>
      </c>
      <c r="J11" s="5">
        <v>1263550.2427704176</v>
      </c>
      <c r="K11" s="5">
        <v>2058453.647718153</v>
      </c>
      <c r="L11" s="5">
        <v>11352060.800454076</v>
      </c>
      <c r="M11" s="15">
        <v>59718164.024471462</v>
      </c>
      <c r="N11" s="5"/>
      <c r="O11" s="5">
        <v>59718164.024471462</v>
      </c>
      <c r="P11" s="5"/>
      <c r="Q11" s="5">
        <v>59718164.024471462</v>
      </c>
    </row>
    <row r="12" spans="1:17" x14ac:dyDescent="0.25">
      <c r="A12" s="11" t="s">
        <v>20</v>
      </c>
      <c r="B12" s="5">
        <v>35210015.425298288</v>
      </c>
      <c r="C12" s="5">
        <v>18106764.503186431</v>
      </c>
      <c r="D12" s="5">
        <v>3370967.1317171245</v>
      </c>
      <c r="E12" s="5">
        <v>3809630.1236136667</v>
      </c>
      <c r="F12" s="5">
        <v>221302.36779026609</v>
      </c>
      <c r="G12" s="5">
        <v>9378579.6482426412</v>
      </c>
      <c r="H12" s="5">
        <v>14929.616295120297</v>
      </c>
      <c r="I12" s="5">
        <v>78610.867143273324</v>
      </c>
      <c r="J12" s="5">
        <v>208762.01527340079</v>
      </c>
      <c r="K12" s="5">
        <v>20469.152036370931</v>
      </c>
      <c r="L12" s="5">
        <v>1931713.9993960806</v>
      </c>
      <c r="M12" s="15">
        <v>37141729.424694367</v>
      </c>
      <c r="N12" s="5"/>
      <c r="O12" s="5">
        <v>37141729.424694367</v>
      </c>
      <c r="P12" s="5"/>
      <c r="Q12" s="5">
        <v>37141729.424694367</v>
      </c>
    </row>
    <row r="13" spans="1:17" x14ac:dyDescent="0.25">
      <c r="A13" s="10" t="s">
        <v>126</v>
      </c>
      <c r="B13" s="5">
        <v>12086466.119792627</v>
      </c>
      <c r="C13" s="5">
        <v>11241642.463587243</v>
      </c>
      <c r="D13" s="5">
        <v>30842.906015156324</v>
      </c>
      <c r="E13" s="5">
        <v>99504.920059659053</v>
      </c>
      <c r="F13" s="5">
        <v>25273.696811430375</v>
      </c>
      <c r="G13" s="5">
        <v>506343.09114042443</v>
      </c>
      <c r="H13" s="5">
        <v>18197.186395187651</v>
      </c>
      <c r="I13" s="5">
        <v>129554.65738911163</v>
      </c>
      <c r="J13" s="5">
        <v>6580.3119924351377</v>
      </c>
      <c r="K13" s="5">
        <v>28526.886401981297</v>
      </c>
      <c r="L13" s="5">
        <v>225527.42761094667</v>
      </c>
      <c r="M13" s="15">
        <v>12311993.547403574</v>
      </c>
      <c r="N13" s="5"/>
      <c r="O13" s="5">
        <v>12311993.547403574</v>
      </c>
      <c r="P13" s="5"/>
      <c r="Q13" s="5">
        <v>12311993.547403574</v>
      </c>
    </row>
    <row r="14" spans="1:17" x14ac:dyDescent="0.25">
      <c r="A14" s="10"/>
      <c r="B14" s="5"/>
      <c r="C14" s="5"/>
      <c r="D14" s="5"/>
      <c r="E14" s="5"/>
      <c r="F14" s="5"/>
      <c r="G14" s="5"/>
      <c r="H14" s="5"/>
      <c r="I14" s="5"/>
      <c r="J14" s="5"/>
      <c r="K14" s="5"/>
      <c r="L14" s="5"/>
      <c r="M14" s="15"/>
      <c r="N14" s="5"/>
      <c r="O14" s="5"/>
      <c r="P14" s="5"/>
      <c r="Q14" s="5"/>
    </row>
    <row r="15" spans="1:17" x14ac:dyDescent="0.25">
      <c r="A15" s="90" t="s">
        <v>21</v>
      </c>
      <c r="B15" s="91">
        <v>95662584.76910831</v>
      </c>
      <c r="C15" s="91">
        <v>31093774.778614022</v>
      </c>
      <c r="D15" s="91">
        <v>8510695.9589519445</v>
      </c>
      <c r="E15" s="91">
        <v>18151570.423221551</v>
      </c>
      <c r="F15" s="91">
        <v>11949053.226108383</v>
      </c>
      <c r="G15" s="91">
        <v>9943491.232119862</v>
      </c>
      <c r="H15" s="91">
        <v>2709212.6172645041</v>
      </c>
      <c r="I15" s="91">
        <v>9718444.2766352855</v>
      </c>
      <c r="J15" s="91">
        <v>1478892.5700362537</v>
      </c>
      <c r="K15" s="91">
        <v>2107449.6861565053</v>
      </c>
      <c r="L15" s="91">
        <v>13509302.227461103</v>
      </c>
      <c r="M15" s="92">
        <v>109171886.9965694</v>
      </c>
      <c r="N15" s="91"/>
      <c r="O15" s="91">
        <v>109171886.9965694</v>
      </c>
      <c r="P15" s="91"/>
      <c r="Q15" s="91">
        <v>109171886.9965694</v>
      </c>
    </row>
    <row r="16" spans="1:17" s="86" customFormat="1" x14ac:dyDescent="0.25">
      <c r="A16" s="87"/>
      <c r="B16" s="88"/>
      <c r="C16" s="88"/>
      <c r="D16" s="88"/>
      <c r="E16" s="88"/>
      <c r="F16" s="88"/>
      <c r="G16" s="88"/>
      <c r="H16" s="88"/>
      <c r="I16" s="88"/>
      <c r="J16" s="88"/>
      <c r="K16" s="88"/>
      <c r="L16" s="88"/>
      <c r="M16" s="89"/>
      <c r="N16" s="88"/>
      <c r="O16" s="88"/>
      <c r="P16" s="88"/>
      <c r="Q16" s="88"/>
    </row>
    <row r="17" spans="1:17" s="118" customFormat="1" ht="30" customHeight="1" x14ac:dyDescent="0.25">
      <c r="A17" s="127" t="s">
        <v>130</v>
      </c>
      <c r="B17" s="127"/>
      <c r="C17" s="127"/>
      <c r="D17" s="127"/>
      <c r="E17" s="127"/>
      <c r="F17" s="127"/>
      <c r="G17" s="127"/>
      <c r="H17" s="127"/>
      <c r="I17" s="127"/>
      <c r="J17" s="127"/>
      <c r="K17" s="127"/>
      <c r="L17" s="127"/>
      <c r="M17" s="127"/>
      <c r="N17" s="127"/>
      <c r="O17" s="127"/>
      <c r="P17" s="127"/>
      <c r="Q17" s="127"/>
    </row>
    <row r="18" spans="1:17" s="118" customFormat="1" ht="15" customHeight="1" x14ac:dyDescent="0.25">
      <c r="A18" s="127" t="s">
        <v>131</v>
      </c>
      <c r="B18" s="127"/>
      <c r="C18" s="127"/>
      <c r="D18" s="127"/>
      <c r="E18" s="127"/>
      <c r="F18" s="127"/>
      <c r="G18" s="127"/>
      <c r="H18" s="127"/>
      <c r="I18" s="127"/>
      <c r="J18" s="127"/>
      <c r="K18" s="127"/>
      <c r="L18" s="127"/>
      <c r="M18" s="127"/>
      <c r="N18" s="127"/>
      <c r="O18" s="127"/>
      <c r="P18" s="127"/>
      <c r="Q18" s="127"/>
    </row>
    <row r="19" spans="1:17" s="118" customFormat="1" ht="30" customHeight="1" x14ac:dyDescent="0.25">
      <c r="A19" s="127" t="s">
        <v>132</v>
      </c>
      <c r="B19" s="127"/>
      <c r="C19" s="127"/>
      <c r="D19" s="127"/>
      <c r="E19" s="127"/>
      <c r="F19" s="127"/>
      <c r="G19" s="127"/>
      <c r="H19" s="127"/>
      <c r="I19" s="127"/>
      <c r="J19" s="127"/>
      <c r="K19" s="127"/>
      <c r="L19" s="127"/>
      <c r="M19" s="127"/>
      <c r="N19" s="127"/>
      <c r="O19" s="127"/>
      <c r="P19" s="127"/>
      <c r="Q19" s="127"/>
    </row>
    <row r="20" spans="1:17" s="118" customFormat="1" ht="15" customHeight="1" x14ac:dyDescent="0.25">
      <c r="A20" s="119" t="s">
        <v>36</v>
      </c>
      <c r="B20" s="119"/>
      <c r="C20" s="119"/>
      <c r="D20" s="119"/>
      <c r="E20" s="119"/>
      <c r="F20" s="119"/>
      <c r="G20" s="119"/>
      <c r="H20" s="119"/>
      <c r="I20" s="119"/>
      <c r="J20" s="119"/>
      <c r="K20" s="119"/>
      <c r="L20" s="119"/>
      <c r="M20" s="119"/>
      <c r="N20" s="119"/>
      <c r="O20" s="119"/>
      <c r="P20" s="119"/>
      <c r="Q20" s="119"/>
    </row>
  </sheetData>
  <mergeCells count="11">
    <mergeCell ref="A17:Q17"/>
    <mergeCell ref="A18:Q18"/>
    <mergeCell ref="A19:Q19"/>
    <mergeCell ref="B5:M5"/>
    <mergeCell ref="N5:Q5"/>
    <mergeCell ref="A6:A8"/>
    <mergeCell ref="B6:K6"/>
    <mergeCell ref="L6:L8"/>
    <mergeCell ref="M6:M8"/>
    <mergeCell ref="O6:O7"/>
    <mergeCell ref="Q6:Q8"/>
  </mergeCells>
  <pageMargins left="0.7" right="0.7" top="0.75" bottom="0.75" header="0.3" footer="0.3"/>
  <pageSetup paperSize="9" scale="33"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78409-6C8A-4AC1-BB78-E432DE4CFD9C}">
  <sheetPr codeName="Hoja4">
    <tabColor rgb="FF0070C0"/>
    <pageSetUpPr fitToPage="1"/>
  </sheetPr>
  <dimension ref="A1:G25"/>
  <sheetViews>
    <sheetView showGridLines="0" zoomScaleNormal="100" zoomScaleSheetLayoutView="100" workbookViewId="0">
      <selection activeCell="F7" sqref="F7"/>
    </sheetView>
  </sheetViews>
  <sheetFormatPr baseColWidth="10" defaultRowHeight="15" x14ac:dyDescent="0.25"/>
  <cols>
    <col min="1" max="1" width="42.85546875" customWidth="1"/>
    <col min="2" max="4" width="17" customWidth="1"/>
    <col min="6" max="7" width="11.85546875" bestFit="1" customWidth="1"/>
  </cols>
  <sheetData>
    <row r="1" spans="1:7" ht="18.75" x14ac:dyDescent="0.25">
      <c r="A1" s="80" t="s">
        <v>83</v>
      </c>
    </row>
    <row r="2" spans="1:7" ht="18.75" x14ac:dyDescent="0.25">
      <c r="A2" s="80" t="s">
        <v>96</v>
      </c>
    </row>
    <row r="3" spans="1:7" x14ac:dyDescent="0.25">
      <c r="A3" s="39" t="s">
        <v>54</v>
      </c>
    </row>
    <row r="4" spans="1:7" ht="10.5" customHeight="1" x14ac:dyDescent="0.25"/>
    <row r="5" spans="1:7" ht="24.95" customHeight="1" x14ac:dyDescent="0.25">
      <c r="A5" s="145" t="s">
        <v>45</v>
      </c>
      <c r="B5" s="147" t="s">
        <v>48</v>
      </c>
      <c r="C5" s="148"/>
      <c r="D5" s="148"/>
    </row>
    <row r="6" spans="1:7" ht="24.95" customHeight="1" x14ac:dyDescent="0.25">
      <c r="A6" s="146"/>
      <c r="B6" s="27">
        <v>2019</v>
      </c>
      <c r="C6" s="27">
        <v>2020</v>
      </c>
      <c r="D6" s="27">
        <v>2021</v>
      </c>
    </row>
    <row r="7" spans="1:7" s="86" customFormat="1" ht="15" customHeight="1" x14ac:dyDescent="0.25">
      <c r="A7" s="40"/>
      <c r="B7" s="93"/>
      <c r="C7" s="93"/>
      <c r="D7" s="93"/>
    </row>
    <row r="8" spans="1:7" ht="15" customHeight="1" x14ac:dyDescent="0.25">
      <c r="A8" s="41" t="s">
        <v>47</v>
      </c>
      <c r="B8" s="45">
        <v>94756980.687353119</v>
      </c>
      <c r="C8" s="45">
        <v>81522523.266921535</v>
      </c>
      <c r="D8" s="45">
        <v>95662584.76910831</v>
      </c>
      <c r="G8" s="74"/>
    </row>
    <row r="9" spans="1:7" ht="15" customHeight="1" x14ac:dyDescent="0.25">
      <c r="A9" s="42" t="s">
        <v>34</v>
      </c>
      <c r="B9" s="31">
        <v>29890205.359514724</v>
      </c>
      <c r="C9" s="31">
        <v>29873546.486309394</v>
      </c>
      <c r="D9" s="31">
        <v>31093774.778614022</v>
      </c>
    </row>
    <row r="10" spans="1:7" ht="15" customHeight="1" x14ac:dyDescent="0.25">
      <c r="A10" s="42" t="s">
        <v>9</v>
      </c>
      <c r="B10" s="31">
        <v>8907518.3397428934</v>
      </c>
      <c r="C10" s="31">
        <v>7744011.4681588057</v>
      </c>
      <c r="D10" s="31">
        <v>8510695.9589519445</v>
      </c>
    </row>
    <row r="11" spans="1:7" ht="15" customHeight="1" x14ac:dyDescent="0.25">
      <c r="A11" s="42" t="s">
        <v>11</v>
      </c>
      <c r="B11" s="31">
        <v>16608241.639501639</v>
      </c>
      <c r="C11" s="31">
        <v>12077912.988999631</v>
      </c>
      <c r="D11" s="31">
        <v>18151570.423221551</v>
      </c>
    </row>
    <row r="12" spans="1:7" ht="15" customHeight="1" x14ac:dyDescent="0.25">
      <c r="A12" s="43" t="s">
        <v>35</v>
      </c>
      <c r="B12" s="31">
        <v>11707409.549069189</v>
      </c>
      <c r="C12" s="31">
        <v>10287803.683043694</v>
      </c>
      <c r="D12" s="31">
        <v>11949053.226108383</v>
      </c>
    </row>
    <row r="13" spans="1:7" ht="30" customHeight="1" x14ac:dyDescent="0.25">
      <c r="A13" s="43" t="s">
        <v>14</v>
      </c>
      <c r="B13" s="31">
        <v>9401193.181668682</v>
      </c>
      <c r="C13" s="31">
        <v>9663378.2666300405</v>
      </c>
      <c r="D13" s="31">
        <v>9943491.232119862</v>
      </c>
    </row>
    <row r="14" spans="1:7" ht="15" customHeight="1" x14ac:dyDescent="0.25">
      <c r="A14" s="42" t="s">
        <v>37</v>
      </c>
      <c r="B14" s="31">
        <v>2564247.4293109337</v>
      </c>
      <c r="C14" s="31">
        <v>1906773.1560683425</v>
      </c>
      <c r="D14" s="31">
        <v>2709212.6172645041</v>
      </c>
    </row>
    <row r="15" spans="1:7" ht="15" customHeight="1" x14ac:dyDescent="0.25">
      <c r="A15" s="42" t="s">
        <v>15</v>
      </c>
      <c r="B15" s="31">
        <v>12072613.692970941</v>
      </c>
      <c r="C15" s="31">
        <v>6781135.8027917817</v>
      </c>
      <c r="D15" s="31">
        <v>9718444.2766352855</v>
      </c>
    </row>
    <row r="16" spans="1:7" ht="15" customHeight="1" x14ac:dyDescent="0.25">
      <c r="A16" s="42" t="s">
        <v>52</v>
      </c>
      <c r="B16" s="31">
        <v>1499202.5051034875</v>
      </c>
      <c r="C16" s="31">
        <v>1240354.8781249353</v>
      </c>
      <c r="D16" s="31">
        <v>1478892.5700362537</v>
      </c>
    </row>
    <row r="17" spans="1:4" ht="30" customHeight="1" x14ac:dyDescent="0.25">
      <c r="A17" s="43" t="s">
        <v>18</v>
      </c>
      <c r="B17" s="31">
        <v>2106348.9904706357</v>
      </c>
      <c r="C17" s="31">
        <v>1947606.5367948976</v>
      </c>
      <c r="D17" s="31">
        <v>2107449.6861565053</v>
      </c>
    </row>
    <row r="18" spans="1:4" ht="15" customHeight="1" x14ac:dyDescent="0.25">
      <c r="A18" s="41" t="s">
        <v>1</v>
      </c>
      <c r="B18" s="94">
        <v>11792374.340389291</v>
      </c>
      <c r="C18" s="45">
        <v>11936331.872379424</v>
      </c>
      <c r="D18" s="45">
        <v>13509302.227461103</v>
      </c>
    </row>
    <row r="19" spans="1:4" ht="15" customHeight="1" x14ac:dyDescent="0.25">
      <c r="A19" s="41"/>
      <c r="B19" s="94"/>
      <c r="C19" s="45"/>
      <c r="D19" s="45"/>
    </row>
    <row r="20" spans="1:4" ht="15" customHeight="1" x14ac:dyDescent="0.25">
      <c r="A20" s="95" t="s">
        <v>46</v>
      </c>
      <c r="B20" s="96">
        <v>106549355.02774242</v>
      </c>
      <c r="C20" s="96">
        <v>93458855.139300957</v>
      </c>
      <c r="D20" s="96">
        <v>109171886.99656941</v>
      </c>
    </row>
    <row r="21" spans="1:4" ht="15" customHeight="1" x14ac:dyDescent="0.25">
      <c r="A21" s="44"/>
      <c r="B21" s="46"/>
      <c r="C21" s="47"/>
      <c r="D21" s="47"/>
    </row>
    <row r="22" spans="1:4" s="118" customFormat="1" ht="50.1" customHeight="1" x14ac:dyDescent="0.25">
      <c r="A22" s="144" t="s">
        <v>133</v>
      </c>
      <c r="B22" s="144"/>
      <c r="C22" s="144"/>
      <c r="D22" s="144"/>
    </row>
    <row r="23" spans="1:4" s="118" customFormat="1" ht="30" customHeight="1" x14ac:dyDescent="0.25">
      <c r="A23" s="143" t="s">
        <v>134</v>
      </c>
      <c r="B23" s="143"/>
      <c r="C23" s="143"/>
      <c r="D23" s="143"/>
    </row>
    <row r="24" spans="1:4" s="118" customFormat="1" ht="50.1" customHeight="1" x14ac:dyDescent="0.25">
      <c r="A24" s="143" t="s">
        <v>135</v>
      </c>
      <c r="B24" s="143"/>
      <c r="C24" s="143"/>
      <c r="D24" s="143"/>
    </row>
    <row r="25" spans="1:4" s="118" customFormat="1" ht="15" customHeight="1" x14ac:dyDescent="0.25">
      <c r="A25" s="120" t="s">
        <v>36</v>
      </c>
    </row>
  </sheetData>
  <mergeCells count="5">
    <mergeCell ref="A24:D24"/>
    <mergeCell ref="A22:D22"/>
    <mergeCell ref="A5:A6"/>
    <mergeCell ref="B5:D5"/>
    <mergeCell ref="A23:D23"/>
  </mergeCells>
  <pageMargins left="0.7" right="0.7" top="0.75" bottom="0.75" header="0.3" footer="0.3"/>
  <pageSetup paperSize="9" scale="95" orientation="landscape"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3A3F1-0FD9-40A8-9882-922FA8DB2512}">
  <sheetPr>
    <tabColor rgb="FF0070C0"/>
  </sheetPr>
  <dimension ref="A1:D25"/>
  <sheetViews>
    <sheetView showGridLines="0" zoomScaleNormal="100" zoomScaleSheetLayoutView="100" workbookViewId="0"/>
  </sheetViews>
  <sheetFormatPr baseColWidth="10" defaultRowHeight="15" x14ac:dyDescent="0.25"/>
  <cols>
    <col min="1" max="1" width="42.85546875" customWidth="1"/>
    <col min="2" max="4" width="17" customWidth="1"/>
    <col min="6" max="7" width="11.85546875" bestFit="1" customWidth="1"/>
  </cols>
  <sheetData>
    <row r="1" spans="1:4" ht="18.75" x14ac:dyDescent="0.25">
      <c r="A1" s="80" t="s">
        <v>84</v>
      </c>
    </row>
    <row r="2" spans="1:4" ht="18.75" x14ac:dyDescent="0.25">
      <c r="A2" s="80" t="s">
        <v>96</v>
      </c>
    </row>
    <row r="3" spans="1:4" x14ac:dyDescent="0.25">
      <c r="A3" s="39" t="s">
        <v>49</v>
      </c>
    </row>
    <row r="4" spans="1:4" ht="10.5" customHeight="1" x14ac:dyDescent="0.25"/>
    <row r="5" spans="1:4" ht="24.95" customHeight="1" x14ac:dyDescent="0.25">
      <c r="A5" s="145" t="s">
        <v>45</v>
      </c>
      <c r="B5" s="147" t="s">
        <v>48</v>
      </c>
      <c r="C5" s="148"/>
      <c r="D5" s="148"/>
    </row>
    <row r="6" spans="1:4" ht="24.95" customHeight="1" x14ac:dyDescent="0.25">
      <c r="A6" s="146"/>
      <c r="B6" s="27">
        <v>2019</v>
      </c>
      <c r="C6" s="27">
        <v>2020</v>
      </c>
      <c r="D6" s="27">
        <v>2021</v>
      </c>
    </row>
    <row r="7" spans="1:4" s="86" customFormat="1" ht="15" customHeight="1" x14ac:dyDescent="0.25">
      <c r="A7" s="40"/>
      <c r="B7" s="93"/>
      <c r="C7" s="93"/>
      <c r="D7" s="93"/>
    </row>
    <row r="8" spans="1:4" ht="15" customHeight="1" x14ac:dyDescent="0.25">
      <c r="A8" s="41" t="s">
        <v>47</v>
      </c>
      <c r="B8" s="48">
        <v>88.932477031588888</v>
      </c>
      <c r="C8" s="48">
        <v>87.228249421001095</v>
      </c>
      <c r="D8" s="48">
        <v>87.625658400604905</v>
      </c>
    </row>
    <row r="9" spans="1:4" ht="15" customHeight="1" x14ac:dyDescent="0.25">
      <c r="A9" s="42" t="s">
        <v>34</v>
      </c>
      <c r="B9" s="38">
        <v>28.052920031033661</v>
      </c>
      <c r="C9" s="38">
        <v>31.964383087918957</v>
      </c>
      <c r="D9" s="38">
        <v>28.481485146071627</v>
      </c>
    </row>
    <row r="10" spans="1:4" ht="15" customHeight="1" x14ac:dyDescent="0.25">
      <c r="A10" s="42" t="s">
        <v>9</v>
      </c>
      <c r="B10" s="38">
        <v>8.3599927352198709</v>
      </c>
      <c r="C10" s="38">
        <v>8.2860114823965194</v>
      </c>
      <c r="D10" s="38">
        <v>7.795684578777486</v>
      </c>
    </row>
    <row r="11" spans="1:4" ht="15" customHeight="1" x14ac:dyDescent="0.25">
      <c r="A11" s="42" t="s">
        <v>11</v>
      </c>
      <c r="B11" s="38">
        <v>15.587369473214855</v>
      </c>
      <c r="C11" s="38">
        <v>12.923240896753372</v>
      </c>
      <c r="D11" s="38">
        <v>16.626597673256249</v>
      </c>
    </row>
    <row r="12" spans="1:4" ht="15" customHeight="1" x14ac:dyDescent="0.25">
      <c r="A12" s="43" t="s">
        <v>35</v>
      </c>
      <c r="B12" s="38">
        <v>10.987780776355628</v>
      </c>
      <c r="C12" s="38">
        <v>11.007842614495614</v>
      </c>
      <c r="D12" s="38">
        <v>10.945174215486325</v>
      </c>
    </row>
    <row r="13" spans="1:4" ht="30" customHeight="1" x14ac:dyDescent="0.25">
      <c r="A13" s="43" t="s">
        <v>14</v>
      </c>
      <c r="B13" s="38">
        <v>8.8233224679969933</v>
      </c>
      <c r="C13" s="38">
        <v>10.339713933181313</v>
      </c>
      <c r="D13" s="38">
        <v>9.1081060387206847</v>
      </c>
    </row>
    <row r="14" spans="1:4" ht="15" customHeight="1" x14ac:dyDescent="0.25">
      <c r="A14" s="42" t="s">
        <v>37</v>
      </c>
      <c r="B14" s="38">
        <v>2.4066287671504689</v>
      </c>
      <c r="C14" s="38">
        <v>2.0402273847954655</v>
      </c>
      <c r="D14" s="38">
        <v>2.4816028116740694</v>
      </c>
    </row>
    <row r="15" spans="1:4" ht="15" customHeight="1" x14ac:dyDescent="0.25">
      <c r="A15" s="42" t="s">
        <v>15</v>
      </c>
      <c r="B15" s="38">
        <v>11.330536622983383</v>
      </c>
      <c r="C15" s="38">
        <v>7.2557445655464754</v>
      </c>
      <c r="D15" s="38">
        <v>8.9019660134121121</v>
      </c>
    </row>
    <row r="16" spans="1:4" ht="15" customHeight="1" x14ac:dyDescent="0.25">
      <c r="A16" s="42" t="s">
        <v>52</v>
      </c>
      <c r="B16" s="38">
        <v>1.4070498171604491</v>
      </c>
      <c r="C16" s="38">
        <v>1.3271667797301596</v>
      </c>
      <c r="D16" s="38">
        <v>1.3546459722572406</v>
      </c>
    </row>
    <row r="17" spans="1:4" ht="30" customHeight="1" x14ac:dyDescent="0.25">
      <c r="A17" s="43" t="s">
        <v>18</v>
      </c>
      <c r="B17" s="38">
        <v>1.9768763404735792</v>
      </c>
      <c r="C17" s="38">
        <v>2.0839186761832029</v>
      </c>
      <c r="D17" s="38">
        <v>1.9303959509491022</v>
      </c>
    </row>
    <row r="18" spans="1:4" ht="15" customHeight="1" x14ac:dyDescent="0.25">
      <c r="A18" s="41" t="s">
        <v>1</v>
      </c>
      <c r="B18" s="97">
        <v>11.067522968411112</v>
      </c>
      <c r="C18" s="48">
        <v>12.771750578998912</v>
      </c>
      <c r="D18" s="48">
        <v>12.374341599395104</v>
      </c>
    </row>
    <row r="19" spans="1:4" ht="15" customHeight="1" x14ac:dyDescent="0.25">
      <c r="A19" s="43"/>
      <c r="B19" s="38"/>
      <c r="C19" s="38"/>
      <c r="D19" s="38"/>
    </row>
    <row r="20" spans="1:4" x14ac:dyDescent="0.25">
      <c r="A20" s="95" t="s">
        <v>46</v>
      </c>
      <c r="B20" s="98">
        <v>100</v>
      </c>
      <c r="C20" s="98">
        <v>100</v>
      </c>
      <c r="D20" s="98">
        <v>100.00000000000001</v>
      </c>
    </row>
    <row r="21" spans="1:4" ht="15" customHeight="1" x14ac:dyDescent="0.25">
      <c r="A21" s="44"/>
      <c r="B21" s="49"/>
      <c r="C21" s="50"/>
      <c r="D21" s="50"/>
    </row>
    <row r="22" spans="1:4" s="118" customFormat="1" ht="50.1" customHeight="1" x14ac:dyDescent="0.25">
      <c r="A22" s="144" t="s">
        <v>133</v>
      </c>
      <c r="B22" s="144"/>
      <c r="C22" s="144"/>
      <c r="D22" s="144"/>
    </row>
    <row r="23" spans="1:4" s="118" customFormat="1" ht="30" customHeight="1" x14ac:dyDescent="0.25">
      <c r="A23" s="143" t="s">
        <v>134</v>
      </c>
      <c r="B23" s="143"/>
      <c r="C23" s="143"/>
      <c r="D23" s="143"/>
    </row>
    <row r="24" spans="1:4" s="118" customFormat="1" ht="50.1" customHeight="1" x14ac:dyDescent="0.25">
      <c r="A24" s="143" t="s">
        <v>135</v>
      </c>
      <c r="B24" s="143"/>
      <c r="C24" s="143"/>
      <c r="D24" s="143"/>
    </row>
    <row r="25" spans="1:4" s="118" customFormat="1" ht="15" customHeight="1" x14ac:dyDescent="0.25">
      <c r="A25" s="120" t="s">
        <v>36</v>
      </c>
    </row>
  </sheetData>
  <mergeCells count="5">
    <mergeCell ref="A22:D22"/>
    <mergeCell ref="A23:D23"/>
    <mergeCell ref="A24:D24"/>
    <mergeCell ref="A5:A6"/>
    <mergeCell ref="B5:D5"/>
  </mergeCells>
  <pageMargins left="0.7" right="0.7" top="0.75" bottom="0.75" header="0.3" footer="0.3"/>
  <pageSetup paperSize="9" scale="61"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7CE81-EADD-4816-9B4B-DFE4B4CEC00B}">
  <sheetPr>
    <tabColor rgb="FF0070C0"/>
  </sheetPr>
  <dimension ref="A1:D25"/>
  <sheetViews>
    <sheetView showGridLines="0" zoomScaleNormal="100" zoomScaleSheetLayoutView="100" workbookViewId="0"/>
  </sheetViews>
  <sheetFormatPr baseColWidth="10" defaultRowHeight="15" x14ac:dyDescent="0.25"/>
  <cols>
    <col min="1" max="1" width="42.85546875" customWidth="1"/>
    <col min="2" max="4" width="17" customWidth="1"/>
    <col min="6" max="7" width="11.85546875" bestFit="1" customWidth="1"/>
  </cols>
  <sheetData>
    <row r="1" spans="1:4" ht="18.75" x14ac:dyDescent="0.25">
      <c r="A1" s="80" t="s">
        <v>85</v>
      </c>
    </row>
    <row r="2" spans="1:4" ht="18.75" x14ac:dyDescent="0.25">
      <c r="A2" s="80" t="s">
        <v>96</v>
      </c>
    </row>
    <row r="3" spans="1:4" x14ac:dyDescent="0.25">
      <c r="A3" s="39" t="s">
        <v>50</v>
      </c>
    </row>
    <row r="4" spans="1:4" ht="10.5" customHeight="1" x14ac:dyDescent="0.25"/>
    <row r="5" spans="1:4" ht="24.95" customHeight="1" x14ac:dyDescent="0.25">
      <c r="A5" s="145" t="s">
        <v>45</v>
      </c>
      <c r="B5" s="147" t="s">
        <v>48</v>
      </c>
      <c r="C5" s="148"/>
      <c r="D5" s="148"/>
    </row>
    <row r="6" spans="1:4" ht="24.95" customHeight="1" x14ac:dyDescent="0.25">
      <c r="A6" s="146"/>
      <c r="B6" s="27">
        <v>2019</v>
      </c>
      <c r="C6" s="27">
        <v>2020</v>
      </c>
      <c r="D6" s="27">
        <v>2021</v>
      </c>
    </row>
    <row r="7" spans="1:4" s="86" customFormat="1" ht="15" customHeight="1" x14ac:dyDescent="0.25">
      <c r="A7" s="40"/>
      <c r="B7" s="93"/>
      <c r="C7" s="93"/>
      <c r="D7" s="93"/>
    </row>
    <row r="8" spans="1:4" ht="15" customHeight="1" x14ac:dyDescent="0.25">
      <c r="A8" s="41" t="s">
        <v>47</v>
      </c>
      <c r="B8" s="48">
        <v>100</v>
      </c>
      <c r="C8" s="51">
        <v>86.033263908969246</v>
      </c>
      <c r="D8" s="51">
        <v>100.95571226012699</v>
      </c>
    </row>
    <row r="9" spans="1:4" ht="15" customHeight="1" x14ac:dyDescent="0.25">
      <c r="A9" s="42" t="s">
        <v>34</v>
      </c>
      <c r="B9" s="38">
        <v>100</v>
      </c>
      <c r="C9" s="53">
        <v>99.944266447804679</v>
      </c>
      <c r="D9" s="53">
        <v>104.02663482777368</v>
      </c>
    </row>
    <row r="10" spans="1:4" ht="15" customHeight="1" x14ac:dyDescent="0.25">
      <c r="A10" s="42" t="s">
        <v>9</v>
      </c>
      <c r="B10" s="38">
        <v>100</v>
      </c>
      <c r="C10" s="53">
        <v>86.937923367579941</v>
      </c>
      <c r="D10" s="53">
        <v>95.545084886096305</v>
      </c>
    </row>
    <row r="11" spans="1:4" ht="15" customHeight="1" x14ac:dyDescent="0.25">
      <c r="A11" s="42" t="s">
        <v>11</v>
      </c>
      <c r="B11" s="38">
        <v>100</v>
      </c>
      <c r="C11" s="53">
        <v>72.722406448332791</v>
      </c>
      <c r="D11" s="53">
        <v>109.29254774358053</v>
      </c>
    </row>
    <row r="12" spans="1:4" ht="15" customHeight="1" x14ac:dyDescent="0.25">
      <c r="A12" s="43" t="s">
        <v>35</v>
      </c>
      <c r="B12" s="38">
        <v>100</v>
      </c>
      <c r="C12" s="53">
        <v>87.874295675097812</v>
      </c>
      <c r="D12" s="53">
        <v>102.06402343769044</v>
      </c>
    </row>
    <row r="13" spans="1:4" ht="30" customHeight="1" x14ac:dyDescent="0.25">
      <c r="A13" s="43" t="s">
        <v>14</v>
      </c>
      <c r="B13" s="38">
        <v>100</v>
      </c>
      <c r="C13" s="53">
        <v>102.78884903112714</v>
      </c>
      <c r="D13" s="53">
        <v>105.76839598944316</v>
      </c>
    </row>
    <row r="14" spans="1:4" ht="15" customHeight="1" x14ac:dyDescent="0.25">
      <c r="A14" s="42" t="s">
        <v>37</v>
      </c>
      <c r="B14" s="38">
        <v>100</v>
      </c>
      <c r="C14" s="53">
        <v>74.359951940391795</v>
      </c>
      <c r="D14" s="53">
        <v>105.65332293196548</v>
      </c>
    </row>
    <row r="15" spans="1:4" ht="15" customHeight="1" x14ac:dyDescent="0.25">
      <c r="A15" s="42" t="s">
        <v>15</v>
      </c>
      <c r="B15" s="38">
        <v>100</v>
      </c>
      <c r="C15" s="53">
        <v>56.169575000482077</v>
      </c>
      <c r="D15" s="53">
        <v>80.499919270121865</v>
      </c>
    </row>
    <row r="16" spans="1:4" ht="15" customHeight="1" x14ac:dyDescent="0.25">
      <c r="A16" s="42" t="s">
        <v>52</v>
      </c>
      <c r="B16" s="38">
        <v>100</v>
      </c>
      <c r="C16" s="53">
        <v>82.734312002721438</v>
      </c>
      <c r="D16" s="53">
        <v>98.645284076160749</v>
      </c>
    </row>
    <row r="17" spans="1:4" ht="30" customHeight="1" x14ac:dyDescent="0.25">
      <c r="A17" s="43" t="s">
        <v>18</v>
      </c>
      <c r="B17" s="38">
        <v>100</v>
      </c>
      <c r="C17" s="53">
        <v>92.463620492429925</v>
      </c>
      <c r="D17" s="53">
        <v>100.052256092929</v>
      </c>
    </row>
    <row r="18" spans="1:4" ht="15" customHeight="1" x14ac:dyDescent="0.25">
      <c r="A18" s="41" t="s">
        <v>1</v>
      </c>
      <c r="B18" s="97">
        <v>100</v>
      </c>
      <c r="C18" s="51">
        <v>101.22076799662875</v>
      </c>
      <c r="D18" s="51">
        <v>114.55964539042213</v>
      </c>
    </row>
    <row r="19" spans="1:4" ht="15" customHeight="1" x14ac:dyDescent="0.25">
      <c r="A19" s="43"/>
      <c r="B19" s="38"/>
      <c r="C19" s="53"/>
      <c r="D19" s="53"/>
    </row>
    <row r="20" spans="1:4" ht="15" customHeight="1" x14ac:dyDescent="0.25">
      <c r="A20" s="95" t="s">
        <v>46</v>
      </c>
      <c r="B20" s="98">
        <v>100</v>
      </c>
      <c r="C20" s="98">
        <v>87.714144412199332</v>
      </c>
      <c r="D20" s="98">
        <v>102.46133068392969</v>
      </c>
    </row>
    <row r="21" spans="1:4" ht="15" customHeight="1" x14ac:dyDescent="0.25">
      <c r="A21" s="44"/>
      <c r="B21" s="49"/>
      <c r="C21" s="52"/>
      <c r="D21" s="52"/>
    </row>
    <row r="22" spans="1:4" s="118" customFormat="1" ht="50.1" customHeight="1" x14ac:dyDescent="0.25">
      <c r="A22" s="144" t="s">
        <v>133</v>
      </c>
      <c r="B22" s="144"/>
      <c r="C22" s="144"/>
      <c r="D22" s="144"/>
    </row>
    <row r="23" spans="1:4" s="118" customFormat="1" ht="30" customHeight="1" x14ac:dyDescent="0.25">
      <c r="A23" s="143" t="s">
        <v>134</v>
      </c>
      <c r="B23" s="143"/>
      <c r="C23" s="143"/>
      <c r="D23" s="143"/>
    </row>
    <row r="24" spans="1:4" s="118" customFormat="1" ht="50.1" customHeight="1" x14ac:dyDescent="0.25">
      <c r="A24" s="143" t="s">
        <v>135</v>
      </c>
      <c r="B24" s="143"/>
      <c r="C24" s="143"/>
      <c r="D24" s="143"/>
    </row>
    <row r="25" spans="1:4" s="118" customFormat="1" ht="15" customHeight="1" x14ac:dyDescent="0.25">
      <c r="A25" s="120" t="s">
        <v>36</v>
      </c>
    </row>
  </sheetData>
  <mergeCells count="5">
    <mergeCell ref="A23:D23"/>
    <mergeCell ref="A24:D24"/>
    <mergeCell ref="A5:A6"/>
    <mergeCell ref="B5:D5"/>
    <mergeCell ref="A22:D22"/>
  </mergeCells>
  <pageMargins left="0.7" right="0.7" top="0.75" bottom="0.75" header="0.3" footer="0.3"/>
  <pageSetup paperSize="9" scale="61"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EDD70-B007-49A2-83CF-E7C4333D1D95}">
  <sheetPr>
    <tabColor rgb="FF0070C0"/>
  </sheetPr>
  <dimension ref="A1:D26"/>
  <sheetViews>
    <sheetView showGridLines="0" zoomScaleNormal="100" zoomScaleSheetLayoutView="100" workbookViewId="0">
      <selection activeCell="I12" sqref="I12"/>
    </sheetView>
  </sheetViews>
  <sheetFormatPr baseColWidth="10" defaultRowHeight="15" x14ac:dyDescent="0.25"/>
  <cols>
    <col min="1" max="1" width="42.85546875" customWidth="1"/>
    <col min="2" max="4" width="17" customWidth="1"/>
    <col min="6" max="7" width="11.85546875" bestFit="1" customWidth="1"/>
  </cols>
  <sheetData>
    <row r="1" spans="1:4" ht="18.75" x14ac:dyDescent="0.25">
      <c r="A1" s="80" t="s">
        <v>79</v>
      </c>
    </row>
    <row r="2" spans="1:4" ht="18.75" x14ac:dyDescent="0.25">
      <c r="A2" s="80" t="s">
        <v>96</v>
      </c>
    </row>
    <row r="3" spans="1:4" x14ac:dyDescent="0.25">
      <c r="A3" s="39" t="s">
        <v>63</v>
      </c>
    </row>
    <row r="4" spans="1:4" ht="10.5" customHeight="1" x14ac:dyDescent="0.25"/>
    <row r="5" spans="1:4" ht="24.95" customHeight="1" x14ac:dyDescent="0.25">
      <c r="A5" s="145" t="s">
        <v>45</v>
      </c>
      <c r="B5" s="147" t="s">
        <v>48</v>
      </c>
      <c r="C5" s="148"/>
      <c r="D5" s="148"/>
    </row>
    <row r="6" spans="1:4" ht="24.95" customHeight="1" x14ac:dyDescent="0.25">
      <c r="A6" s="146"/>
      <c r="B6" s="27">
        <v>2019</v>
      </c>
      <c r="C6" s="27">
        <v>2020</v>
      </c>
      <c r="D6" s="27">
        <v>2021</v>
      </c>
    </row>
    <row r="7" spans="1:4" s="86" customFormat="1" ht="15" customHeight="1" x14ac:dyDescent="0.25">
      <c r="A7" s="41"/>
      <c r="B7" s="93"/>
      <c r="C7" s="93"/>
      <c r="D7" s="93"/>
    </row>
    <row r="8" spans="1:4" ht="15" customHeight="1" x14ac:dyDescent="0.25">
      <c r="A8" s="41" t="s">
        <v>47</v>
      </c>
      <c r="B8" s="45" t="s">
        <v>99</v>
      </c>
      <c r="C8" s="51">
        <v>-13.966736091030754</v>
      </c>
      <c r="D8" s="51">
        <v>17.344975272525971</v>
      </c>
    </row>
    <row r="9" spans="1:4" ht="15" customHeight="1" x14ac:dyDescent="0.25">
      <c r="A9" s="42" t="s">
        <v>34</v>
      </c>
      <c r="B9" s="31" t="s">
        <v>99</v>
      </c>
      <c r="C9" s="53">
        <v>-5.5733552195320613E-2</v>
      </c>
      <c r="D9" s="53">
        <v>4.0846448976650294</v>
      </c>
    </row>
    <row r="10" spans="1:4" ht="15" customHeight="1" x14ac:dyDescent="0.25">
      <c r="A10" s="42" t="s">
        <v>9</v>
      </c>
      <c r="B10" s="31" t="s">
        <v>99</v>
      </c>
      <c r="C10" s="53">
        <v>-13.062076632420059</v>
      </c>
      <c r="D10" s="53">
        <v>9.9003532464476507</v>
      </c>
    </row>
    <row r="11" spans="1:4" ht="15" customHeight="1" x14ac:dyDescent="0.25">
      <c r="A11" s="42" t="s">
        <v>11</v>
      </c>
      <c r="B11" s="31" t="s">
        <v>99</v>
      </c>
      <c r="C11" s="53">
        <v>-27.277593551667209</v>
      </c>
      <c r="D11" s="53">
        <v>50.287309071970554</v>
      </c>
    </row>
    <row r="12" spans="1:4" ht="15" customHeight="1" x14ac:dyDescent="0.25">
      <c r="A12" s="43" t="s">
        <v>35</v>
      </c>
      <c r="B12" s="31" t="s">
        <v>99</v>
      </c>
      <c r="C12" s="53">
        <v>-12.125704324902188</v>
      </c>
      <c r="D12" s="53">
        <v>16.147757035865212</v>
      </c>
    </row>
    <row r="13" spans="1:4" ht="30" customHeight="1" x14ac:dyDescent="0.25">
      <c r="A13" s="43" t="s">
        <v>14</v>
      </c>
      <c r="B13" s="31" t="s">
        <v>99</v>
      </c>
      <c r="C13" s="53">
        <v>2.7888490311271426</v>
      </c>
      <c r="D13" s="53">
        <v>2.898706412612654</v>
      </c>
    </row>
    <row r="14" spans="1:4" ht="15" customHeight="1" x14ac:dyDescent="0.25">
      <c r="A14" s="42" t="s">
        <v>37</v>
      </c>
      <c r="B14" s="31" t="s">
        <v>99</v>
      </c>
      <c r="C14" s="53">
        <v>-25.640048059608205</v>
      </c>
      <c r="D14" s="53">
        <v>42.083635310387223</v>
      </c>
    </row>
    <row r="15" spans="1:4" ht="15" customHeight="1" x14ac:dyDescent="0.25">
      <c r="A15" s="42" t="s">
        <v>15</v>
      </c>
      <c r="B15" s="31" t="s">
        <v>99</v>
      </c>
      <c r="C15" s="53">
        <v>-43.830424999517923</v>
      </c>
      <c r="D15" s="53">
        <v>43.31587744687576</v>
      </c>
    </row>
    <row r="16" spans="1:4" ht="15" customHeight="1" x14ac:dyDescent="0.25">
      <c r="A16" s="42" t="s">
        <v>52</v>
      </c>
      <c r="B16" s="31" t="s">
        <v>99</v>
      </c>
      <c r="C16" s="53">
        <v>-17.265687997278562</v>
      </c>
      <c r="D16" s="53">
        <v>19.231406762548445</v>
      </c>
    </row>
    <row r="17" spans="1:4" ht="30" customHeight="1" x14ac:dyDescent="0.25">
      <c r="A17" s="43" t="s">
        <v>18</v>
      </c>
      <c r="B17" s="31" t="s">
        <v>99</v>
      </c>
      <c r="C17" s="53">
        <v>-7.536379507570075</v>
      </c>
      <c r="D17" s="53">
        <v>8.2071581883605518</v>
      </c>
    </row>
    <row r="18" spans="1:4" ht="15" customHeight="1" x14ac:dyDescent="0.25">
      <c r="A18" s="41" t="s">
        <v>1</v>
      </c>
      <c r="B18" s="94" t="s">
        <v>99</v>
      </c>
      <c r="C18" s="51">
        <v>1.2207679966287515</v>
      </c>
      <c r="D18" s="51">
        <v>13.178004531873995</v>
      </c>
    </row>
    <row r="19" spans="1:4" ht="15" customHeight="1" x14ac:dyDescent="0.25">
      <c r="A19" s="41"/>
      <c r="B19" s="94"/>
      <c r="C19" s="51"/>
      <c r="D19" s="51"/>
    </row>
    <row r="20" spans="1:4" ht="15" customHeight="1" x14ac:dyDescent="0.25">
      <c r="A20" s="95" t="s">
        <v>46</v>
      </c>
      <c r="B20" s="96" t="s">
        <v>99</v>
      </c>
      <c r="C20" s="98">
        <v>-12.285855587800668</v>
      </c>
      <c r="D20" s="98">
        <v>16.812780162830038</v>
      </c>
    </row>
    <row r="21" spans="1:4" ht="15" customHeight="1" x14ac:dyDescent="0.25">
      <c r="A21" s="44"/>
      <c r="B21" s="46"/>
      <c r="C21" s="52"/>
      <c r="D21" s="52"/>
    </row>
    <row r="22" spans="1:4" s="118" customFormat="1" ht="50.1" customHeight="1" x14ac:dyDescent="0.25">
      <c r="A22" s="144" t="s">
        <v>133</v>
      </c>
      <c r="B22" s="144"/>
      <c r="C22" s="144"/>
      <c r="D22" s="144"/>
    </row>
    <row r="23" spans="1:4" s="118" customFormat="1" ht="30" customHeight="1" x14ac:dyDescent="0.25">
      <c r="A23" s="143" t="s">
        <v>134</v>
      </c>
      <c r="B23" s="143"/>
      <c r="C23" s="143"/>
      <c r="D23" s="143"/>
    </row>
    <row r="24" spans="1:4" s="118" customFormat="1" ht="50.1" customHeight="1" x14ac:dyDescent="0.25">
      <c r="A24" s="143" t="s">
        <v>135</v>
      </c>
      <c r="B24" s="143"/>
      <c r="C24" s="143"/>
      <c r="D24" s="143"/>
    </row>
    <row r="25" spans="1:4" s="118" customFormat="1" ht="15" customHeight="1" x14ac:dyDescent="0.25">
      <c r="A25" s="120" t="s">
        <v>36</v>
      </c>
    </row>
    <row r="26" spans="1:4" s="78" customFormat="1" x14ac:dyDescent="0.25"/>
  </sheetData>
  <mergeCells count="5">
    <mergeCell ref="A24:D24"/>
    <mergeCell ref="A5:A6"/>
    <mergeCell ref="B5:D5"/>
    <mergeCell ref="A22:D22"/>
    <mergeCell ref="A23:D23"/>
  </mergeCells>
  <pageMargins left="0.7" right="0.7" top="0.75" bottom="0.75" header="0.3" footer="0.3"/>
  <pageSetup paperSize="9" scale="61"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1B160-EA48-48D1-862E-2E97CC8DD08A}">
  <sheetPr codeName="Hoja7">
    <tabColor rgb="FF0070C0"/>
  </sheetPr>
  <dimension ref="A1:T14"/>
  <sheetViews>
    <sheetView showGridLines="0" zoomScaleNormal="100" workbookViewId="0"/>
  </sheetViews>
  <sheetFormatPr baseColWidth="10" defaultRowHeight="15" x14ac:dyDescent="0.25"/>
  <cols>
    <col min="1" max="1" width="21.140625" customWidth="1"/>
    <col min="2" max="3" width="17" customWidth="1"/>
    <col min="4" max="4" width="4.140625" customWidth="1"/>
    <col min="5" max="6" width="17" customWidth="1"/>
    <col min="7" max="7" width="4.140625" customWidth="1"/>
    <col min="8" max="9" width="17" customWidth="1"/>
    <col min="10" max="10" width="4.140625" customWidth="1"/>
    <col min="11" max="12" width="17" customWidth="1"/>
  </cols>
  <sheetData>
    <row r="1" spans="1:20" ht="18.75" x14ac:dyDescent="0.25">
      <c r="A1" s="80" t="s">
        <v>86</v>
      </c>
    </row>
    <row r="2" spans="1:20" ht="18.75" x14ac:dyDescent="0.25">
      <c r="A2" s="80" t="s">
        <v>97</v>
      </c>
    </row>
    <row r="3" spans="1:20" x14ac:dyDescent="0.25">
      <c r="A3" s="39" t="s">
        <v>40</v>
      </c>
    </row>
    <row r="4" spans="1:20" x14ac:dyDescent="0.25">
      <c r="A4" s="81" t="s">
        <v>41</v>
      </c>
    </row>
    <row r="5" spans="1:20" ht="10.5" customHeight="1" x14ac:dyDescent="0.25"/>
    <row r="6" spans="1:20" ht="24.95" customHeight="1" x14ac:dyDescent="0.25">
      <c r="A6" s="151" t="s">
        <v>28</v>
      </c>
      <c r="B6" s="153" t="s">
        <v>128</v>
      </c>
      <c r="C6" s="154"/>
      <c r="D6" s="24"/>
      <c r="E6" s="150" t="s">
        <v>55</v>
      </c>
      <c r="F6" s="150"/>
      <c r="G6" s="24"/>
      <c r="H6" s="150" t="s">
        <v>58</v>
      </c>
      <c r="I6" s="150"/>
      <c r="J6" s="24"/>
      <c r="K6" s="150" t="s">
        <v>56</v>
      </c>
      <c r="L6" s="150"/>
    </row>
    <row r="7" spans="1:20" ht="50.1" customHeight="1" x14ac:dyDescent="0.25">
      <c r="A7" s="152"/>
      <c r="B7" s="100" t="s">
        <v>29</v>
      </c>
      <c r="C7" s="100" t="s">
        <v>30</v>
      </c>
      <c r="D7" s="100"/>
      <c r="E7" s="101" t="s">
        <v>31</v>
      </c>
      <c r="F7" s="20" t="s">
        <v>30</v>
      </c>
      <c r="G7" s="100"/>
      <c r="H7" s="101" t="s">
        <v>117</v>
      </c>
      <c r="I7" s="20" t="s">
        <v>30</v>
      </c>
      <c r="J7" s="100"/>
      <c r="K7" s="101" t="s">
        <v>32</v>
      </c>
      <c r="L7" s="20" t="s">
        <v>30</v>
      </c>
    </row>
    <row r="8" spans="1:20" s="86" customFormat="1" ht="15" customHeight="1" x14ac:dyDescent="0.25">
      <c r="A8" s="102"/>
      <c r="B8" s="103"/>
      <c r="C8" s="103"/>
      <c r="D8" s="103"/>
      <c r="E8" s="104"/>
      <c r="F8" s="103"/>
      <c r="G8" s="103"/>
      <c r="H8" s="104"/>
      <c r="I8" s="103"/>
      <c r="J8" s="103"/>
      <c r="K8" s="104"/>
      <c r="L8" s="103"/>
    </row>
    <row r="9" spans="1:20" ht="15" customHeight="1" x14ac:dyDescent="0.25">
      <c r="A9" s="16">
        <v>2019</v>
      </c>
      <c r="B9" s="17">
        <v>546605</v>
      </c>
      <c r="C9" s="17" t="s">
        <v>99</v>
      </c>
      <c r="D9" s="17"/>
      <c r="E9" s="17">
        <v>106549355.02774242</v>
      </c>
      <c r="F9" s="17" t="s">
        <v>99</v>
      </c>
      <c r="G9" s="17"/>
      <c r="H9" s="17">
        <v>5130.0639019136215</v>
      </c>
      <c r="I9" s="17" t="s">
        <v>99</v>
      </c>
      <c r="J9" s="17"/>
      <c r="K9" s="21">
        <v>194.92934573913962</v>
      </c>
      <c r="L9" s="17" t="s">
        <v>99</v>
      </c>
    </row>
    <row r="10" spans="1:20" ht="15" customHeight="1" x14ac:dyDescent="0.25">
      <c r="A10" s="16">
        <v>2020</v>
      </c>
      <c r="B10" s="17">
        <v>486843</v>
      </c>
      <c r="C10" s="25">
        <v>-10.933306501038231</v>
      </c>
      <c r="D10" s="17"/>
      <c r="E10" s="17">
        <v>93458855.139300957</v>
      </c>
      <c r="F10" s="25">
        <v>-12.285855587800668</v>
      </c>
      <c r="G10" s="17"/>
      <c r="H10" s="17">
        <v>5209.1693106486027</v>
      </c>
      <c r="I10" s="25">
        <v>1.5419965569137162</v>
      </c>
      <c r="J10" s="17"/>
      <c r="K10" s="21">
        <v>191.96918747789525</v>
      </c>
      <c r="L10" s="25">
        <v>-1.5185801039961149</v>
      </c>
    </row>
    <row r="11" spans="1:20" ht="15" customHeight="1" x14ac:dyDescent="0.25">
      <c r="A11" s="16">
        <v>2021</v>
      </c>
      <c r="B11" s="17">
        <v>551898</v>
      </c>
      <c r="C11" s="25">
        <v>13.36262409031248</v>
      </c>
      <c r="D11" s="17"/>
      <c r="E11" s="17">
        <v>109171886.9965694</v>
      </c>
      <c r="F11" s="25">
        <v>16.812780162830038</v>
      </c>
      <c r="G11" s="17"/>
      <c r="H11" s="17">
        <v>5055.3124543623835</v>
      </c>
      <c r="I11" s="25">
        <v>-2.9535775689168702</v>
      </c>
      <c r="J11" s="17"/>
      <c r="K11" s="21">
        <v>197.81170976624193</v>
      </c>
      <c r="L11" s="25">
        <v>3.0434687801236038</v>
      </c>
    </row>
    <row r="12" spans="1:20" ht="15" customHeight="1" x14ac:dyDescent="0.25">
      <c r="A12" s="16"/>
    </row>
    <row r="13" spans="1:20" s="118" customFormat="1" ht="15" customHeight="1" x14ac:dyDescent="0.25">
      <c r="A13" s="149" t="s">
        <v>136</v>
      </c>
      <c r="B13" s="149"/>
      <c r="C13" s="149"/>
      <c r="D13" s="149"/>
      <c r="E13" s="149"/>
      <c r="F13" s="149"/>
      <c r="G13" s="149"/>
      <c r="H13" s="149"/>
      <c r="I13" s="149"/>
      <c r="J13" s="149"/>
      <c r="K13" s="149"/>
      <c r="L13" s="149"/>
      <c r="M13" s="121"/>
      <c r="N13" s="121"/>
      <c r="O13" s="121"/>
      <c r="P13" s="121"/>
      <c r="Q13" s="121"/>
      <c r="R13" s="121"/>
      <c r="S13" s="121"/>
      <c r="T13" s="121"/>
    </row>
    <row r="14" spans="1:20" s="117" customFormat="1" ht="15" customHeight="1" x14ac:dyDescent="0.2">
      <c r="A14" s="120" t="s">
        <v>36</v>
      </c>
    </row>
  </sheetData>
  <mergeCells count="6">
    <mergeCell ref="A13:L13"/>
    <mergeCell ref="H6:I6"/>
    <mergeCell ref="K6:L6"/>
    <mergeCell ref="A6:A7"/>
    <mergeCell ref="B6:C6"/>
    <mergeCell ref="E6:F6"/>
  </mergeCells>
  <dataValidations disablePrompts="1" count="1">
    <dataValidation allowBlank="1" showInputMessage="1" sqref="A9:A12" xr:uid="{EE231C49-799C-44BD-9DA1-1F2D7A301EB8}"/>
  </dataValidations>
  <pageMargins left="0.7" right="0.7" top="0.75" bottom="0.75" header="0.3" footer="0.3"/>
  <pageSetup paperSize="9" scale="51"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8E556-FAEF-4C42-A4A0-202733B008C1}">
  <sheetPr>
    <tabColor rgb="FF0070C0"/>
  </sheetPr>
  <dimension ref="A1:T14"/>
  <sheetViews>
    <sheetView showGridLines="0" zoomScaleNormal="100" workbookViewId="0">
      <selection activeCell="A2" sqref="A2"/>
    </sheetView>
  </sheetViews>
  <sheetFormatPr baseColWidth="10" defaultRowHeight="15" x14ac:dyDescent="0.25"/>
  <cols>
    <col min="1" max="1" width="21.140625" customWidth="1"/>
    <col min="2" max="3" width="17" customWidth="1"/>
    <col min="4" max="4" width="4.140625" customWidth="1"/>
    <col min="5" max="6" width="17" customWidth="1"/>
    <col min="7" max="7" width="4.140625" customWidth="1"/>
    <col min="8" max="9" width="17" customWidth="1"/>
    <col min="10" max="10" width="4.140625" customWidth="1"/>
    <col min="11" max="12" width="17" customWidth="1"/>
  </cols>
  <sheetData>
    <row r="1" spans="1:20" ht="18.75" x14ac:dyDescent="0.25">
      <c r="A1" s="80" t="s">
        <v>87</v>
      </c>
    </row>
    <row r="2" spans="1:20" ht="18.75" x14ac:dyDescent="0.25">
      <c r="A2" s="80" t="s">
        <v>97</v>
      </c>
    </row>
    <row r="3" spans="1:20" x14ac:dyDescent="0.25">
      <c r="A3" s="39" t="s">
        <v>42</v>
      </c>
    </row>
    <row r="4" spans="1:20" x14ac:dyDescent="0.25">
      <c r="A4" s="81" t="s">
        <v>41</v>
      </c>
    </row>
    <row r="5" spans="1:20" ht="10.5" customHeight="1" x14ac:dyDescent="0.25"/>
    <row r="6" spans="1:20" ht="24.95" customHeight="1" x14ac:dyDescent="0.25">
      <c r="A6" s="151" t="s">
        <v>28</v>
      </c>
      <c r="B6" s="153" t="s">
        <v>128</v>
      </c>
      <c r="C6" s="154"/>
      <c r="D6" s="24"/>
      <c r="E6" s="150" t="s">
        <v>55</v>
      </c>
      <c r="F6" s="150"/>
      <c r="G6" s="24"/>
      <c r="H6" s="150" t="s">
        <v>58</v>
      </c>
      <c r="I6" s="150"/>
      <c r="J6" s="24"/>
      <c r="K6" s="150" t="s">
        <v>56</v>
      </c>
      <c r="L6" s="150"/>
    </row>
    <row r="7" spans="1:20" ht="50.1" customHeight="1" x14ac:dyDescent="0.25">
      <c r="A7" s="152"/>
      <c r="B7" s="100" t="s">
        <v>29</v>
      </c>
      <c r="C7" s="100" t="s">
        <v>30</v>
      </c>
      <c r="D7" s="100"/>
      <c r="E7" s="101" t="s">
        <v>31</v>
      </c>
      <c r="F7" s="20" t="s">
        <v>30</v>
      </c>
      <c r="G7" s="100"/>
      <c r="H7" s="101" t="s">
        <v>117</v>
      </c>
      <c r="I7" s="20" t="s">
        <v>30</v>
      </c>
      <c r="J7" s="100"/>
      <c r="K7" s="101" t="s">
        <v>32</v>
      </c>
      <c r="L7" s="20" t="s">
        <v>30</v>
      </c>
    </row>
    <row r="8" spans="1:20" s="86" customFormat="1" ht="15" customHeight="1" x14ac:dyDescent="0.25">
      <c r="A8" s="105"/>
      <c r="B8" s="106"/>
      <c r="C8" s="106"/>
      <c r="D8" s="106"/>
      <c r="E8" s="107"/>
      <c r="F8" s="106"/>
      <c r="G8" s="106"/>
      <c r="H8" s="107"/>
      <c r="I8" s="106"/>
      <c r="J8" s="106"/>
      <c r="K8" s="107"/>
      <c r="L8" s="106"/>
    </row>
    <row r="9" spans="1:20" ht="15" customHeight="1" x14ac:dyDescent="0.25">
      <c r="A9" s="16">
        <v>2019</v>
      </c>
      <c r="B9" s="17">
        <v>761984</v>
      </c>
      <c r="C9" s="17" t="s">
        <v>99</v>
      </c>
      <c r="D9" s="17"/>
      <c r="E9" s="17">
        <v>106549355.02774242</v>
      </c>
      <c r="F9" s="17" t="s">
        <v>99</v>
      </c>
      <c r="G9" s="17"/>
      <c r="H9" s="17">
        <v>7151.4651571715385</v>
      </c>
      <c r="I9" s="17" t="s">
        <v>99</v>
      </c>
      <c r="J9" s="17"/>
      <c r="K9" s="21">
        <v>139.831485999368</v>
      </c>
      <c r="L9" s="17" t="s">
        <v>99</v>
      </c>
    </row>
    <row r="10" spans="1:20" ht="15" customHeight="1" x14ac:dyDescent="0.25">
      <c r="A10" s="16">
        <v>2020</v>
      </c>
      <c r="B10" s="17">
        <v>703915</v>
      </c>
      <c r="C10" s="25">
        <v>-7.6207636905761831</v>
      </c>
      <c r="D10" s="17"/>
      <c r="E10" s="17">
        <v>93458855.139300957</v>
      </c>
      <c r="F10" s="25">
        <v>-12.285855587800668</v>
      </c>
      <c r="G10" s="17"/>
      <c r="H10" s="17">
        <v>7531.8170648550176</v>
      </c>
      <c r="I10" s="25">
        <v>5.3185172454075342</v>
      </c>
      <c r="J10" s="17"/>
      <c r="K10" s="21">
        <v>132.7700860747405</v>
      </c>
      <c r="L10" s="25">
        <v>-5.0499355521827312</v>
      </c>
    </row>
    <row r="11" spans="1:20" ht="15" customHeight="1" x14ac:dyDescent="0.25">
      <c r="A11" s="16">
        <v>2021</v>
      </c>
      <c r="B11" s="17">
        <v>878581</v>
      </c>
      <c r="C11" s="25">
        <v>24.813507312672684</v>
      </c>
      <c r="D11" s="17"/>
      <c r="E11" s="17">
        <v>109171886.9965694</v>
      </c>
      <c r="F11" s="25">
        <v>16.812780162830038</v>
      </c>
      <c r="G11" s="17"/>
      <c r="H11" s="17">
        <v>8047.6853901738314</v>
      </c>
      <c r="I11" s="25">
        <v>6.8491881955811067</v>
      </c>
      <c r="J11" s="17"/>
      <c r="K11" s="21">
        <v>124.2593306668018</v>
      </c>
      <c r="L11" s="25">
        <v>-6.4101452816319835</v>
      </c>
      <c r="M11" s="23"/>
      <c r="N11" s="23"/>
      <c r="O11" s="23"/>
      <c r="P11" s="23"/>
      <c r="Q11" s="23"/>
      <c r="R11" s="23"/>
      <c r="S11" s="23"/>
      <c r="T11" s="23"/>
    </row>
    <row r="12" spans="1:20" ht="15" customHeight="1" x14ac:dyDescent="0.25">
      <c r="A12" s="18"/>
      <c r="B12" s="19"/>
      <c r="C12" s="26"/>
      <c r="D12" s="19"/>
      <c r="E12" s="17"/>
      <c r="F12" s="26"/>
      <c r="G12" s="19"/>
      <c r="H12" s="19"/>
      <c r="I12" s="26"/>
      <c r="J12" s="19"/>
      <c r="K12" s="22"/>
      <c r="L12" s="26"/>
      <c r="M12" s="23"/>
      <c r="N12" s="23"/>
      <c r="O12" s="23"/>
      <c r="P12" s="23"/>
      <c r="Q12" s="23"/>
      <c r="R12" s="23"/>
      <c r="S12" s="23"/>
      <c r="T12" s="23"/>
    </row>
    <row r="13" spans="1:20" s="118" customFormat="1" ht="15" customHeight="1" x14ac:dyDescent="0.25">
      <c r="A13" s="149" t="s">
        <v>136</v>
      </c>
      <c r="B13" s="149"/>
      <c r="C13" s="149"/>
      <c r="D13" s="149"/>
      <c r="E13" s="149"/>
      <c r="F13" s="149"/>
      <c r="G13" s="149"/>
      <c r="H13" s="149"/>
      <c r="I13" s="149"/>
      <c r="J13" s="149"/>
      <c r="K13" s="149"/>
      <c r="L13" s="149"/>
      <c r="M13" s="121"/>
      <c r="N13" s="121"/>
      <c r="O13" s="121"/>
      <c r="P13" s="121"/>
      <c r="Q13" s="121"/>
      <c r="R13" s="121"/>
      <c r="S13" s="121"/>
      <c r="T13" s="121"/>
    </row>
    <row r="14" spans="1:20" s="117" customFormat="1" ht="15" customHeight="1" x14ac:dyDescent="0.2">
      <c r="A14" s="120" t="s">
        <v>36</v>
      </c>
    </row>
  </sheetData>
  <mergeCells count="6">
    <mergeCell ref="A13:L13"/>
    <mergeCell ref="A6:A7"/>
    <mergeCell ref="B6:C6"/>
    <mergeCell ref="E6:F6"/>
    <mergeCell ref="H6:I6"/>
    <mergeCell ref="K6:L6"/>
  </mergeCells>
  <dataValidations count="1">
    <dataValidation allowBlank="1" showInputMessage="1" sqref="A9:A12" xr:uid="{A92411AF-E716-4206-91D2-468C880BA54F}"/>
  </dataValidations>
  <pageMargins left="0.7" right="0.7" top="0.75" bottom="0.75" header="0.3" footer="0.3"/>
  <pageSetup paperSize="9" scale="51"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8AD7A-F507-4CEF-9F81-992C1ECDF1E2}">
  <sheetPr codeName="Hoja8">
    <tabColor rgb="FF0070C0"/>
  </sheetPr>
  <dimension ref="A1:P24"/>
  <sheetViews>
    <sheetView showGridLines="0" zoomScaleNormal="100" zoomScaleSheetLayoutView="70" workbookViewId="0"/>
  </sheetViews>
  <sheetFormatPr baseColWidth="10" defaultRowHeight="15" x14ac:dyDescent="0.25"/>
  <cols>
    <col min="1" max="1" width="42.85546875" customWidth="1"/>
    <col min="2" max="4" width="17" customWidth="1"/>
    <col min="5" max="5" width="4.140625" customWidth="1"/>
    <col min="6" max="8" width="17" customWidth="1"/>
    <col min="9" max="9" width="4.140625" customWidth="1"/>
    <col min="10" max="12" width="17" customWidth="1"/>
    <col min="13" max="13" width="4.140625" customWidth="1"/>
    <col min="14" max="16" width="17" customWidth="1"/>
  </cols>
  <sheetData>
    <row r="1" spans="1:16" ht="18.75" x14ac:dyDescent="0.25">
      <c r="A1" s="80" t="s">
        <v>88</v>
      </c>
    </row>
    <row r="2" spans="1:16" ht="18.75" x14ac:dyDescent="0.25">
      <c r="A2" s="80" t="s">
        <v>98</v>
      </c>
    </row>
    <row r="3" spans="1:16" x14ac:dyDescent="0.25">
      <c r="A3" s="39" t="s">
        <v>40</v>
      </c>
    </row>
    <row r="4" spans="1:16" x14ac:dyDescent="0.25">
      <c r="A4" s="81" t="s">
        <v>41</v>
      </c>
    </row>
    <row r="5" spans="1:16" ht="10.5" customHeight="1" x14ac:dyDescent="0.25"/>
    <row r="6" spans="1:16" ht="50.1" customHeight="1" x14ac:dyDescent="0.25">
      <c r="A6" s="145" t="s">
        <v>33</v>
      </c>
      <c r="B6" s="155" t="s">
        <v>38</v>
      </c>
      <c r="C6" s="156"/>
      <c r="D6" s="156"/>
      <c r="E6" s="30"/>
      <c r="F6" s="156" t="s">
        <v>59</v>
      </c>
      <c r="G6" s="156"/>
      <c r="H6" s="156"/>
      <c r="I6" s="30"/>
      <c r="J6" s="156" t="s">
        <v>118</v>
      </c>
      <c r="K6" s="156"/>
      <c r="L6" s="156"/>
      <c r="M6" s="30"/>
      <c r="N6" s="156" t="s">
        <v>60</v>
      </c>
      <c r="O6" s="156"/>
      <c r="P6" s="156"/>
    </row>
    <row r="7" spans="1:16" ht="24.95" customHeight="1" x14ac:dyDescent="0.25">
      <c r="A7" s="146"/>
      <c r="B7" s="27">
        <v>2019</v>
      </c>
      <c r="C7" s="27">
        <v>2020</v>
      </c>
      <c r="D7" s="27">
        <v>2021</v>
      </c>
      <c r="E7" s="29"/>
      <c r="F7" s="27">
        <v>2019</v>
      </c>
      <c r="G7" s="27">
        <v>2020</v>
      </c>
      <c r="H7" s="27">
        <v>2021</v>
      </c>
      <c r="I7" s="29"/>
      <c r="J7" s="27">
        <v>2019</v>
      </c>
      <c r="K7" s="27">
        <v>2020</v>
      </c>
      <c r="L7" s="27">
        <v>2021</v>
      </c>
      <c r="M7" s="29"/>
      <c r="N7" s="27">
        <v>2019</v>
      </c>
      <c r="O7" s="27">
        <v>2020</v>
      </c>
      <c r="P7" s="27">
        <v>2021</v>
      </c>
    </row>
    <row r="8" spans="1:16" s="86" customFormat="1" ht="15" customHeight="1" x14ac:dyDescent="0.25">
      <c r="A8" s="108"/>
      <c r="B8" s="93"/>
      <c r="C8" s="93"/>
      <c r="D8" s="93"/>
      <c r="E8" s="109"/>
      <c r="F8" s="93"/>
      <c r="G8" s="93"/>
      <c r="H8" s="93"/>
      <c r="I8" s="109"/>
      <c r="J8" s="93"/>
      <c r="K8" s="93"/>
      <c r="L8" s="93"/>
      <c r="M8" s="109"/>
      <c r="N8" s="93"/>
      <c r="O8" s="93"/>
      <c r="P8" s="93"/>
    </row>
    <row r="9" spans="1:16" ht="15" customHeight="1" x14ac:dyDescent="0.25">
      <c r="A9" s="70" t="s">
        <v>34</v>
      </c>
      <c r="B9" s="31">
        <v>31573</v>
      </c>
      <c r="C9" s="31">
        <v>31879</v>
      </c>
      <c r="D9" s="31">
        <v>33594</v>
      </c>
      <c r="E9" s="32"/>
      <c r="F9" s="31">
        <v>29890205.359514724</v>
      </c>
      <c r="G9" s="31">
        <v>29873546.486309394</v>
      </c>
      <c r="H9" s="31">
        <v>31093774.778614022</v>
      </c>
      <c r="I9" s="33"/>
      <c r="J9" s="32">
        <v>1056.2991996958497</v>
      </c>
      <c r="K9" s="32">
        <v>1067.1314172426657</v>
      </c>
      <c r="L9" s="32">
        <v>1080.4091892730119</v>
      </c>
      <c r="M9" s="32"/>
      <c r="N9" s="32">
        <v>946.7014651605715</v>
      </c>
      <c r="O9" s="32">
        <v>937.09170570938215</v>
      </c>
      <c r="P9" s="32">
        <v>925.57524494296661</v>
      </c>
    </row>
    <row r="10" spans="1:16" ht="15" customHeight="1" x14ac:dyDescent="0.25">
      <c r="A10" s="70" t="s">
        <v>9</v>
      </c>
      <c r="B10" s="31">
        <v>66272</v>
      </c>
      <c r="C10" s="31">
        <v>57237</v>
      </c>
      <c r="D10" s="31">
        <v>62219</v>
      </c>
      <c r="E10" s="32"/>
      <c r="F10" s="31">
        <v>8907518.3397428934</v>
      </c>
      <c r="G10" s="31">
        <v>7744011.4681588057</v>
      </c>
      <c r="H10" s="31">
        <v>8510695.9589519445</v>
      </c>
      <c r="I10" s="33"/>
      <c r="J10" s="32">
        <v>7440.0071346822369</v>
      </c>
      <c r="K10" s="32">
        <v>7391.1305833342867</v>
      </c>
      <c r="L10" s="32">
        <v>7310.6829688299667</v>
      </c>
      <c r="M10" s="32"/>
      <c r="N10" s="32">
        <v>134.40847325782974</v>
      </c>
      <c r="O10" s="32">
        <v>135.29729839367553</v>
      </c>
      <c r="P10" s="32">
        <v>136.78612576466907</v>
      </c>
    </row>
    <row r="11" spans="1:16" ht="15" customHeight="1" x14ac:dyDescent="0.25">
      <c r="A11" s="70" t="s">
        <v>75</v>
      </c>
      <c r="B11" s="31">
        <v>70208</v>
      </c>
      <c r="C11" s="31">
        <v>61450</v>
      </c>
      <c r="D11" s="31">
        <v>72839</v>
      </c>
      <c r="E11" s="32"/>
      <c r="F11" s="31">
        <v>18107444.144605085</v>
      </c>
      <c r="G11" s="31">
        <v>13318267.867124535</v>
      </c>
      <c r="H11" s="31">
        <v>19630462.993257854</v>
      </c>
      <c r="I11" s="33"/>
      <c r="J11" s="32">
        <v>3877.3003765370004</v>
      </c>
      <c r="K11" s="32">
        <v>4613.9633631852521</v>
      </c>
      <c r="L11" s="32">
        <v>3710.5085104216232</v>
      </c>
      <c r="M11" s="32"/>
      <c r="N11" s="32">
        <v>257.91140816723288</v>
      </c>
      <c r="O11" s="32">
        <v>216.73340711349934</v>
      </c>
      <c r="P11" s="32">
        <v>269.50483934784734</v>
      </c>
    </row>
    <row r="12" spans="1:16" ht="15" customHeight="1" x14ac:dyDescent="0.25">
      <c r="A12" s="71" t="s">
        <v>35</v>
      </c>
      <c r="B12" s="31">
        <v>8576</v>
      </c>
      <c r="C12" s="31">
        <v>7886</v>
      </c>
      <c r="D12" s="31">
        <v>8712</v>
      </c>
      <c r="E12" s="32"/>
      <c r="F12" s="31">
        <v>11707409.549069189</v>
      </c>
      <c r="G12" s="31">
        <v>10287803.683043694</v>
      </c>
      <c r="H12" s="31">
        <v>11949053.226108383</v>
      </c>
      <c r="I12" s="33"/>
      <c r="J12" s="32">
        <v>732.52754711069667</v>
      </c>
      <c r="K12" s="32">
        <v>766.53873294624248</v>
      </c>
      <c r="L12" s="32">
        <v>729.09542163261085</v>
      </c>
      <c r="M12" s="32"/>
      <c r="N12" s="32">
        <v>1365.1363746582542</v>
      </c>
      <c r="O12" s="32">
        <v>1304.5655190265907</v>
      </c>
      <c r="P12" s="32">
        <v>1371.5625833457741</v>
      </c>
    </row>
    <row r="13" spans="1:16" ht="30" customHeight="1" x14ac:dyDescent="0.25">
      <c r="A13" s="71" t="s">
        <v>14</v>
      </c>
      <c r="B13" s="31">
        <v>1716</v>
      </c>
      <c r="C13" s="31">
        <v>1741</v>
      </c>
      <c r="D13" s="31">
        <v>1776</v>
      </c>
      <c r="E13" s="32"/>
      <c r="F13" s="31">
        <v>9401193.181668682</v>
      </c>
      <c r="G13" s="31">
        <v>9663378.2666300405</v>
      </c>
      <c r="H13" s="31">
        <v>9943491.232119862</v>
      </c>
      <c r="I13" s="33"/>
      <c r="J13" s="32">
        <v>182.53002218335604</v>
      </c>
      <c r="K13" s="32">
        <v>180.16473659238716</v>
      </c>
      <c r="L13" s="32">
        <v>178.60929914264861</v>
      </c>
      <c r="M13" s="32"/>
      <c r="N13" s="32">
        <v>5478.55080516823</v>
      </c>
      <c r="O13" s="32">
        <v>5550.4757418897416</v>
      </c>
      <c r="P13" s="32">
        <v>5598.8126306981203</v>
      </c>
    </row>
    <row r="14" spans="1:16" ht="15" customHeight="1" x14ac:dyDescent="0.25">
      <c r="A14" s="70" t="s">
        <v>74</v>
      </c>
      <c r="B14" s="31">
        <v>32089</v>
      </c>
      <c r="C14" s="31">
        <v>27306</v>
      </c>
      <c r="D14" s="31">
        <v>36857</v>
      </c>
      <c r="E14" s="32"/>
      <c r="F14" s="31">
        <v>2564247.4293109337</v>
      </c>
      <c r="G14" s="31">
        <v>1906773.1560683425</v>
      </c>
      <c r="H14" s="31">
        <v>2709212.6172645041</v>
      </c>
      <c r="I14" s="33"/>
      <c r="J14" s="32">
        <v>12514.002990976178</v>
      </c>
      <c r="K14" s="32">
        <v>14320.528854257322</v>
      </c>
      <c r="L14" s="32">
        <v>13604.321700381923</v>
      </c>
      <c r="M14" s="32"/>
      <c r="N14" s="32">
        <v>79.910481140295232</v>
      </c>
      <c r="O14" s="32">
        <v>69.829823338033492</v>
      </c>
      <c r="P14" s="32">
        <v>73.506053592655505</v>
      </c>
    </row>
    <row r="15" spans="1:16" ht="15" customHeight="1" x14ac:dyDescent="0.25">
      <c r="A15" s="70" t="s">
        <v>15</v>
      </c>
      <c r="B15" s="31">
        <v>30876</v>
      </c>
      <c r="C15" s="31">
        <v>22347</v>
      </c>
      <c r="D15" s="31">
        <v>26797</v>
      </c>
      <c r="E15" s="32"/>
      <c r="F15" s="31">
        <v>12072613.692970941</v>
      </c>
      <c r="G15" s="31">
        <v>6781135.8027917817</v>
      </c>
      <c r="H15" s="31">
        <v>9718444.2766352855</v>
      </c>
      <c r="I15" s="33"/>
      <c r="J15" s="32">
        <v>2557.5240610885267</v>
      </c>
      <c r="K15" s="32">
        <v>3295.4656343557931</v>
      </c>
      <c r="L15" s="32">
        <v>2757.334326073601</v>
      </c>
      <c r="M15" s="32"/>
      <c r="N15" s="32">
        <v>391.00316404232871</v>
      </c>
      <c r="O15" s="32">
        <v>303.44725478998441</v>
      </c>
      <c r="P15" s="32">
        <v>362.66911507389955</v>
      </c>
    </row>
    <row r="16" spans="1:16" ht="30" customHeight="1" x14ac:dyDescent="0.25">
      <c r="A16" s="71" t="s">
        <v>18</v>
      </c>
      <c r="B16" s="110">
        <v>255872</v>
      </c>
      <c r="C16" s="32">
        <v>233298</v>
      </c>
      <c r="D16" s="32">
        <v>258246</v>
      </c>
      <c r="E16" s="32"/>
      <c r="F16" s="31">
        <v>2106348.9904706357</v>
      </c>
      <c r="G16" s="31">
        <v>1947606.5367948976</v>
      </c>
      <c r="H16" s="31">
        <v>2107449.6861565053</v>
      </c>
      <c r="I16" s="33"/>
      <c r="J16" s="32">
        <v>121476.54598435218</v>
      </c>
      <c r="K16" s="32">
        <v>119787.02863871554</v>
      </c>
      <c r="L16" s="32">
        <v>122539.58027865436</v>
      </c>
      <c r="M16" s="32"/>
      <c r="N16" s="32">
        <v>8.2320417649083755</v>
      </c>
      <c r="O16" s="32">
        <v>8.3481493060159</v>
      </c>
      <c r="P16" s="32">
        <v>8.16062857181333</v>
      </c>
    </row>
    <row r="17" spans="1:16" ht="15" customHeight="1" x14ac:dyDescent="0.25">
      <c r="A17" s="70"/>
      <c r="B17" s="99"/>
      <c r="C17" s="31"/>
      <c r="D17" s="31"/>
      <c r="E17" s="32"/>
      <c r="F17" s="31"/>
      <c r="G17" s="31"/>
      <c r="H17" s="31"/>
      <c r="I17" s="33"/>
      <c r="J17" s="32"/>
      <c r="K17" s="32"/>
      <c r="L17" s="32"/>
      <c r="M17" s="32"/>
      <c r="N17" s="32"/>
      <c r="O17" s="32"/>
      <c r="P17" s="32"/>
    </row>
    <row r="18" spans="1:16" ht="15" customHeight="1" x14ac:dyDescent="0.25">
      <c r="A18" s="95" t="s">
        <v>73</v>
      </c>
      <c r="B18" s="96">
        <v>497182</v>
      </c>
      <c r="C18" s="96">
        <v>443144</v>
      </c>
      <c r="D18" s="96">
        <v>501040</v>
      </c>
      <c r="E18" s="111"/>
      <c r="F18" s="96">
        <v>94756980.687353089</v>
      </c>
      <c r="G18" s="96">
        <v>81522523.26692149</v>
      </c>
      <c r="H18" s="96">
        <v>95662584.76910837</v>
      </c>
      <c r="I18" s="111"/>
      <c r="J18" s="112">
        <v>5246.9168645256059</v>
      </c>
      <c r="K18" s="112">
        <v>5435.8474473251463</v>
      </c>
      <c r="L18" s="112">
        <v>5237.5753928174981</v>
      </c>
      <c r="M18" s="111"/>
      <c r="N18" s="112">
        <v>190.58811599646225</v>
      </c>
      <c r="O18" s="112">
        <v>183.9639558854943</v>
      </c>
      <c r="P18" s="112">
        <v>190.92803921664611</v>
      </c>
    </row>
    <row r="19" spans="1:16" ht="15" customHeight="1" x14ac:dyDescent="0.25">
      <c r="A19" s="70"/>
    </row>
    <row r="20" spans="1:16" s="118" customFormat="1" ht="30" customHeight="1" x14ac:dyDescent="0.25">
      <c r="A20" s="144" t="s">
        <v>137</v>
      </c>
      <c r="B20" s="144"/>
      <c r="C20" s="144"/>
      <c r="D20" s="144"/>
      <c r="E20" s="144"/>
      <c r="F20" s="144"/>
      <c r="G20" s="144"/>
      <c r="H20" s="144"/>
      <c r="I20" s="144"/>
      <c r="J20" s="144"/>
      <c r="K20" s="144"/>
      <c r="L20" s="144"/>
      <c r="M20" s="144"/>
      <c r="N20" s="144"/>
      <c r="O20" s="144"/>
      <c r="P20" s="144"/>
    </row>
    <row r="21" spans="1:16" s="118" customFormat="1" ht="30" customHeight="1" x14ac:dyDescent="0.25">
      <c r="A21" s="143" t="s">
        <v>138</v>
      </c>
      <c r="B21" s="143"/>
      <c r="C21" s="143"/>
      <c r="D21" s="143"/>
      <c r="E21" s="143"/>
      <c r="F21" s="143"/>
      <c r="G21" s="143"/>
      <c r="H21" s="143"/>
      <c r="I21" s="143"/>
      <c r="J21" s="143"/>
      <c r="K21" s="143"/>
      <c r="L21" s="143"/>
      <c r="M21" s="143"/>
      <c r="N21" s="143"/>
      <c r="O21" s="143"/>
      <c r="P21" s="143"/>
    </row>
    <row r="22" spans="1:16" s="118" customFormat="1" ht="15" customHeight="1" x14ac:dyDescent="0.25">
      <c r="A22" s="143" t="s">
        <v>139</v>
      </c>
      <c r="B22" s="143"/>
      <c r="C22" s="143"/>
      <c r="D22" s="143"/>
      <c r="E22" s="143"/>
      <c r="F22" s="143"/>
      <c r="G22" s="143"/>
      <c r="H22" s="143"/>
      <c r="I22" s="143"/>
      <c r="J22" s="143"/>
      <c r="K22" s="143"/>
      <c r="L22" s="143"/>
      <c r="M22" s="143"/>
      <c r="N22" s="143"/>
      <c r="O22" s="143"/>
      <c r="P22" s="143"/>
    </row>
    <row r="23" spans="1:16" s="117" customFormat="1" ht="15" customHeight="1" x14ac:dyDescent="0.2">
      <c r="A23" s="120" t="s">
        <v>36</v>
      </c>
    </row>
    <row r="24" spans="1:16" s="78" customFormat="1" x14ac:dyDescent="0.25">
      <c r="A24" s="28"/>
    </row>
  </sheetData>
  <mergeCells count="8">
    <mergeCell ref="A21:P21"/>
    <mergeCell ref="A22:P22"/>
    <mergeCell ref="A6:A7"/>
    <mergeCell ref="A20:P20"/>
    <mergeCell ref="B6:D6"/>
    <mergeCell ref="F6:H6"/>
    <mergeCell ref="N6:P6"/>
    <mergeCell ref="J6:L6"/>
  </mergeCells>
  <pageMargins left="0.7" right="0.7" top="0.75" bottom="0.75" header="0.3" footer="0.3"/>
  <pageSetup paperSize="9" scale="33" orientation="portrait"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0389A-7FB7-4385-8041-3CA63BD549C8}">
  <sheetPr>
    <tabColor rgb="FF0070C0"/>
  </sheetPr>
  <dimension ref="A1:P23"/>
  <sheetViews>
    <sheetView showGridLines="0" zoomScaleNormal="100" zoomScaleSheetLayoutView="70" workbookViewId="0">
      <selection activeCell="O7" sqref="O7"/>
    </sheetView>
  </sheetViews>
  <sheetFormatPr baseColWidth="10" defaultRowHeight="15" x14ac:dyDescent="0.25"/>
  <cols>
    <col min="1" max="1" width="42.85546875" customWidth="1"/>
    <col min="2" max="4" width="17" customWidth="1"/>
    <col min="5" max="5" width="4.140625" customWidth="1"/>
    <col min="6" max="8" width="17" customWidth="1"/>
    <col min="9" max="9" width="4.140625" customWidth="1"/>
    <col min="11" max="11" width="12.28515625" customWidth="1"/>
    <col min="12" max="12" width="14.42578125" customWidth="1"/>
    <col min="13" max="13" width="4.140625" customWidth="1"/>
    <col min="14" max="14" width="9.5703125" customWidth="1"/>
    <col min="15" max="15" width="14.42578125" customWidth="1"/>
  </cols>
  <sheetData>
    <row r="1" spans="1:8" ht="18.75" x14ac:dyDescent="0.25">
      <c r="A1" s="80" t="s">
        <v>89</v>
      </c>
    </row>
    <row r="2" spans="1:8" ht="18.75" x14ac:dyDescent="0.25">
      <c r="A2" s="80" t="s">
        <v>98</v>
      </c>
    </row>
    <row r="3" spans="1:8" x14ac:dyDescent="0.25">
      <c r="A3" s="39" t="s">
        <v>40</v>
      </c>
    </row>
    <row r="4" spans="1:8" x14ac:dyDescent="0.25">
      <c r="A4" s="81" t="s">
        <v>72</v>
      </c>
    </row>
    <row r="5" spans="1:8" ht="10.5" customHeight="1" x14ac:dyDescent="0.25"/>
    <row r="6" spans="1:8" ht="24.95" customHeight="1" x14ac:dyDescent="0.25">
      <c r="A6" s="145" t="s">
        <v>33</v>
      </c>
      <c r="B6" s="147" t="s">
        <v>39</v>
      </c>
      <c r="C6" s="148"/>
      <c r="D6" s="148"/>
      <c r="E6" s="30"/>
      <c r="F6" s="148" t="s">
        <v>55</v>
      </c>
      <c r="G6" s="148"/>
      <c r="H6" s="148"/>
    </row>
    <row r="7" spans="1:8" ht="24.95" customHeight="1" x14ac:dyDescent="0.25">
      <c r="A7" s="146"/>
      <c r="B7" s="27">
        <v>2019</v>
      </c>
      <c r="C7" s="27">
        <v>2020</v>
      </c>
      <c r="D7" s="27">
        <v>2021</v>
      </c>
      <c r="E7" s="29"/>
      <c r="F7" s="27">
        <v>2019</v>
      </c>
      <c r="G7" s="27">
        <v>2020</v>
      </c>
      <c r="H7" s="27">
        <v>2021</v>
      </c>
    </row>
    <row r="8" spans="1:8" s="86" customFormat="1" ht="15" customHeight="1" x14ac:dyDescent="0.25">
      <c r="A8" s="70"/>
      <c r="B8" s="93"/>
      <c r="C8" s="93"/>
      <c r="D8" s="93"/>
      <c r="E8" s="109"/>
      <c r="F8" s="93"/>
      <c r="G8" s="93"/>
      <c r="H8" s="93"/>
    </row>
    <row r="9" spans="1:8" ht="15" customHeight="1" x14ac:dyDescent="0.25">
      <c r="A9" s="70" t="s">
        <v>34</v>
      </c>
      <c r="B9" s="38">
        <v>6.350390802563247</v>
      </c>
      <c r="C9" s="38">
        <v>7.1938241294026319</v>
      </c>
      <c r="D9" s="38">
        <v>6.70485390387993</v>
      </c>
      <c r="E9" s="32"/>
      <c r="F9" s="38">
        <v>31.544066877918237</v>
      </c>
      <c r="G9" s="38">
        <v>36.644531215621562</v>
      </c>
      <c r="H9" s="38">
        <v>32.503590461894888</v>
      </c>
    </row>
    <row r="10" spans="1:8" ht="15" customHeight="1" x14ac:dyDescent="0.25">
      <c r="A10" s="70" t="s">
        <v>9</v>
      </c>
      <c r="B10" s="38">
        <v>13.329525204050027</v>
      </c>
      <c r="C10" s="38">
        <v>12.916117559980503</v>
      </c>
      <c r="D10" s="38">
        <v>12.417970621108095</v>
      </c>
      <c r="E10" s="32"/>
      <c r="F10" s="38">
        <v>9.4003821936168457</v>
      </c>
      <c r="G10" s="38">
        <v>9.4992293636487695</v>
      </c>
      <c r="H10" s="38">
        <v>8.8965774649445208</v>
      </c>
    </row>
    <row r="11" spans="1:8" ht="15" customHeight="1" x14ac:dyDescent="0.25">
      <c r="A11" s="70" t="s">
        <v>75</v>
      </c>
      <c r="B11" s="38">
        <v>14.121187009988295</v>
      </c>
      <c r="C11" s="38">
        <v>13.866824327983679</v>
      </c>
      <c r="D11" s="38">
        <v>14.53756187130768</v>
      </c>
      <c r="E11" s="32"/>
      <c r="F11" s="38">
        <v>19.109351114035473</v>
      </c>
      <c r="G11" s="38">
        <v>16.336918109756969</v>
      </c>
      <c r="H11" s="38">
        <v>20.520523296164352</v>
      </c>
    </row>
    <row r="12" spans="1:8" ht="15" customHeight="1" x14ac:dyDescent="0.25">
      <c r="A12" s="71" t="s">
        <v>35</v>
      </c>
      <c r="B12" s="38">
        <v>1.7249216584671208</v>
      </c>
      <c r="C12" s="38">
        <v>1.779556983734407</v>
      </c>
      <c r="D12" s="38">
        <v>1.7387833306722018</v>
      </c>
      <c r="E12" s="32"/>
      <c r="F12" s="38">
        <v>12.355194798468013</v>
      </c>
      <c r="G12" s="38">
        <v>12.619584466686968</v>
      </c>
      <c r="H12" s="38">
        <v>12.490832497311953</v>
      </c>
    </row>
    <row r="13" spans="1:8" ht="30" customHeight="1" x14ac:dyDescent="0.25">
      <c r="A13" s="71" t="s">
        <v>14</v>
      </c>
      <c r="B13" s="38">
        <v>0.34514523856454982</v>
      </c>
      <c r="C13" s="38">
        <v>0.3928745509360389</v>
      </c>
      <c r="D13" s="38">
        <v>0.35446271754750119</v>
      </c>
      <c r="E13" s="32"/>
      <c r="F13" s="38">
        <v>9.9213726666614122</v>
      </c>
      <c r="G13" s="38">
        <v>11.853629990070541</v>
      </c>
      <c r="H13" s="38">
        <v>10.394336778709791</v>
      </c>
    </row>
    <row r="14" spans="1:8" ht="15" customHeight="1" x14ac:dyDescent="0.25">
      <c r="A14" s="70" t="s">
        <v>74</v>
      </c>
      <c r="B14" s="38">
        <v>6.4541757344393007</v>
      </c>
      <c r="C14" s="38">
        <v>6.1618796598848231</v>
      </c>
      <c r="D14" s="38">
        <v>7.3560993134280706</v>
      </c>
      <c r="E14" s="32"/>
      <c r="F14" s="38">
        <v>2.7061303670824701</v>
      </c>
      <c r="G14" s="38">
        <v>2.3389525736650416</v>
      </c>
      <c r="H14" s="38">
        <v>2.8320504027812667</v>
      </c>
    </row>
    <row r="15" spans="1:8" ht="15" customHeight="1" x14ac:dyDescent="0.25">
      <c r="A15" s="70" t="s">
        <v>15</v>
      </c>
      <c r="B15" s="38">
        <v>6.2102006910950118</v>
      </c>
      <c r="C15" s="38">
        <v>5.0428303215207704</v>
      </c>
      <c r="D15" s="38">
        <v>5.3482755867794989</v>
      </c>
      <c r="E15" s="32"/>
      <c r="F15" s="38">
        <v>12.740606133076415</v>
      </c>
      <c r="G15" s="38">
        <v>8.3181132416485077</v>
      </c>
      <c r="H15" s="38">
        <v>10.159086021030861</v>
      </c>
    </row>
    <row r="16" spans="1:8" ht="30" customHeight="1" x14ac:dyDescent="0.25">
      <c r="A16" s="71" t="s">
        <v>18</v>
      </c>
      <c r="B16" s="113">
        <v>51.464453660832454</v>
      </c>
      <c r="C16" s="33">
        <v>52.64609246655715</v>
      </c>
      <c r="D16" s="33">
        <v>51.541992655277028</v>
      </c>
      <c r="E16" s="32"/>
      <c r="F16" s="33">
        <v>2.2228958491411319</v>
      </c>
      <c r="G16" s="33">
        <v>2.3890410389016465</v>
      </c>
      <c r="H16" s="33">
        <v>2.2030030771623568</v>
      </c>
    </row>
    <row r="17" spans="1:16" ht="15" customHeight="1" x14ac:dyDescent="0.25">
      <c r="A17" s="70"/>
      <c r="B17" s="114"/>
      <c r="C17" s="38"/>
      <c r="D17" s="38"/>
      <c r="E17" s="32"/>
      <c r="F17" s="38"/>
      <c r="G17" s="38"/>
      <c r="H17" s="38"/>
    </row>
    <row r="18" spans="1:16" ht="15" customHeight="1" x14ac:dyDescent="0.25">
      <c r="A18" s="95" t="s">
        <v>73</v>
      </c>
      <c r="B18" s="98">
        <v>100</v>
      </c>
      <c r="C18" s="98">
        <v>100</v>
      </c>
      <c r="D18" s="98">
        <v>100</v>
      </c>
      <c r="E18" s="111"/>
      <c r="F18" s="98">
        <v>100</v>
      </c>
      <c r="G18" s="98">
        <v>100.00000000000001</v>
      </c>
      <c r="H18" s="98">
        <v>99.999999999999972</v>
      </c>
    </row>
    <row r="19" spans="1:16" ht="15" customHeight="1" x14ac:dyDescent="0.25">
      <c r="A19" s="72"/>
      <c r="B19" s="73"/>
      <c r="C19" s="37"/>
      <c r="D19" s="37"/>
      <c r="E19" s="35"/>
      <c r="F19" s="37"/>
      <c r="G19" s="37"/>
      <c r="H19" s="37"/>
    </row>
    <row r="20" spans="1:16" s="118" customFormat="1" ht="30" customHeight="1" x14ac:dyDescent="0.25">
      <c r="A20" s="144" t="s">
        <v>137</v>
      </c>
      <c r="B20" s="144"/>
      <c r="C20" s="144"/>
      <c r="D20" s="144"/>
      <c r="E20" s="144"/>
      <c r="F20" s="144"/>
      <c r="G20" s="144"/>
      <c r="H20" s="144"/>
      <c r="I20" s="122"/>
      <c r="J20" s="122"/>
      <c r="K20" s="122"/>
      <c r="L20" s="122"/>
      <c r="M20" s="122"/>
      <c r="N20" s="122"/>
      <c r="O20" s="122"/>
      <c r="P20" s="122"/>
    </row>
    <row r="21" spans="1:16" s="118" customFormat="1" ht="35.1" customHeight="1" x14ac:dyDescent="0.25">
      <c r="A21" s="143" t="s">
        <v>138</v>
      </c>
      <c r="B21" s="143"/>
      <c r="C21" s="143"/>
      <c r="D21" s="143"/>
      <c r="E21" s="143"/>
      <c r="F21" s="143"/>
      <c r="G21" s="143"/>
      <c r="H21" s="143"/>
      <c r="I21" s="122"/>
      <c r="J21" s="122"/>
      <c r="K21" s="122"/>
      <c r="L21" s="122"/>
      <c r="M21" s="122"/>
      <c r="N21" s="122"/>
      <c r="O21" s="122"/>
      <c r="P21" s="122"/>
    </row>
    <row r="22" spans="1:16" s="118" customFormat="1" ht="30" customHeight="1" x14ac:dyDescent="0.25">
      <c r="A22" s="143" t="s">
        <v>139</v>
      </c>
      <c r="B22" s="143"/>
      <c r="C22" s="143"/>
      <c r="D22" s="143"/>
      <c r="E22" s="143"/>
      <c r="F22" s="143"/>
      <c r="G22" s="143"/>
      <c r="H22" s="143"/>
      <c r="I22" s="122"/>
      <c r="J22" s="122"/>
      <c r="K22" s="122"/>
      <c r="L22" s="122"/>
      <c r="M22" s="122"/>
      <c r="N22" s="122"/>
      <c r="O22" s="122"/>
      <c r="P22" s="122"/>
    </row>
    <row r="23" spans="1:16" s="117" customFormat="1" ht="15" customHeight="1" x14ac:dyDescent="0.2">
      <c r="A23" s="120" t="s">
        <v>36</v>
      </c>
    </row>
  </sheetData>
  <mergeCells count="6">
    <mergeCell ref="A21:H21"/>
    <mergeCell ref="A22:H22"/>
    <mergeCell ref="A6:A7"/>
    <mergeCell ref="B6:D6"/>
    <mergeCell ref="F6:H6"/>
    <mergeCell ref="A20:H20"/>
  </mergeCells>
  <pageMargins left="0.7" right="0.7" top="0.75" bottom="0.75" header="0.3" footer="0.3"/>
  <pageSetup paperSize="9" scale="42" orientation="portrait" verticalDpi="0" r:id="rId1"/>
  <colBreaks count="1" manualBreakCount="1">
    <brk id="11" max="22"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AFE00-032C-4031-AD9C-12373E47E694}">
  <sheetPr>
    <tabColor rgb="FF0070C0"/>
    <pageSetUpPr fitToPage="1"/>
  </sheetPr>
  <dimension ref="A1:P25"/>
  <sheetViews>
    <sheetView showGridLines="0" zoomScaleNormal="100" zoomScaleSheetLayoutView="70" workbookViewId="0">
      <selection activeCell="A19" sqref="A19:P19"/>
    </sheetView>
  </sheetViews>
  <sheetFormatPr baseColWidth="10" defaultRowHeight="15" x14ac:dyDescent="0.25"/>
  <cols>
    <col min="1" max="1" width="42.85546875" customWidth="1"/>
    <col min="2" max="4" width="17" customWidth="1"/>
    <col min="5" max="5" width="4.140625" customWidth="1"/>
    <col min="6" max="8" width="17" customWidth="1"/>
    <col min="9" max="9" width="4.140625" customWidth="1"/>
    <col min="10" max="12" width="17" customWidth="1"/>
    <col min="13" max="13" width="4.140625" customWidth="1"/>
    <col min="14" max="16" width="17" customWidth="1"/>
  </cols>
  <sheetData>
    <row r="1" spans="1:16" ht="18.75" x14ac:dyDescent="0.25">
      <c r="A1" s="80" t="s">
        <v>90</v>
      </c>
    </row>
    <row r="2" spans="1:16" ht="18.75" x14ac:dyDescent="0.25">
      <c r="A2" s="80" t="s">
        <v>98</v>
      </c>
    </row>
    <row r="3" spans="1:16" x14ac:dyDescent="0.25">
      <c r="A3" s="39" t="s">
        <v>44</v>
      </c>
    </row>
    <row r="4" spans="1:16" ht="10.5" customHeight="1" x14ac:dyDescent="0.25"/>
    <row r="5" spans="1:16" ht="24.95" customHeight="1" x14ac:dyDescent="0.25">
      <c r="A5" s="145" t="s">
        <v>33</v>
      </c>
      <c r="B5" s="147" t="s">
        <v>39</v>
      </c>
      <c r="C5" s="148"/>
      <c r="D5" s="148"/>
      <c r="E5" s="30"/>
      <c r="F5" s="148" t="s">
        <v>55</v>
      </c>
      <c r="G5" s="148"/>
      <c r="H5" s="148"/>
      <c r="I5" s="30"/>
      <c r="J5" s="148" t="s">
        <v>58</v>
      </c>
      <c r="K5" s="148"/>
      <c r="L5" s="148"/>
      <c r="M5" s="30"/>
      <c r="N5" s="148" t="s">
        <v>57</v>
      </c>
      <c r="O5" s="148"/>
      <c r="P5" s="148"/>
    </row>
    <row r="6" spans="1:16" ht="24.95" customHeight="1" x14ac:dyDescent="0.25">
      <c r="A6" s="146"/>
      <c r="B6" s="27">
        <v>2019</v>
      </c>
      <c r="C6" s="27">
        <v>2020</v>
      </c>
      <c r="D6" s="27">
        <v>2021</v>
      </c>
      <c r="E6" s="29"/>
      <c r="F6" s="27">
        <v>2019</v>
      </c>
      <c r="G6" s="27">
        <v>2020</v>
      </c>
      <c r="H6" s="27">
        <v>2021</v>
      </c>
      <c r="I6" s="29"/>
      <c r="J6" s="27">
        <v>2019</v>
      </c>
      <c r="K6" s="27">
        <v>2020</v>
      </c>
      <c r="L6" s="27">
        <v>2021</v>
      </c>
      <c r="M6" s="29"/>
      <c r="N6" s="27">
        <v>2019</v>
      </c>
      <c r="O6" s="27">
        <v>2020</v>
      </c>
      <c r="P6" s="27">
        <v>2021</v>
      </c>
    </row>
    <row r="7" spans="1:16" s="86" customFormat="1" ht="15" customHeight="1" x14ac:dyDescent="0.25">
      <c r="A7" s="70"/>
      <c r="B7" s="93"/>
      <c r="C7" s="93"/>
      <c r="D7" s="93"/>
      <c r="E7" s="109"/>
      <c r="F7" s="93"/>
      <c r="G7" s="93"/>
      <c r="H7" s="93"/>
      <c r="I7" s="109"/>
      <c r="J7" s="93"/>
      <c r="K7" s="93"/>
      <c r="L7" s="93"/>
      <c r="M7" s="109"/>
      <c r="N7" s="93"/>
      <c r="O7" s="93"/>
      <c r="P7" s="93"/>
    </row>
    <row r="8" spans="1:16" ht="15" customHeight="1" x14ac:dyDescent="0.25">
      <c r="A8" s="70" t="s">
        <v>34</v>
      </c>
      <c r="B8" s="38">
        <v>100</v>
      </c>
      <c r="C8" s="38">
        <v>100.96918252937637</v>
      </c>
      <c r="D8" s="38">
        <v>106.40103886231907</v>
      </c>
      <c r="E8" s="33"/>
      <c r="F8" s="38">
        <v>100</v>
      </c>
      <c r="G8" s="38">
        <v>99.944266447804679</v>
      </c>
      <c r="H8" s="38">
        <v>104.02663482777368</v>
      </c>
      <c r="I8" s="33"/>
      <c r="J8" s="38">
        <v>100</v>
      </c>
      <c r="K8" s="38">
        <v>101.02548762225088</v>
      </c>
      <c r="L8" s="38">
        <v>102.28249624577055</v>
      </c>
      <c r="M8" s="33"/>
      <c r="N8" s="38">
        <v>100</v>
      </c>
      <c r="O8" s="38">
        <v>98.98492187824391</v>
      </c>
      <c r="P8" s="38">
        <v>97.768439049154566</v>
      </c>
    </row>
    <row r="9" spans="1:16" ht="15" customHeight="1" x14ac:dyDescent="0.25">
      <c r="A9" s="70" t="s">
        <v>9</v>
      </c>
      <c r="B9" s="38">
        <v>100</v>
      </c>
      <c r="C9" s="38">
        <v>86.366791405118306</v>
      </c>
      <c r="D9" s="38">
        <v>93.884295026557226</v>
      </c>
      <c r="E9" s="33"/>
      <c r="F9" s="38">
        <v>100</v>
      </c>
      <c r="G9" s="38">
        <v>86.937923367579941</v>
      </c>
      <c r="H9" s="38">
        <v>95.545084886096305</v>
      </c>
      <c r="I9" s="33"/>
      <c r="J9" s="38">
        <v>100</v>
      </c>
      <c r="K9" s="38">
        <v>99.343057735521413</v>
      </c>
      <c r="L9" s="38">
        <v>98.261773631245404</v>
      </c>
      <c r="M9" s="33"/>
      <c r="N9" s="38">
        <v>100</v>
      </c>
      <c r="O9" s="38">
        <v>100.66128653521776</v>
      </c>
      <c r="P9" s="38">
        <v>101.76897516146796</v>
      </c>
    </row>
    <row r="10" spans="1:16" ht="15" customHeight="1" x14ac:dyDescent="0.25">
      <c r="A10" s="70" t="s">
        <v>75</v>
      </c>
      <c r="B10" s="38">
        <v>100</v>
      </c>
      <c r="C10" s="38">
        <v>87.525638103919775</v>
      </c>
      <c r="D10" s="38">
        <v>103.74743618960802</v>
      </c>
      <c r="E10" s="33"/>
      <c r="F10" s="38">
        <v>100</v>
      </c>
      <c r="G10" s="38">
        <v>73.551340325920961</v>
      </c>
      <c r="H10" s="38">
        <v>108.41100950796823</v>
      </c>
      <c r="I10" s="33"/>
      <c r="J10" s="38">
        <v>100</v>
      </c>
      <c r="K10" s="38">
        <v>118.99937882311301</v>
      </c>
      <c r="L10" s="38">
        <v>95.698247493934247</v>
      </c>
      <c r="M10" s="33"/>
      <c r="N10" s="38">
        <v>100</v>
      </c>
      <c r="O10" s="38">
        <v>84.034052100931802</v>
      </c>
      <c r="P10" s="38">
        <v>104.49512150819523</v>
      </c>
    </row>
    <row r="11" spans="1:16" ht="15" customHeight="1" x14ac:dyDescent="0.25">
      <c r="A11" s="71" t="s">
        <v>35</v>
      </c>
      <c r="B11" s="38">
        <v>100</v>
      </c>
      <c r="C11" s="38">
        <v>91.954291044776113</v>
      </c>
      <c r="D11" s="38">
        <v>101.58582089552239</v>
      </c>
      <c r="E11" s="33"/>
      <c r="F11" s="38">
        <v>100</v>
      </c>
      <c r="G11" s="38">
        <v>87.874295675097812</v>
      </c>
      <c r="H11" s="38">
        <v>102.06402343769044</v>
      </c>
      <c r="I11" s="33"/>
      <c r="J11" s="38">
        <v>100</v>
      </c>
      <c r="K11" s="38">
        <v>104.64299069293652</v>
      </c>
      <c r="L11" s="38">
        <v>99.531468066747365</v>
      </c>
      <c r="M11" s="33"/>
      <c r="N11" s="38">
        <v>100</v>
      </c>
      <c r="O11" s="38">
        <v>95.563017969774137</v>
      </c>
      <c r="P11" s="38">
        <v>100.47073748870903</v>
      </c>
    </row>
    <row r="12" spans="1:16" ht="30" customHeight="1" x14ac:dyDescent="0.25">
      <c r="A12" s="71" t="s">
        <v>14</v>
      </c>
      <c r="B12" s="38">
        <v>100</v>
      </c>
      <c r="C12" s="38">
        <v>101.45687645687647</v>
      </c>
      <c r="D12" s="38">
        <v>103.49650349650349</v>
      </c>
      <c r="E12" s="33"/>
      <c r="F12" s="38">
        <v>100</v>
      </c>
      <c r="G12" s="38">
        <v>102.78884903112714</v>
      </c>
      <c r="H12" s="38">
        <v>105.76839598944316</v>
      </c>
      <c r="I12" s="33"/>
      <c r="J12" s="38">
        <v>100</v>
      </c>
      <c r="K12" s="38">
        <v>98.704166272114463</v>
      </c>
      <c r="L12" s="38">
        <v>97.852011962849076</v>
      </c>
      <c r="M12" s="33"/>
      <c r="N12" s="38">
        <v>100</v>
      </c>
      <c r="O12" s="38">
        <v>101.31284602953139</v>
      </c>
      <c r="P12" s="38">
        <v>102.19513936817816</v>
      </c>
    </row>
    <row r="13" spans="1:16" ht="15" customHeight="1" x14ac:dyDescent="0.25">
      <c r="A13" s="70" t="s">
        <v>74</v>
      </c>
      <c r="B13" s="38">
        <v>100</v>
      </c>
      <c r="C13" s="38">
        <v>85.094580697435262</v>
      </c>
      <c r="D13" s="38">
        <v>114.85867431206955</v>
      </c>
      <c r="E13" s="33"/>
      <c r="F13" s="38">
        <v>100</v>
      </c>
      <c r="G13" s="38">
        <v>74.359951940391795</v>
      </c>
      <c r="H13" s="38">
        <v>105.65332293196548</v>
      </c>
      <c r="I13" s="33"/>
      <c r="J13" s="38">
        <v>100</v>
      </c>
      <c r="K13" s="38">
        <v>114.43603509271834</v>
      </c>
      <c r="L13" s="38">
        <v>108.71278926648789</v>
      </c>
      <c r="M13" s="33"/>
      <c r="N13" s="38">
        <v>100</v>
      </c>
      <c r="O13" s="38">
        <v>87.38506181114893</v>
      </c>
      <c r="P13" s="38">
        <v>91.985497451334624</v>
      </c>
    </row>
    <row r="14" spans="1:16" ht="15" customHeight="1" x14ac:dyDescent="0.25">
      <c r="A14" s="70" t="s">
        <v>15</v>
      </c>
      <c r="B14" s="38">
        <v>100</v>
      </c>
      <c r="C14" s="38">
        <v>72.37660318694131</v>
      </c>
      <c r="D14" s="38">
        <v>86.789091851276069</v>
      </c>
      <c r="E14" s="33"/>
      <c r="F14" s="38">
        <v>100</v>
      </c>
      <c r="G14" s="38">
        <v>56.169575000482077</v>
      </c>
      <c r="H14" s="38">
        <v>80.499919270121865</v>
      </c>
      <c r="I14" s="33"/>
      <c r="J14" s="38">
        <v>100</v>
      </c>
      <c r="K14" s="38">
        <v>128.85374900258753</v>
      </c>
      <c r="L14" s="38">
        <v>107.81264458173001</v>
      </c>
      <c r="M14" s="33"/>
      <c r="N14" s="38">
        <v>100</v>
      </c>
      <c r="O14" s="38">
        <v>77.607365539664585</v>
      </c>
      <c r="P14" s="38">
        <v>92.753498801518191</v>
      </c>
    </row>
    <row r="15" spans="1:16" ht="30" customHeight="1" x14ac:dyDescent="0.25">
      <c r="A15" s="71" t="s">
        <v>18</v>
      </c>
      <c r="B15" s="114">
        <v>100</v>
      </c>
      <c r="C15" s="33">
        <v>91.177620060030023</v>
      </c>
      <c r="D15" s="33">
        <v>100.92780765382692</v>
      </c>
      <c r="E15" s="33"/>
      <c r="F15" s="38">
        <v>100</v>
      </c>
      <c r="G15" s="33">
        <v>92.463620492429925</v>
      </c>
      <c r="H15" s="33">
        <v>100.052256092929</v>
      </c>
      <c r="I15" s="33"/>
      <c r="J15" s="38">
        <v>100</v>
      </c>
      <c r="K15" s="33">
        <v>98.609182264818202</v>
      </c>
      <c r="L15" s="33">
        <v>100.87509427082256</v>
      </c>
      <c r="M15" s="33"/>
      <c r="N15" s="38">
        <v>100</v>
      </c>
      <c r="O15" s="33">
        <v>101.41043430564783</v>
      </c>
      <c r="P15" s="33">
        <v>99.13249719651003</v>
      </c>
    </row>
    <row r="16" spans="1:16" ht="15" customHeight="1" x14ac:dyDescent="0.25">
      <c r="A16" s="70"/>
      <c r="B16" s="38"/>
      <c r="C16" s="38"/>
      <c r="D16" s="38"/>
      <c r="E16" s="33"/>
      <c r="F16" s="38"/>
      <c r="G16" s="38"/>
      <c r="H16" s="38"/>
      <c r="I16" s="33"/>
      <c r="J16" s="38"/>
      <c r="K16" s="38"/>
      <c r="L16" s="38"/>
      <c r="M16" s="33"/>
      <c r="N16" s="38"/>
      <c r="O16" s="38"/>
      <c r="P16" s="38"/>
    </row>
    <row r="17" spans="1:16" ht="15" customHeight="1" x14ac:dyDescent="0.25">
      <c r="A17" s="95" t="s">
        <v>73</v>
      </c>
      <c r="B17" s="98">
        <v>100</v>
      </c>
      <c r="C17" s="98">
        <v>89.131143122639187</v>
      </c>
      <c r="D17" s="98">
        <v>100.77597338600353</v>
      </c>
      <c r="E17" s="115"/>
      <c r="F17" s="98">
        <v>100</v>
      </c>
      <c r="G17" s="98">
        <v>86.033263908969232</v>
      </c>
      <c r="H17" s="98">
        <v>100.95571226012707</v>
      </c>
      <c r="I17" s="115"/>
      <c r="J17" s="98">
        <v>100</v>
      </c>
      <c r="K17" s="98">
        <v>103.600792382988</v>
      </c>
      <c r="L17" s="98">
        <v>99.821962650651756</v>
      </c>
      <c r="M17" s="115"/>
      <c r="N17" s="98">
        <v>100</v>
      </c>
      <c r="O17" s="98">
        <v>96.524358260044451</v>
      </c>
      <c r="P17" s="98">
        <v>100.17835488766265</v>
      </c>
    </row>
    <row r="18" spans="1:16" ht="15" customHeight="1" x14ac:dyDescent="0.25">
      <c r="A18" s="72"/>
      <c r="B18" s="75"/>
      <c r="C18" s="37"/>
      <c r="D18" s="37"/>
      <c r="E18" s="37"/>
      <c r="F18" s="76"/>
      <c r="G18" s="37"/>
      <c r="H18" s="37"/>
      <c r="I18" s="37"/>
      <c r="J18" s="76"/>
      <c r="K18" s="37"/>
      <c r="L18" s="37"/>
      <c r="M18" s="37"/>
      <c r="N18" s="76"/>
      <c r="O18" s="37"/>
      <c r="P18" s="37"/>
    </row>
    <row r="19" spans="1:16" s="117" customFormat="1" ht="30" customHeight="1" x14ac:dyDescent="0.2">
      <c r="A19" s="144" t="s">
        <v>137</v>
      </c>
      <c r="B19" s="144"/>
      <c r="C19" s="144"/>
      <c r="D19" s="144"/>
      <c r="E19" s="144"/>
      <c r="F19" s="144"/>
      <c r="G19" s="144"/>
      <c r="H19" s="144"/>
      <c r="I19" s="144"/>
      <c r="J19" s="144"/>
      <c r="K19" s="144"/>
      <c r="L19" s="144"/>
      <c r="M19" s="144"/>
      <c r="N19" s="144"/>
      <c r="O19" s="144"/>
      <c r="P19" s="144"/>
    </row>
    <row r="20" spans="1:16" s="117" customFormat="1" ht="30" customHeight="1" x14ac:dyDescent="0.2">
      <c r="A20" s="143" t="s">
        <v>138</v>
      </c>
      <c r="B20" s="143"/>
      <c r="C20" s="143"/>
      <c r="D20" s="143"/>
      <c r="E20" s="143"/>
      <c r="F20" s="143"/>
      <c r="G20" s="143"/>
      <c r="H20" s="143"/>
      <c r="I20" s="143"/>
      <c r="J20" s="143"/>
      <c r="K20" s="143"/>
      <c r="L20" s="143"/>
      <c r="M20" s="143"/>
      <c r="N20" s="143"/>
      <c r="O20" s="143"/>
      <c r="P20" s="143"/>
    </row>
    <row r="21" spans="1:16" s="117" customFormat="1" ht="15" customHeight="1" x14ac:dyDescent="0.2">
      <c r="A21" s="143" t="s">
        <v>139</v>
      </c>
      <c r="B21" s="143"/>
      <c r="C21" s="143"/>
      <c r="D21" s="143"/>
      <c r="E21" s="143"/>
      <c r="F21" s="143"/>
      <c r="G21" s="143"/>
      <c r="H21" s="143"/>
      <c r="I21" s="143"/>
      <c r="J21" s="143"/>
      <c r="K21" s="143"/>
      <c r="L21" s="143"/>
      <c r="M21" s="143"/>
      <c r="N21" s="143"/>
      <c r="O21" s="143"/>
      <c r="P21" s="143"/>
    </row>
    <row r="22" spans="1:16" s="117" customFormat="1" ht="15" customHeight="1" x14ac:dyDescent="0.2">
      <c r="A22" s="120" t="s">
        <v>36</v>
      </c>
    </row>
    <row r="23" spans="1:16" x14ac:dyDescent="0.25">
      <c r="A23" s="78"/>
      <c r="B23" s="78"/>
      <c r="C23" s="78"/>
      <c r="D23" s="78"/>
      <c r="E23" s="78"/>
      <c r="F23" s="78"/>
      <c r="G23" s="78"/>
      <c r="H23" s="78"/>
      <c r="I23" s="78"/>
      <c r="J23" s="78"/>
      <c r="K23" s="78"/>
      <c r="L23" s="78"/>
      <c r="M23" s="78"/>
      <c r="N23" s="78"/>
      <c r="O23" s="78"/>
      <c r="P23" s="78"/>
    </row>
    <row r="24" spans="1:16" x14ac:dyDescent="0.25">
      <c r="A24" s="78"/>
      <c r="B24" s="78"/>
      <c r="C24" s="78"/>
      <c r="D24" s="78"/>
      <c r="E24" s="78"/>
      <c r="F24" s="78"/>
      <c r="G24" s="78"/>
      <c r="H24" s="78"/>
      <c r="I24" s="78"/>
      <c r="J24" s="78"/>
      <c r="K24" s="78"/>
      <c r="L24" s="78"/>
      <c r="M24" s="78"/>
      <c r="N24" s="78"/>
      <c r="O24" s="78"/>
      <c r="P24" s="78"/>
    </row>
    <row r="25" spans="1:16" x14ac:dyDescent="0.25">
      <c r="A25" s="78"/>
      <c r="B25" s="78"/>
      <c r="C25" s="78"/>
      <c r="D25" s="78"/>
      <c r="E25" s="78"/>
      <c r="F25" s="78"/>
      <c r="G25" s="78"/>
      <c r="H25" s="78"/>
      <c r="I25" s="78"/>
      <c r="J25" s="78"/>
      <c r="K25" s="78"/>
      <c r="L25" s="78"/>
      <c r="M25" s="78"/>
      <c r="N25" s="78"/>
      <c r="O25" s="78"/>
      <c r="P25" s="78"/>
    </row>
  </sheetData>
  <mergeCells count="8">
    <mergeCell ref="N5:P5"/>
    <mergeCell ref="A19:P19"/>
    <mergeCell ref="A20:P20"/>
    <mergeCell ref="A21:P21"/>
    <mergeCell ref="A5:A6"/>
    <mergeCell ref="B5:D5"/>
    <mergeCell ref="F5:H5"/>
    <mergeCell ref="J5:L5"/>
  </mergeCells>
  <pageMargins left="0.7" right="0.7" top="0.75" bottom="0.75" header="0.3" footer="0.3"/>
  <pageSetup paperSize="9" scale="50" orientation="landscape"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2492B-3726-4FAD-929F-2FD06791FB55}">
  <sheetPr>
    <tabColor rgb="FF0070C0"/>
  </sheetPr>
  <dimension ref="A1:P27"/>
  <sheetViews>
    <sheetView showGridLines="0" zoomScaleNormal="100" zoomScaleSheetLayoutView="70" workbookViewId="0">
      <selection activeCell="B7" sqref="B7"/>
    </sheetView>
  </sheetViews>
  <sheetFormatPr baseColWidth="10" defaultRowHeight="15" x14ac:dyDescent="0.25"/>
  <cols>
    <col min="1" max="1" width="42.85546875" customWidth="1"/>
    <col min="2" max="4" width="17" customWidth="1"/>
    <col min="5" max="5" width="4.140625" customWidth="1"/>
    <col min="6" max="8" width="17" customWidth="1"/>
    <col min="9" max="9" width="4.140625" customWidth="1"/>
    <col min="10" max="12" width="17" customWidth="1"/>
    <col min="13" max="13" width="4.140625" customWidth="1"/>
    <col min="14" max="16" width="17" customWidth="1"/>
  </cols>
  <sheetData>
    <row r="1" spans="1:16" ht="18.75" x14ac:dyDescent="0.25">
      <c r="A1" s="80" t="s">
        <v>91</v>
      </c>
    </row>
    <row r="2" spans="1:16" ht="18.75" x14ac:dyDescent="0.25">
      <c r="A2" s="80" t="s">
        <v>98</v>
      </c>
    </row>
    <row r="3" spans="1:16" x14ac:dyDescent="0.25">
      <c r="A3" s="39" t="s">
        <v>40</v>
      </c>
    </row>
    <row r="4" spans="1:16" x14ac:dyDescent="0.25">
      <c r="A4" s="81" t="s">
        <v>43</v>
      </c>
    </row>
    <row r="5" spans="1:16" ht="10.5" customHeight="1" x14ac:dyDescent="0.25"/>
    <row r="6" spans="1:16" ht="24.95" customHeight="1" x14ac:dyDescent="0.25">
      <c r="A6" s="145" t="s">
        <v>33</v>
      </c>
      <c r="B6" s="147" t="s">
        <v>39</v>
      </c>
      <c r="C6" s="148"/>
      <c r="D6" s="148"/>
      <c r="E6" s="30"/>
      <c r="F6" s="148" t="s">
        <v>55</v>
      </c>
      <c r="G6" s="148"/>
      <c r="H6" s="148"/>
      <c r="I6" s="30"/>
      <c r="J6" s="148" t="s">
        <v>58</v>
      </c>
      <c r="K6" s="148"/>
      <c r="L6" s="148"/>
      <c r="M6" s="30"/>
      <c r="N6" s="148" t="s">
        <v>57</v>
      </c>
      <c r="O6" s="148"/>
      <c r="P6" s="148"/>
    </row>
    <row r="7" spans="1:16" ht="24.95" customHeight="1" x14ac:dyDescent="0.25">
      <c r="A7" s="146"/>
      <c r="B7" s="27">
        <v>2019</v>
      </c>
      <c r="C7" s="27">
        <v>2020</v>
      </c>
      <c r="D7" s="27">
        <v>2021</v>
      </c>
      <c r="E7" s="29"/>
      <c r="F7" s="27">
        <v>2019</v>
      </c>
      <c r="G7" s="27">
        <v>2020</v>
      </c>
      <c r="H7" s="27">
        <v>2021</v>
      </c>
      <c r="I7" s="29"/>
      <c r="J7" s="27">
        <v>2019</v>
      </c>
      <c r="K7" s="27">
        <v>2020</v>
      </c>
      <c r="L7" s="27">
        <v>2021</v>
      </c>
      <c r="M7" s="29"/>
      <c r="N7" s="27">
        <v>2019</v>
      </c>
      <c r="O7" s="27">
        <v>2020</v>
      </c>
      <c r="P7" s="27">
        <v>2021</v>
      </c>
    </row>
    <row r="8" spans="1:16" ht="15" customHeight="1" x14ac:dyDescent="0.25">
      <c r="A8" s="108"/>
      <c r="B8" s="93"/>
      <c r="C8" s="93"/>
      <c r="D8" s="93"/>
      <c r="E8" s="109"/>
      <c r="F8" s="93"/>
      <c r="G8" s="93"/>
      <c r="H8" s="93"/>
      <c r="I8" s="109"/>
      <c r="J8" s="93"/>
      <c r="K8" s="93"/>
      <c r="L8" s="93"/>
      <c r="M8" s="109"/>
      <c r="N8" s="93"/>
      <c r="O8" s="93"/>
      <c r="P8" s="93"/>
    </row>
    <row r="9" spans="1:16" ht="15" customHeight="1" x14ac:dyDescent="0.25">
      <c r="A9" s="70" t="s">
        <v>34</v>
      </c>
      <c r="B9" s="31" t="s">
        <v>99</v>
      </c>
      <c r="C9" s="38">
        <v>0.96918252937636851</v>
      </c>
      <c r="D9" s="38">
        <v>5.3797170551146678</v>
      </c>
      <c r="E9" s="32"/>
      <c r="F9" s="31" t="s">
        <v>99</v>
      </c>
      <c r="G9" s="38">
        <v>-5.5733552195320613E-2</v>
      </c>
      <c r="H9" s="38">
        <v>4.0846448976650294</v>
      </c>
      <c r="I9" s="33"/>
      <c r="J9" s="31" t="s">
        <v>99</v>
      </c>
      <c r="K9" s="38">
        <v>1.0254876222508784</v>
      </c>
      <c r="L9" s="38">
        <v>1.2442490039937297</v>
      </c>
      <c r="M9" s="32"/>
      <c r="N9" s="31" t="s">
        <v>99</v>
      </c>
      <c r="O9" s="38">
        <v>-1.0150781217560905</v>
      </c>
      <c r="P9" s="38">
        <v>-1.2289577099284514</v>
      </c>
    </row>
    <row r="10" spans="1:16" ht="15" customHeight="1" x14ac:dyDescent="0.25">
      <c r="A10" s="70" t="s">
        <v>9</v>
      </c>
      <c r="B10" s="31" t="s">
        <v>99</v>
      </c>
      <c r="C10" s="38">
        <v>-13.633208594881694</v>
      </c>
      <c r="D10" s="38">
        <v>8.7041598965704026</v>
      </c>
      <c r="E10" s="32"/>
      <c r="F10" s="31" t="s">
        <v>99</v>
      </c>
      <c r="G10" s="38">
        <v>-13.062076632420059</v>
      </c>
      <c r="H10" s="38">
        <v>9.9003532464476507</v>
      </c>
      <c r="I10" s="33"/>
      <c r="J10" s="31" t="s">
        <v>99</v>
      </c>
      <c r="K10" s="38">
        <v>-0.65694226447858739</v>
      </c>
      <c r="L10" s="38">
        <v>-1.0884344904650334</v>
      </c>
      <c r="M10" s="32"/>
      <c r="N10" s="31" t="s">
        <v>99</v>
      </c>
      <c r="O10" s="38">
        <v>0.66128653521775504</v>
      </c>
      <c r="P10" s="38">
        <v>1.1004117515055469</v>
      </c>
    </row>
    <row r="11" spans="1:16" ht="15" customHeight="1" x14ac:dyDescent="0.25">
      <c r="A11" s="70" t="s">
        <v>75</v>
      </c>
      <c r="B11" s="31" t="s">
        <v>99</v>
      </c>
      <c r="C11" s="38">
        <v>-12.474361896080225</v>
      </c>
      <c r="D11" s="38">
        <v>18.533767290480057</v>
      </c>
      <c r="E11" s="32"/>
      <c r="F11" s="31" t="s">
        <v>99</v>
      </c>
      <c r="G11" s="38">
        <v>-26.448659674079039</v>
      </c>
      <c r="H11" s="38">
        <v>47.39501554638835</v>
      </c>
      <c r="I11" s="33"/>
      <c r="J11" s="31" t="s">
        <v>99</v>
      </c>
      <c r="K11" s="38">
        <v>18.999378823113005</v>
      </c>
      <c r="L11" s="38">
        <v>-19.580884841268613</v>
      </c>
      <c r="M11" s="32"/>
      <c r="N11" s="31" t="s">
        <v>99</v>
      </c>
      <c r="O11" s="38">
        <v>-15.965947899068198</v>
      </c>
      <c r="P11" s="38">
        <v>24.348545495209478</v>
      </c>
    </row>
    <row r="12" spans="1:16" ht="15" customHeight="1" x14ac:dyDescent="0.25">
      <c r="A12" s="71" t="s">
        <v>35</v>
      </c>
      <c r="B12" s="31" t="s">
        <v>99</v>
      </c>
      <c r="C12" s="38">
        <v>-8.045708955223887</v>
      </c>
      <c r="D12" s="38">
        <v>10.474258179051475</v>
      </c>
      <c r="E12" s="32"/>
      <c r="F12" s="31" t="s">
        <v>99</v>
      </c>
      <c r="G12" s="38">
        <v>-12.125704324902188</v>
      </c>
      <c r="H12" s="38">
        <v>16.147757035865212</v>
      </c>
      <c r="I12" s="33"/>
      <c r="J12" s="31" t="s">
        <v>99</v>
      </c>
      <c r="K12" s="38">
        <v>4.6429906929365217</v>
      </c>
      <c r="L12" s="38">
        <v>-4.8847252857942038</v>
      </c>
      <c r="M12" s="32"/>
      <c r="N12" s="31" t="s">
        <v>99</v>
      </c>
      <c r="O12" s="38">
        <v>-4.4369820302258631</v>
      </c>
      <c r="P12" s="38">
        <v>5.1355844794344705</v>
      </c>
    </row>
    <row r="13" spans="1:16" ht="30" customHeight="1" x14ac:dyDescent="0.25">
      <c r="A13" s="71" t="s">
        <v>14</v>
      </c>
      <c r="B13" s="31" t="s">
        <v>99</v>
      </c>
      <c r="C13" s="38">
        <v>1.456876456876472</v>
      </c>
      <c r="D13" s="38">
        <v>2.0103388856978768</v>
      </c>
      <c r="E13" s="32"/>
      <c r="F13" s="31" t="s">
        <v>99</v>
      </c>
      <c r="G13" s="38">
        <v>2.7888490311271426</v>
      </c>
      <c r="H13" s="38">
        <v>2.898706412612654</v>
      </c>
      <c r="I13" s="33"/>
      <c r="J13" s="31" t="s">
        <v>99</v>
      </c>
      <c r="K13" s="38">
        <v>-1.2958337278855367</v>
      </c>
      <c r="L13" s="38">
        <v>-0.86334178328006317</v>
      </c>
      <c r="M13" s="32"/>
      <c r="N13" s="31" t="s">
        <v>99</v>
      </c>
      <c r="O13" s="38">
        <v>1.3128460295313857</v>
      </c>
      <c r="P13" s="38">
        <v>0.87086028398570647</v>
      </c>
    </row>
    <row r="14" spans="1:16" ht="15" customHeight="1" x14ac:dyDescent="0.25">
      <c r="A14" s="70" t="s">
        <v>74</v>
      </c>
      <c r="B14" s="31" t="s">
        <v>99</v>
      </c>
      <c r="C14" s="38">
        <v>-14.905419302564738</v>
      </c>
      <c r="D14" s="38">
        <v>34.977660587416693</v>
      </c>
      <c r="E14" s="32"/>
      <c r="F14" s="31" t="s">
        <v>99</v>
      </c>
      <c r="G14" s="38">
        <v>-25.640048059608205</v>
      </c>
      <c r="H14" s="38">
        <v>42.083635310387223</v>
      </c>
      <c r="I14" s="33"/>
      <c r="J14" s="31" t="s">
        <v>99</v>
      </c>
      <c r="K14" s="38">
        <v>14.436035092718342</v>
      </c>
      <c r="L14" s="38">
        <v>-5.0012619028554894</v>
      </c>
      <c r="M14" s="32"/>
      <c r="N14" s="31" t="s">
        <v>99</v>
      </c>
      <c r="O14" s="38">
        <v>-12.61493818885107</v>
      </c>
      <c r="P14" s="38">
        <v>5.2645561436208226</v>
      </c>
    </row>
    <row r="15" spans="1:16" ht="15" customHeight="1" x14ac:dyDescent="0.25">
      <c r="A15" s="70" t="s">
        <v>15</v>
      </c>
      <c r="B15" s="31" t="s">
        <v>99</v>
      </c>
      <c r="C15" s="38">
        <v>-27.62339681305869</v>
      </c>
      <c r="D15" s="38">
        <v>19.91318745245448</v>
      </c>
      <c r="E15" s="32"/>
      <c r="F15" s="31" t="s">
        <v>99</v>
      </c>
      <c r="G15" s="38">
        <v>-43.830424999517923</v>
      </c>
      <c r="H15" s="38">
        <v>43.31587744687576</v>
      </c>
      <c r="I15" s="33"/>
      <c r="J15" s="31" t="s">
        <v>99</v>
      </c>
      <c r="K15" s="38">
        <v>28.853749002587534</v>
      </c>
      <c r="L15" s="38">
        <v>-16.329446821477404</v>
      </c>
      <c r="M15" s="32"/>
      <c r="N15" s="31" t="s">
        <v>99</v>
      </c>
      <c r="O15" s="38">
        <v>-22.392634460335415</v>
      </c>
      <c r="P15" s="38">
        <v>19.516360536826255</v>
      </c>
    </row>
    <row r="16" spans="1:16" ht="30" customHeight="1" x14ac:dyDescent="0.25">
      <c r="A16" s="71" t="s">
        <v>18</v>
      </c>
      <c r="B16" s="110" t="s">
        <v>99</v>
      </c>
      <c r="C16" s="33">
        <v>-8.8223799399699772</v>
      </c>
      <c r="D16" s="33">
        <v>10.693619319496946</v>
      </c>
      <c r="E16" s="32"/>
      <c r="F16" s="31" t="s">
        <v>99</v>
      </c>
      <c r="G16" s="33">
        <v>-7.536379507570075</v>
      </c>
      <c r="H16" s="33">
        <v>8.2071581883605518</v>
      </c>
      <c r="I16" s="33"/>
      <c r="J16" s="31" t="s">
        <v>99</v>
      </c>
      <c r="K16" s="33">
        <v>-1.3908177351817983</v>
      </c>
      <c r="L16" s="33">
        <v>2.2978712062728306</v>
      </c>
      <c r="M16" s="32"/>
      <c r="N16" s="31" t="s">
        <v>99</v>
      </c>
      <c r="O16" s="33">
        <v>1.4104343056478257</v>
      </c>
      <c r="P16" s="33">
        <v>-2.246255155827626</v>
      </c>
    </row>
    <row r="17" spans="1:16" ht="15" customHeight="1" x14ac:dyDescent="0.25">
      <c r="A17" s="70"/>
      <c r="B17" s="99"/>
      <c r="C17" s="38"/>
      <c r="D17" s="38"/>
      <c r="E17" s="32"/>
      <c r="F17" s="31"/>
      <c r="G17" s="38"/>
      <c r="H17" s="38"/>
      <c r="I17" s="33"/>
      <c r="J17" s="31"/>
      <c r="K17" s="38"/>
      <c r="L17" s="38"/>
      <c r="M17" s="32"/>
      <c r="N17" s="31"/>
      <c r="O17" s="38"/>
      <c r="P17" s="38"/>
    </row>
    <row r="18" spans="1:16" ht="15" customHeight="1" x14ac:dyDescent="0.25">
      <c r="A18" s="95" t="s">
        <v>73</v>
      </c>
      <c r="B18" s="96" t="s">
        <v>99</v>
      </c>
      <c r="C18" s="98">
        <v>-10.868856877360813</v>
      </c>
      <c r="D18" s="98">
        <v>13.06482768580868</v>
      </c>
      <c r="E18" s="111"/>
      <c r="F18" s="96" t="s">
        <v>99</v>
      </c>
      <c r="G18" s="98">
        <v>-13.966736091030768</v>
      </c>
      <c r="H18" s="98">
        <v>17.344975272526113</v>
      </c>
      <c r="I18" s="111"/>
      <c r="J18" s="96" t="s">
        <v>99</v>
      </c>
      <c r="K18" s="98">
        <v>3.6007923829878052</v>
      </c>
      <c r="L18" s="98">
        <v>-3.6474911488771369</v>
      </c>
      <c r="M18" s="111"/>
      <c r="N18" s="96" t="s">
        <v>99</v>
      </c>
      <c r="O18" s="98">
        <v>-3.4756417399555488</v>
      </c>
      <c r="P18" s="98">
        <v>3.7855694598601275</v>
      </c>
    </row>
    <row r="19" spans="1:16" ht="15" customHeight="1" x14ac:dyDescent="0.25">
      <c r="A19" s="72"/>
      <c r="B19" s="34"/>
      <c r="C19" s="37"/>
      <c r="D19" s="37"/>
      <c r="E19" s="35"/>
      <c r="F19" s="36"/>
      <c r="G19" s="37"/>
      <c r="H19" s="37"/>
      <c r="I19" s="37"/>
      <c r="J19" s="36"/>
      <c r="K19" s="37"/>
      <c r="L19" s="37"/>
      <c r="M19" s="35"/>
      <c r="N19" s="36"/>
      <c r="O19" s="37"/>
      <c r="P19" s="37"/>
    </row>
    <row r="20" spans="1:16" s="117" customFormat="1" ht="30" customHeight="1" x14ac:dyDescent="0.2">
      <c r="A20" s="144" t="s">
        <v>137</v>
      </c>
      <c r="B20" s="144"/>
      <c r="C20" s="144"/>
      <c r="D20" s="144"/>
      <c r="E20" s="144"/>
      <c r="F20" s="144"/>
      <c r="G20" s="144"/>
      <c r="H20" s="144"/>
      <c r="I20" s="144"/>
      <c r="J20" s="144"/>
      <c r="K20" s="144"/>
      <c r="L20" s="144"/>
      <c r="M20" s="144"/>
      <c r="N20" s="144"/>
      <c r="O20" s="144"/>
      <c r="P20" s="144"/>
    </row>
    <row r="21" spans="1:16" s="117" customFormat="1" ht="30" customHeight="1" x14ac:dyDescent="0.2">
      <c r="A21" s="143" t="s">
        <v>138</v>
      </c>
      <c r="B21" s="143"/>
      <c r="C21" s="143"/>
      <c r="D21" s="143"/>
      <c r="E21" s="143"/>
      <c r="F21" s="143"/>
      <c r="G21" s="143"/>
      <c r="H21" s="143"/>
      <c r="I21" s="143"/>
      <c r="J21" s="143"/>
      <c r="K21" s="143"/>
      <c r="L21" s="143"/>
      <c r="M21" s="143"/>
      <c r="N21" s="143"/>
      <c r="O21" s="143"/>
      <c r="P21" s="143"/>
    </row>
    <row r="22" spans="1:16" s="117" customFormat="1" ht="15" customHeight="1" x14ac:dyDescent="0.2">
      <c r="A22" s="143" t="s">
        <v>139</v>
      </c>
      <c r="B22" s="143"/>
      <c r="C22" s="143"/>
      <c r="D22" s="143"/>
      <c r="E22" s="143"/>
      <c r="F22" s="143"/>
      <c r="G22" s="143"/>
      <c r="H22" s="143"/>
      <c r="I22" s="143"/>
      <c r="J22" s="143"/>
      <c r="K22" s="143"/>
      <c r="L22" s="143"/>
      <c r="M22" s="143"/>
      <c r="N22" s="143"/>
      <c r="O22" s="143"/>
      <c r="P22" s="143"/>
    </row>
    <row r="23" spans="1:16" s="117" customFormat="1" ht="15" customHeight="1" x14ac:dyDescent="0.2">
      <c r="A23" s="120" t="s">
        <v>36</v>
      </c>
    </row>
    <row r="24" spans="1:16" x14ac:dyDescent="0.25">
      <c r="A24" s="78"/>
      <c r="B24" s="78"/>
      <c r="C24" s="78"/>
      <c r="D24" s="78"/>
      <c r="E24" s="78"/>
      <c r="F24" s="78"/>
      <c r="G24" s="78"/>
      <c r="H24" s="78"/>
      <c r="I24" s="78"/>
      <c r="J24" s="78"/>
      <c r="K24" s="78"/>
      <c r="L24" s="78"/>
      <c r="M24" s="78"/>
      <c r="N24" s="78"/>
      <c r="O24" s="78"/>
      <c r="P24" s="78"/>
    </row>
    <row r="25" spans="1:16" x14ac:dyDescent="0.25">
      <c r="A25" s="78"/>
      <c r="B25" s="78"/>
      <c r="C25" s="78"/>
      <c r="D25" s="78"/>
      <c r="E25" s="78"/>
      <c r="F25" s="78"/>
      <c r="G25" s="78"/>
      <c r="H25" s="78"/>
      <c r="I25" s="78"/>
      <c r="J25" s="78"/>
      <c r="K25" s="78"/>
      <c r="L25" s="78"/>
      <c r="M25" s="78"/>
      <c r="N25" s="78"/>
      <c r="O25" s="78"/>
      <c r="P25" s="78"/>
    </row>
    <row r="26" spans="1:16" x14ac:dyDescent="0.25">
      <c r="A26" s="78"/>
      <c r="B26" s="78"/>
      <c r="C26" s="78"/>
      <c r="D26" s="78"/>
      <c r="E26" s="78"/>
      <c r="F26" s="78"/>
      <c r="G26" s="78"/>
      <c r="H26" s="78"/>
      <c r="I26" s="78"/>
      <c r="J26" s="78"/>
      <c r="K26" s="78"/>
      <c r="L26" s="78"/>
      <c r="M26" s="78"/>
      <c r="N26" s="78"/>
      <c r="O26" s="78"/>
      <c r="P26" s="78"/>
    </row>
    <row r="27" spans="1:16" x14ac:dyDescent="0.25">
      <c r="A27" s="78"/>
      <c r="B27" s="78"/>
      <c r="C27" s="78"/>
      <c r="D27" s="78"/>
      <c r="E27" s="78"/>
      <c r="F27" s="78"/>
      <c r="G27" s="78"/>
      <c r="H27" s="78"/>
      <c r="I27" s="78"/>
      <c r="J27" s="78"/>
      <c r="K27" s="78"/>
      <c r="L27" s="78"/>
      <c r="M27" s="78"/>
      <c r="N27" s="78"/>
      <c r="O27" s="78"/>
      <c r="P27" s="78"/>
    </row>
  </sheetData>
  <mergeCells count="8">
    <mergeCell ref="A20:P20"/>
    <mergeCell ref="A21:P21"/>
    <mergeCell ref="A22:P22"/>
    <mergeCell ref="A6:A7"/>
    <mergeCell ref="B6:D6"/>
    <mergeCell ref="F6:H6"/>
    <mergeCell ref="J6:L6"/>
    <mergeCell ref="N6:P6"/>
  </mergeCells>
  <pageMargins left="0.7" right="0.7" top="0.75" bottom="0.75" header="0.3" footer="0.3"/>
  <pageSetup paperSize="9" scale="33" orientation="portrait"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03FCF-9166-4ABC-95D4-B8DC9C556CC5}">
  <sheetPr codeName="Hoja6">
    <tabColor rgb="FF0070C0"/>
    <pageSetUpPr fitToPage="1"/>
  </sheetPr>
  <dimension ref="A1:P29"/>
  <sheetViews>
    <sheetView showGridLines="0" zoomScaleNormal="100" workbookViewId="0">
      <selection activeCell="G13" sqref="G13"/>
    </sheetView>
  </sheetViews>
  <sheetFormatPr baseColWidth="10" defaultRowHeight="15" x14ac:dyDescent="0.25"/>
  <cols>
    <col min="1" max="1" width="42.85546875" customWidth="1"/>
    <col min="2" max="4" width="17" customWidth="1"/>
    <col min="5" max="5" width="4.140625" customWidth="1"/>
    <col min="6" max="8" width="17" customWidth="1"/>
    <col min="9" max="9" width="4.140625" customWidth="1"/>
    <col min="10" max="12" width="17" customWidth="1"/>
    <col min="13" max="13" width="4.140625" customWidth="1"/>
    <col min="14" max="16" width="17" customWidth="1"/>
  </cols>
  <sheetData>
    <row r="1" spans="1:16" ht="18.75" x14ac:dyDescent="0.25">
      <c r="A1" s="80" t="s">
        <v>92</v>
      </c>
    </row>
    <row r="2" spans="1:16" ht="18.75" x14ac:dyDescent="0.25">
      <c r="A2" s="80" t="s">
        <v>98</v>
      </c>
    </row>
    <row r="3" spans="1:16" x14ac:dyDescent="0.25">
      <c r="A3" s="39" t="s">
        <v>42</v>
      </c>
    </row>
    <row r="4" spans="1:16" x14ac:dyDescent="0.25">
      <c r="A4" s="81" t="s">
        <v>41</v>
      </c>
    </row>
    <row r="5" spans="1:16" ht="10.5" customHeight="1" x14ac:dyDescent="0.25"/>
    <row r="6" spans="1:16" ht="50.1" customHeight="1" x14ac:dyDescent="0.25">
      <c r="A6" s="145" t="s">
        <v>33</v>
      </c>
      <c r="B6" s="155" t="s">
        <v>38</v>
      </c>
      <c r="C6" s="156"/>
      <c r="D6" s="156"/>
      <c r="E6" s="30"/>
      <c r="F6" s="156" t="s">
        <v>59</v>
      </c>
      <c r="G6" s="156"/>
      <c r="H6" s="156"/>
      <c r="I6" s="30"/>
      <c r="J6" s="156" t="s">
        <v>118</v>
      </c>
      <c r="K6" s="156"/>
      <c r="L6" s="156"/>
      <c r="M6" s="30"/>
      <c r="N6" s="156" t="s">
        <v>60</v>
      </c>
      <c r="O6" s="156"/>
      <c r="P6" s="156"/>
    </row>
    <row r="7" spans="1:16" ht="24.95" customHeight="1" x14ac:dyDescent="0.25">
      <c r="A7" s="146"/>
      <c r="B7" s="27">
        <v>2019</v>
      </c>
      <c r="C7" s="27">
        <v>2020</v>
      </c>
      <c r="D7" s="27">
        <v>2021</v>
      </c>
      <c r="E7" s="29"/>
      <c r="F7" s="27">
        <v>2019</v>
      </c>
      <c r="G7" s="27">
        <v>2020</v>
      </c>
      <c r="H7" s="27">
        <v>2021</v>
      </c>
      <c r="I7" s="29"/>
      <c r="J7" s="27">
        <v>2019</v>
      </c>
      <c r="K7" s="27">
        <v>2020</v>
      </c>
      <c r="L7" s="27">
        <v>2021</v>
      </c>
      <c r="M7" s="29"/>
      <c r="N7" s="27">
        <v>2019</v>
      </c>
      <c r="O7" s="27">
        <v>2020</v>
      </c>
      <c r="P7" s="27">
        <v>2021</v>
      </c>
    </row>
    <row r="8" spans="1:16" s="86" customFormat="1" ht="15" customHeight="1" x14ac:dyDescent="0.25">
      <c r="A8" s="108"/>
      <c r="B8" s="93"/>
      <c r="C8" s="93"/>
      <c r="D8" s="93"/>
      <c r="E8" s="109"/>
      <c r="F8" s="93"/>
      <c r="G8" s="93"/>
      <c r="H8" s="93"/>
      <c r="I8" s="109"/>
      <c r="J8" s="93"/>
      <c r="K8" s="93"/>
      <c r="L8" s="93"/>
      <c r="M8" s="109"/>
      <c r="N8" s="93"/>
      <c r="O8" s="93"/>
      <c r="P8" s="93"/>
    </row>
    <row r="9" spans="1:16" ht="15" customHeight="1" x14ac:dyDescent="0.25">
      <c r="A9" s="70" t="s">
        <v>34</v>
      </c>
      <c r="B9" s="31">
        <v>52219</v>
      </c>
      <c r="C9" s="31">
        <v>54313</v>
      </c>
      <c r="D9" s="31">
        <v>62557</v>
      </c>
      <c r="E9" s="32"/>
      <c r="F9" s="31">
        <v>29890205.359514724</v>
      </c>
      <c r="G9" s="31">
        <v>29873546.486309394</v>
      </c>
      <c r="H9" s="31">
        <v>31093774.778614022</v>
      </c>
      <c r="I9" s="33"/>
      <c r="J9" s="32">
        <v>1747.0271405605288</v>
      </c>
      <c r="K9" s="32">
        <v>1818.0968243891245</v>
      </c>
      <c r="L9" s="32">
        <v>2011.8818138165091</v>
      </c>
      <c r="M9" s="32"/>
      <c r="N9" s="32">
        <v>572.40095290056729</v>
      </c>
      <c r="O9" s="32">
        <v>550.0257118242298</v>
      </c>
      <c r="P9" s="32">
        <v>497.04708951218925</v>
      </c>
    </row>
    <row r="10" spans="1:16" ht="15" customHeight="1" x14ac:dyDescent="0.25">
      <c r="A10" s="70" t="s">
        <v>9</v>
      </c>
      <c r="B10" s="31">
        <v>63036</v>
      </c>
      <c r="C10" s="31">
        <v>59839</v>
      </c>
      <c r="D10" s="31">
        <v>120605</v>
      </c>
      <c r="E10" s="32"/>
      <c r="F10" s="31">
        <v>8907518.3397428934</v>
      </c>
      <c r="G10" s="31">
        <v>7744011.4681588057</v>
      </c>
      <c r="H10" s="31">
        <v>8510695.9589519445</v>
      </c>
      <c r="I10" s="33"/>
      <c r="J10" s="32">
        <v>7076.7185197644476</v>
      </c>
      <c r="K10" s="32">
        <v>7727.1321518622635</v>
      </c>
      <c r="L10" s="32">
        <v>14170.991489026474</v>
      </c>
      <c r="M10" s="32"/>
      <c r="N10" s="32">
        <v>141.30843232030733</v>
      </c>
      <c r="O10" s="32">
        <v>129.41411902202253</v>
      </c>
      <c r="P10" s="32">
        <v>70.566692582827784</v>
      </c>
    </row>
    <row r="11" spans="1:16" ht="15" customHeight="1" x14ac:dyDescent="0.25">
      <c r="A11" s="70" t="s">
        <v>75</v>
      </c>
      <c r="B11" s="31">
        <v>97910</v>
      </c>
      <c r="C11" s="31">
        <v>86248</v>
      </c>
      <c r="D11" s="31">
        <v>105972</v>
      </c>
      <c r="E11" s="32"/>
      <c r="F11" s="31">
        <v>18107444.144605085</v>
      </c>
      <c r="G11" s="31">
        <v>13318267.867124535</v>
      </c>
      <c r="H11" s="31">
        <v>19630462.993257854</v>
      </c>
      <c r="I11" s="33"/>
      <c r="J11" s="32">
        <v>5407.168411957864</v>
      </c>
      <c r="K11" s="32">
        <v>6475.9172033848927</v>
      </c>
      <c r="L11" s="32">
        <v>5398.3444015760824</v>
      </c>
      <c r="M11" s="32"/>
      <c r="N11" s="32">
        <v>184.9396807742323</v>
      </c>
      <c r="O11" s="32">
        <v>154.41828062244383</v>
      </c>
      <c r="P11" s="32">
        <v>185.24197894970231</v>
      </c>
    </row>
    <row r="12" spans="1:16" ht="15" customHeight="1" x14ac:dyDescent="0.25">
      <c r="A12" s="71" t="s">
        <v>35</v>
      </c>
      <c r="B12" s="31">
        <v>16677</v>
      </c>
      <c r="C12" s="31">
        <v>16431</v>
      </c>
      <c r="D12" s="31">
        <v>17252</v>
      </c>
      <c r="E12" s="32"/>
      <c r="F12" s="31">
        <v>11707409.549069189</v>
      </c>
      <c r="G12" s="31">
        <v>10287803.683043694</v>
      </c>
      <c r="H12" s="31">
        <v>11949053.226108383</v>
      </c>
      <c r="I12" s="33"/>
      <c r="J12" s="32">
        <v>1424.482498036974</v>
      </c>
      <c r="K12" s="32">
        <v>1597.1338981790147</v>
      </c>
      <c r="L12" s="32">
        <v>1443.7963973835861</v>
      </c>
      <c r="M12" s="32"/>
      <c r="N12" s="32">
        <v>702.00932716131126</v>
      </c>
      <c r="O12" s="32">
        <v>626.12158012559757</v>
      </c>
      <c r="P12" s="32">
        <v>692.61843415884437</v>
      </c>
    </row>
    <row r="13" spans="1:16" ht="30" customHeight="1" x14ac:dyDescent="0.25">
      <c r="A13" s="71" t="s">
        <v>14</v>
      </c>
      <c r="B13" s="31">
        <v>3247</v>
      </c>
      <c r="C13" s="31">
        <v>3333</v>
      </c>
      <c r="D13" s="31">
        <v>3631</v>
      </c>
      <c r="E13" s="32"/>
      <c r="F13" s="31">
        <v>9401193.181668682</v>
      </c>
      <c r="G13" s="31">
        <v>9663378.2666300405</v>
      </c>
      <c r="H13" s="31">
        <v>9943491.232119862</v>
      </c>
      <c r="I13" s="33"/>
      <c r="J13" s="32">
        <v>345.38169115929895</v>
      </c>
      <c r="K13" s="32">
        <v>344.91043484343845</v>
      </c>
      <c r="L13" s="32">
        <v>365.16349391157496</v>
      </c>
      <c r="M13" s="32"/>
      <c r="N13" s="32">
        <v>2895.3474535474843</v>
      </c>
      <c r="O13" s="32">
        <v>2899.3034103300452</v>
      </c>
      <c r="P13" s="32">
        <v>2738.4993754116945</v>
      </c>
    </row>
    <row r="14" spans="1:16" ht="15" customHeight="1" x14ac:dyDescent="0.25">
      <c r="A14" s="70" t="s">
        <v>74</v>
      </c>
      <c r="B14" s="31">
        <v>51148</v>
      </c>
      <c r="C14" s="31">
        <v>47571</v>
      </c>
      <c r="D14" s="31">
        <v>66423</v>
      </c>
      <c r="E14" s="32"/>
      <c r="F14" s="31">
        <v>2564247.4293109337</v>
      </c>
      <c r="G14" s="31">
        <v>1906773.1560683425</v>
      </c>
      <c r="H14" s="31">
        <v>2709212.6172645041</v>
      </c>
      <c r="I14" s="33"/>
      <c r="J14" s="32">
        <v>19946.593068729147</v>
      </c>
      <c r="K14" s="32">
        <v>24948.431777846446</v>
      </c>
      <c r="L14" s="32">
        <v>24517.45557979403</v>
      </c>
      <c r="M14" s="32"/>
      <c r="N14" s="32">
        <v>50.133874820343586</v>
      </c>
      <c r="O14" s="32">
        <v>40.08267970125376</v>
      </c>
      <c r="P14" s="32">
        <v>40.787266718824867</v>
      </c>
    </row>
    <row r="15" spans="1:16" ht="15" customHeight="1" x14ac:dyDescent="0.25">
      <c r="A15" s="70" t="s">
        <v>15</v>
      </c>
      <c r="B15" s="31">
        <v>47731</v>
      </c>
      <c r="C15" s="31">
        <v>41708</v>
      </c>
      <c r="D15" s="31">
        <v>44904</v>
      </c>
      <c r="E15" s="32"/>
      <c r="F15" s="31">
        <v>12072613.692970941</v>
      </c>
      <c r="G15" s="31">
        <v>6781135.8027917817</v>
      </c>
      <c r="H15" s="31">
        <v>9718444.2766352855</v>
      </c>
      <c r="I15" s="33"/>
      <c r="J15" s="32">
        <v>3953.6591838261593</v>
      </c>
      <c r="K15" s="32">
        <v>6150.5920561020012</v>
      </c>
      <c r="L15" s="32">
        <v>4620.4926140242924</v>
      </c>
      <c r="M15" s="32"/>
      <c r="N15" s="32">
        <v>252.93024853807674</v>
      </c>
      <c r="O15" s="32">
        <v>162.5859739808138</v>
      </c>
      <c r="P15" s="32">
        <v>216.42713960082142</v>
      </c>
    </row>
    <row r="16" spans="1:16" ht="30" customHeight="1" x14ac:dyDescent="0.25">
      <c r="A16" s="71" t="s">
        <v>18</v>
      </c>
      <c r="B16" s="110">
        <v>366724</v>
      </c>
      <c r="C16" s="32">
        <v>339751</v>
      </c>
      <c r="D16" s="32">
        <v>382870</v>
      </c>
      <c r="E16" s="32"/>
      <c r="F16" s="31">
        <v>2106348.9904706357</v>
      </c>
      <c r="G16" s="31">
        <v>1947606.5367948976</v>
      </c>
      <c r="H16" s="31">
        <v>2107449.6861565053</v>
      </c>
      <c r="I16" s="33"/>
      <c r="J16" s="32">
        <v>174104.10224473788</v>
      </c>
      <c r="K16" s="32">
        <v>174445.39930489007</v>
      </c>
      <c r="L16" s="32">
        <v>181674.56263132204</v>
      </c>
      <c r="M16" s="32"/>
      <c r="N16" s="32">
        <v>5.7436900515663982</v>
      </c>
      <c r="O16" s="32">
        <v>5.7324526985789523</v>
      </c>
      <c r="P16" s="32">
        <v>5.5043479148444776</v>
      </c>
    </row>
    <row r="17" spans="1:16" ht="15" customHeight="1" x14ac:dyDescent="0.25">
      <c r="A17" s="70"/>
      <c r="B17" s="99"/>
      <c r="C17" s="31"/>
      <c r="D17" s="31"/>
      <c r="E17" s="32"/>
      <c r="F17" s="31"/>
      <c r="G17" s="31"/>
      <c r="H17" s="31"/>
      <c r="I17" s="33"/>
      <c r="J17" s="32"/>
      <c r="K17" s="32"/>
      <c r="L17" s="32"/>
      <c r="M17" s="32"/>
      <c r="N17" s="32"/>
      <c r="O17" s="32"/>
      <c r="P17" s="32"/>
    </row>
    <row r="18" spans="1:16" ht="15" customHeight="1" x14ac:dyDescent="0.25">
      <c r="A18" s="95" t="s">
        <v>73</v>
      </c>
      <c r="B18" s="96">
        <v>698692</v>
      </c>
      <c r="C18" s="96">
        <v>649194</v>
      </c>
      <c r="D18" s="96">
        <v>804214</v>
      </c>
      <c r="E18" s="111"/>
      <c r="F18" s="96">
        <v>94756980.687353089</v>
      </c>
      <c r="G18" s="96">
        <v>81522523.26692149</v>
      </c>
      <c r="H18" s="96">
        <v>95662584.76910837</v>
      </c>
      <c r="I18" s="111"/>
      <c r="J18" s="112">
        <v>7373.5148052606983</v>
      </c>
      <c r="K18" s="112">
        <v>7963.3698024091509</v>
      </c>
      <c r="L18" s="112">
        <v>8406.7768181369374</v>
      </c>
      <c r="M18" s="111"/>
      <c r="N18" s="112">
        <v>135.62053191871826</v>
      </c>
      <c r="O18" s="112">
        <v>125.57497953912312</v>
      </c>
      <c r="P18" s="112">
        <v>118.95165312853092</v>
      </c>
    </row>
    <row r="19" spans="1:16" ht="15" customHeight="1" x14ac:dyDescent="0.25">
      <c r="A19" s="72"/>
      <c r="B19" s="34"/>
      <c r="C19" s="35"/>
      <c r="D19" s="35"/>
      <c r="E19" s="35"/>
      <c r="F19" s="36"/>
      <c r="G19" s="36"/>
      <c r="H19" s="36"/>
      <c r="I19" s="37"/>
      <c r="J19" s="35"/>
      <c r="K19" s="35"/>
      <c r="L19" s="35"/>
      <c r="M19" s="35"/>
      <c r="N19" s="35"/>
      <c r="O19" s="35"/>
      <c r="P19" s="35"/>
    </row>
    <row r="20" spans="1:16" s="117" customFormat="1" ht="30" customHeight="1" x14ac:dyDescent="0.2">
      <c r="A20" s="144" t="s">
        <v>137</v>
      </c>
      <c r="B20" s="144"/>
      <c r="C20" s="144"/>
      <c r="D20" s="144"/>
      <c r="E20" s="144"/>
      <c r="F20" s="144"/>
      <c r="G20" s="144"/>
      <c r="H20" s="144"/>
      <c r="I20" s="144"/>
      <c r="J20" s="144"/>
      <c r="K20" s="144"/>
      <c r="L20" s="144"/>
      <c r="M20" s="144"/>
      <c r="N20" s="144"/>
      <c r="O20" s="144"/>
      <c r="P20" s="144"/>
    </row>
    <row r="21" spans="1:16" s="117" customFormat="1" ht="30" customHeight="1" x14ac:dyDescent="0.2">
      <c r="A21" s="143" t="s">
        <v>138</v>
      </c>
      <c r="B21" s="143"/>
      <c r="C21" s="143"/>
      <c r="D21" s="143"/>
      <c r="E21" s="143"/>
      <c r="F21" s="143"/>
      <c r="G21" s="143"/>
      <c r="H21" s="143"/>
      <c r="I21" s="143"/>
      <c r="J21" s="143"/>
      <c r="K21" s="143"/>
      <c r="L21" s="143"/>
      <c r="M21" s="143"/>
      <c r="N21" s="143"/>
      <c r="O21" s="143"/>
      <c r="P21" s="143"/>
    </row>
    <row r="22" spans="1:16" s="117" customFormat="1" ht="15" customHeight="1" x14ac:dyDescent="0.2">
      <c r="A22" s="143" t="s">
        <v>139</v>
      </c>
      <c r="B22" s="143"/>
      <c r="C22" s="143"/>
      <c r="D22" s="143"/>
      <c r="E22" s="143"/>
      <c r="F22" s="143"/>
      <c r="G22" s="143"/>
      <c r="H22" s="143"/>
      <c r="I22" s="143"/>
      <c r="J22" s="143"/>
      <c r="K22" s="143"/>
      <c r="L22" s="143"/>
      <c r="M22" s="143"/>
      <c r="N22" s="143"/>
      <c r="O22" s="143"/>
      <c r="P22" s="143"/>
    </row>
    <row r="23" spans="1:16" s="117" customFormat="1" ht="15" customHeight="1" x14ac:dyDescent="0.2">
      <c r="A23" s="120" t="s">
        <v>36</v>
      </c>
    </row>
    <row r="24" spans="1:16" x14ac:dyDescent="0.25">
      <c r="A24" s="78"/>
      <c r="B24" s="78"/>
      <c r="C24" s="78"/>
      <c r="D24" s="78"/>
      <c r="E24" s="78"/>
      <c r="F24" s="78"/>
      <c r="G24" s="78"/>
      <c r="H24" s="78"/>
      <c r="I24" s="78"/>
      <c r="J24" s="78"/>
      <c r="K24" s="78"/>
      <c r="L24" s="78"/>
      <c r="M24" s="78"/>
      <c r="N24" s="78"/>
      <c r="O24" s="78"/>
      <c r="P24" s="78"/>
    </row>
    <row r="25" spans="1:16" x14ac:dyDescent="0.25">
      <c r="A25" s="78"/>
      <c r="B25" s="78"/>
      <c r="C25" s="78"/>
      <c r="D25" s="78"/>
      <c r="E25" s="78"/>
      <c r="F25" s="78"/>
      <c r="G25" s="78"/>
      <c r="H25" s="78"/>
      <c r="I25" s="78"/>
      <c r="J25" s="78"/>
      <c r="K25" s="78"/>
      <c r="L25" s="78"/>
      <c r="M25" s="78"/>
      <c r="N25" s="78"/>
      <c r="O25" s="78"/>
      <c r="P25" s="78"/>
    </row>
    <row r="26" spans="1:16" x14ac:dyDescent="0.25">
      <c r="A26" s="78"/>
      <c r="B26" s="78"/>
      <c r="C26" s="78"/>
      <c r="D26" s="78"/>
      <c r="E26" s="78"/>
      <c r="F26" s="78"/>
      <c r="G26" s="78"/>
      <c r="H26" s="78"/>
      <c r="I26" s="78"/>
      <c r="J26" s="78"/>
      <c r="K26" s="78"/>
      <c r="L26" s="78"/>
      <c r="M26" s="78"/>
      <c r="N26" s="78"/>
      <c r="O26" s="78"/>
      <c r="P26" s="78"/>
    </row>
    <row r="27" spans="1:16" x14ac:dyDescent="0.25">
      <c r="A27" s="78"/>
      <c r="B27" s="78"/>
      <c r="C27" s="78"/>
      <c r="D27" s="78"/>
      <c r="E27" s="78"/>
      <c r="F27" s="78"/>
      <c r="G27" s="78"/>
      <c r="H27" s="78"/>
      <c r="I27" s="78"/>
      <c r="J27" s="78"/>
      <c r="K27" s="78"/>
      <c r="L27" s="78"/>
      <c r="M27" s="78"/>
      <c r="N27" s="78"/>
      <c r="O27" s="78"/>
      <c r="P27" s="78"/>
    </row>
    <row r="28" spans="1:16" x14ac:dyDescent="0.25">
      <c r="A28" s="78"/>
      <c r="B28" s="78"/>
      <c r="C28" s="78"/>
      <c r="D28" s="78"/>
      <c r="E28" s="78"/>
      <c r="F28" s="78"/>
      <c r="G28" s="78"/>
      <c r="H28" s="78"/>
      <c r="I28" s="78"/>
      <c r="J28" s="78"/>
      <c r="K28" s="78"/>
      <c r="L28" s="78"/>
      <c r="M28" s="78"/>
      <c r="N28" s="78"/>
      <c r="O28" s="78"/>
      <c r="P28" s="78"/>
    </row>
    <row r="29" spans="1:16" x14ac:dyDescent="0.25">
      <c r="A29" s="78"/>
      <c r="B29" s="78"/>
      <c r="C29" s="78"/>
      <c r="D29" s="78"/>
      <c r="E29" s="78"/>
      <c r="F29" s="78"/>
      <c r="G29" s="78"/>
      <c r="H29" s="78"/>
      <c r="I29" s="78"/>
      <c r="J29" s="78"/>
      <c r="K29" s="78"/>
      <c r="L29" s="78"/>
      <c r="M29" s="78"/>
      <c r="N29" s="78"/>
      <c r="O29" s="78"/>
      <c r="P29" s="78"/>
    </row>
  </sheetData>
  <mergeCells count="8">
    <mergeCell ref="A22:P22"/>
    <mergeCell ref="A20:P20"/>
    <mergeCell ref="A21:P21"/>
    <mergeCell ref="A6:A7"/>
    <mergeCell ref="B6:D6"/>
    <mergeCell ref="F6:H6"/>
    <mergeCell ref="J6:L6"/>
    <mergeCell ref="N6:P6"/>
  </mergeCells>
  <pageMargins left="0.7" right="0.7" top="0.75" bottom="0.75" header="0.3" footer="0.3"/>
  <pageSetup paperSize="9" scale="50" orientation="landscape"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34D2D-600E-4E50-B7C5-23A66255BFCB}">
  <sheetPr>
    <tabColor rgb="FF0070C0"/>
  </sheetPr>
  <dimension ref="A1:P27"/>
  <sheetViews>
    <sheetView showGridLines="0" zoomScaleNormal="100" workbookViewId="0">
      <selection activeCell="O14" sqref="O14"/>
    </sheetView>
  </sheetViews>
  <sheetFormatPr baseColWidth="10" defaultRowHeight="15" x14ac:dyDescent="0.25"/>
  <cols>
    <col min="1" max="1" width="42.85546875" customWidth="1"/>
    <col min="2" max="4" width="17" customWidth="1"/>
    <col min="5" max="5" width="4.140625" customWidth="1"/>
    <col min="6" max="8" width="17" customWidth="1"/>
    <col min="9" max="9" width="4.140625" customWidth="1"/>
    <col min="11" max="11" width="12.28515625" customWidth="1"/>
    <col min="12" max="12" width="14.42578125" customWidth="1"/>
    <col min="13" max="13" width="4.140625" customWidth="1"/>
    <col min="14" max="14" width="9.5703125" customWidth="1"/>
    <col min="15" max="15" width="14.42578125" customWidth="1"/>
  </cols>
  <sheetData>
    <row r="1" spans="1:8" ht="18.75" x14ac:dyDescent="0.25">
      <c r="A1" s="80" t="s">
        <v>93</v>
      </c>
    </row>
    <row r="2" spans="1:8" ht="18.75" x14ac:dyDescent="0.25">
      <c r="A2" s="80" t="s">
        <v>98</v>
      </c>
    </row>
    <row r="3" spans="1:8" x14ac:dyDescent="0.25">
      <c r="A3" s="39" t="s">
        <v>42</v>
      </c>
    </row>
    <row r="4" spans="1:8" x14ac:dyDescent="0.25">
      <c r="A4" s="81" t="s">
        <v>72</v>
      </c>
    </row>
    <row r="5" spans="1:8" ht="10.5" customHeight="1" x14ac:dyDescent="0.25"/>
    <row r="6" spans="1:8" ht="24.95" customHeight="1" x14ac:dyDescent="0.25">
      <c r="A6" s="145" t="s">
        <v>33</v>
      </c>
      <c r="B6" s="147" t="s">
        <v>39</v>
      </c>
      <c r="C6" s="148"/>
      <c r="D6" s="148"/>
      <c r="E6" s="30"/>
      <c r="F6" s="148" t="s">
        <v>55</v>
      </c>
      <c r="G6" s="148"/>
      <c r="H6" s="148"/>
    </row>
    <row r="7" spans="1:8" ht="24.95" customHeight="1" x14ac:dyDescent="0.25">
      <c r="A7" s="146"/>
      <c r="B7" s="27">
        <v>2019</v>
      </c>
      <c r="C7" s="27">
        <v>2020</v>
      </c>
      <c r="D7" s="27">
        <v>2021</v>
      </c>
      <c r="E7" s="29"/>
      <c r="F7" s="27">
        <v>2019</v>
      </c>
      <c r="G7" s="27">
        <v>2020</v>
      </c>
      <c r="H7" s="27">
        <v>2021</v>
      </c>
    </row>
    <row r="8" spans="1:8" s="86" customFormat="1" ht="15" customHeight="1" x14ac:dyDescent="0.25">
      <c r="A8" s="108"/>
      <c r="B8" s="93"/>
      <c r="C8" s="93"/>
      <c r="D8" s="93"/>
      <c r="E8" s="109"/>
      <c r="F8" s="93"/>
      <c r="G8" s="93"/>
      <c r="H8" s="93"/>
    </row>
    <row r="9" spans="1:8" ht="15" customHeight="1" x14ac:dyDescent="0.25">
      <c r="A9" s="70" t="s">
        <v>34</v>
      </c>
      <c r="B9" s="38">
        <v>7.4738225140691465</v>
      </c>
      <c r="C9" s="38">
        <v>8.3662202669772068</v>
      </c>
      <c r="D9" s="38">
        <v>7.7786509560888017</v>
      </c>
      <c r="E9" s="32"/>
      <c r="F9" s="38">
        <v>31.544066877918237</v>
      </c>
      <c r="G9" s="38">
        <v>36.644531215621562</v>
      </c>
      <c r="H9" s="38">
        <v>32.503590461894888</v>
      </c>
    </row>
    <row r="10" spans="1:8" ht="15" customHeight="1" x14ac:dyDescent="0.25">
      <c r="A10" s="70" t="s">
        <v>9</v>
      </c>
      <c r="B10" s="38">
        <v>9.0220011106467517</v>
      </c>
      <c r="C10" s="38">
        <v>9.2174296127197728</v>
      </c>
      <c r="D10" s="38">
        <v>14.996630250157297</v>
      </c>
      <c r="E10" s="32"/>
      <c r="F10" s="38">
        <v>9.4003821936168457</v>
      </c>
      <c r="G10" s="38">
        <v>9.4992293636487695</v>
      </c>
      <c r="H10" s="38">
        <v>8.8965774649445208</v>
      </c>
    </row>
    <row r="11" spans="1:8" ht="15" customHeight="1" x14ac:dyDescent="0.25">
      <c r="A11" s="70" t="s">
        <v>75</v>
      </c>
      <c r="B11" s="38">
        <v>14.013327761016301</v>
      </c>
      <c r="C11" s="38">
        <v>13.285396969164843</v>
      </c>
      <c r="D11" s="38">
        <v>13.177089680110022</v>
      </c>
      <c r="E11" s="32"/>
      <c r="F11" s="38">
        <v>19.109351114035473</v>
      </c>
      <c r="G11" s="38">
        <v>16.336918109756969</v>
      </c>
      <c r="H11" s="38">
        <v>20.520523296164352</v>
      </c>
    </row>
    <row r="12" spans="1:8" ht="15" customHeight="1" x14ac:dyDescent="0.25">
      <c r="A12" s="71" t="s">
        <v>35</v>
      </c>
      <c r="B12" s="38">
        <v>2.3868886433507179</v>
      </c>
      <c r="C12" s="38">
        <v>2.5309845747188051</v>
      </c>
      <c r="D12" s="38">
        <v>2.1452001581668561</v>
      </c>
      <c r="E12" s="32"/>
      <c r="F12" s="38">
        <v>12.355194798468013</v>
      </c>
      <c r="G12" s="38">
        <v>12.619584466686968</v>
      </c>
      <c r="H12" s="38">
        <v>12.490832497311953</v>
      </c>
    </row>
    <row r="13" spans="1:8" ht="30" customHeight="1" x14ac:dyDescent="0.25">
      <c r="A13" s="71" t="s">
        <v>14</v>
      </c>
      <c r="B13" s="38">
        <v>0.46472551567786669</v>
      </c>
      <c r="C13" s="38">
        <v>0.51340585402822581</v>
      </c>
      <c r="D13" s="38">
        <v>0.45149674091721859</v>
      </c>
      <c r="E13" s="32"/>
      <c r="F13" s="38">
        <v>9.9213726666614122</v>
      </c>
      <c r="G13" s="38">
        <v>11.853629990070541</v>
      </c>
      <c r="H13" s="38">
        <v>10.394336778709791</v>
      </c>
    </row>
    <row r="14" spans="1:8" ht="15" customHeight="1" x14ac:dyDescent="0.25">
      <c r="A14" s="70" t="s">
        <v>74</v>
      </c>
      <c r="B14" s="38">
        <v>7.3205360874319449</v>
      </c>
      <c r="C14" s="38">
        <v>7.327701734766495</v>
      </c>
      <c r="D14" s="38">
        <v>8.2593687749778049</v>
      </c>
      <c r="E14" s="32"/>
      <c r="F14" s="38">
        <v>2.7061303670824701</v>
      </c>
      <c r="G14" s="38">
        <v>2.3389525736650416</v>
      </c>
      <c r="H14" s="38">
        <v>2.8320504027812667</v>
      </c>
    </row>
    <row r="15" spans="1:8" ht="15" customHeight="1" x14ac:dyDescent="0.25">
      <c r="A15" s="70" t="s">
        <v>15</v>
      </c>
      <c r="B15" s="38">
        <v>6.831479392922776</v>
      </c>
      <c r="C15" s="38">
        <v>6.424581866129385</v>
      </c>
      <c r="D15" s="38">
        <v>5.5835884478509445</v>
      </c>
      <c r="E15" s="32"/>
      <c r="F15" s="38">
        <v>12.740606133076415</v>
      </c>
      <c r="G15" s="38">
        <v>8.3181132416485077</v>
      </c>
      <c r="H15" s="38">
        <v>10.159086021030861</v>
      </c>
    </row>
    <row r="16" spans="1:8" ht="30" customHeight="1" x14ac:dyDescent="0.25">
      <c r="A16" s="71" t="s">
        <v>18</v>
      </c>
      <c r="B16" s="113">
        <v>52.487218974884499</v>
      </c>
      <c r="C16" s="33">
        <v>52.334279121495264</v>
      </c>
      <c r="D16" s="33">
        <v>47.607974991731055</v>
      </c>
      <c r="E16" s="32"/>
      <c r="F16" s="33">
        <v>2.2228958491411319</v>
      </c>
      <c r="G16" s="33">
        <v>2.3890410389016465</v>
      </c>
      <c r="H16" s="33">
        <v>2.2030030771623568</v>
      </c>
    </row>
    <row r="17" spans="1:16" ht="15" customHeight="1" x14ac:dyDescent="0.25">
      <c r="A17" s="70"/>
      <c r="B17" s="114"/>
      <c r="C17" s="38"/>
      <c r="D17" s="38"/>
      <c r="E17" s="32"/>
      <c r="F17" s="38"/>
      <c r="G17" s="38"/>
      <c r="H17" s="38"/>
    </row>
    <row r="18" spans="1:16" s="86" customFormat="1" ht="15" customHeight="1" x14ac:dyDescent="0.25">
      <c r="A18" s="95" t="s">
        <v>73</v>
      </c>
      <c r="B18" s="98">
        <v>100</v>
      </c>
      <c r="C18" s="98">
        <v>100</v>
      </c>
      <c r="D18" s="98">
        <v>100</v>
      </c>
      <c r="E18" s="111"/>
      <c r="F18" s="98">
        <v>100</v>
      </c>
      <c r="G18" s="98">
        <v>100.00000000000001</v>
      </c>
      <c r="H18" s="98">
        <v>99.999999999999972</v>
      </c>
    </row>
    <row r="19" spans="1:16" ht="15" customHeight="1" x14ac:dyDescent="0.25">
      <c r="A19" s="72"/>
      <c r="B19" s="73"/>
      <c r="C19" s="37"/>
      <c r="D19" s="37"/>
      <c r="E19" s="35"/>
      <c r="F19" s="37"/>
      <c r="G19" s="37"/>
      <c r="H19" s="37"/>
    </row>
    <row r="20" spans="1:16" s="117" customFormat="1" ht="30" customHeight="1" x14ac:dyDescent="0.2">
      <c r="A20" s="144" t="s">
        <v>137</v>
      </c>
      <c r="B20" s="144"/>
      <c r="C20" s="144"/>
      <c r="D20" s="144"/>
      <c r="E20" s="144"/>
      <c r="F20" s="144"/>
      <c r="G20" s="144"/>
      <c r="H20" s="144"/>
      <c r="I20" s="123"/>
      <c r="J20" s="123"/>
      <c r="K20" s="123"/>
      <c r="L20" s="123"/>
      <c r="M20" s="123"/>
      <c r="N20" s="123"/>
      <c r="O20" s="123"/>
      <c r="P20" s="123"/>
    </row>
    <row r="21" spans="1:16" s="117" customFormat="1" ht="35.1" customHeight="1" x14ac:dyDescent="0.2">
      <c r="A21" s="143" t="s">
        <v>138</v>
      </c>
      <c r="B21" s="143"/>
      <c r="C21" s="143"/>
      <c r="D21" s="143"/>
      <c r="E21" s="143"/>
      <c r="F21" s="143"/>
      <c r="G21" s="143"/>
      <c r="H21" s="143"/>
      <c r="I21" s="123"/>
      <c r="J21" s="123"/>
      <c r="K21" s="123"/>
      <c r="L21" s="123"/>
      <c r="M21" s="123"/>
      <c r="N21" s="123"/>
      <c r="O21" s="123"/>
      <c r="P21" s="123"/>
    </row>
    <row r="22" spans="1:16" s="117" customFormat="1" ht="30" customHeight="1" x14ac:dyDescent="0.2">
      <c r="A22" s="143" t="s">
        <v>139</v>
      </c>
      <c r="B22" s="143"/>
      <c r="C22" s="143"/>
      <c r="D22" s="143"/>
      <c r="E22" s="143"/>
      <c r="F22" s="143"/>
      <c r="G22" s="143"/>
      <c r="H22" s="143"/>
      <c r="I22" s="123"/>
      <c r="J22" s="123"/>
      <c r="K22" s="123"/>
      <c r="L22" s="123"/>
      <c r="M22" s="123"/>
      <c r="N22" s="123"/>
      <c r="O22" s="123"/>
      <c r="P22" s="123"/>
    </row>
    <row r="23" spans="1:16" s="117" customFormat="1" ht="15" customHeight="1" x14ac:dyDescent="0.2">
      <c r="A23" s="120" t="s">
        <v>36</v>
      </c>
    </row>
    <row r="24" spans="1:16" x14ac:dyDescent="0.25">
      <c r="A24" s="54"/>
      <c r="B24" s="78"/>
      <c r="C24" s="78"/>
      <c r="D24" s="78"/>
      <c r="E24" s="78"/>
      <c r="F24" s="78"/>
      <c r="G24" s="78"/>
      <c r="H24" s="78"/>
    </row>
    <row r="25" spans="1:16" x14ac:dyDescent="0.25">
      <c r="A25" s="78"/>
      <c r="B25" s="78"/>
      <c r="C25" s="78"/>
      <c r="D25" s="78"/>
      <c r="E25" s="78"/>
      <c r="F25" s="78"/>
      <c r="G25" s="78"/>
      <c r="H25" s="78"/>
    </row>
    <row r="26" spans="1:16" x14ac:dyDescent="0.25">
      <c r="A26" s="78"/>
      <c r="B26" s="78"/>
      <c r="C26" s="78"/>
      <c r="D26" s="78"/>
      <c r="E26" s="78"/>
      <c r="F26" s="78"/>
      <c r="G26" s="78"/>
      <c r="H26" s="78"/>
    </row>
    <row r="27" spans="1:16" x14ac:dyDescent="0.25">
      <c r="A27" s="78"/>
      <c r="B27" s="78"/>
      <c r="C27" s="78"/>
      <c r="D27" s="78"/>
      <c r="E27" s="78"/>
      <c r="F27" s="78"/>
      <c r="G27" s="78"/>
      <c r="H27" s="78"/>
    </row>
  </sheetData>
  <mergeCells count="6">
    <mergeCell ref="A21:H21"/>
    <mergeCell ref="A22:H22"/>
    <mergeCell ref="A6:A7"/>
    <mergeCell ref="B6:D6"/>
    <mergeCell ref="F6:H6"/>
    <mergeCell ref="A20:H20"/>
  </mergeCells>
  <pageMargins left="0.7" right="0.7" top="0.75" bottom="0.75" header="0.3" footer="0.3"/>
  <pageSetup paperSize="9" scale="42" orientation="portrait" verticalDpi="0" r:id="rId1"/>
  <colBreaks count="1" manualBreakCount="1">
    <brk id="11" max="23" man="1"/>
  </col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469D-9E0A-4107-8090-554105548B6F}">
  <sheetPr>
    <tabColor rgb="FF0070C0"/>
  </sheetPr>
  <dimension ref="A1:P29"/>
  <sheetViews>
    <sheetView showGridLines="0" topLeftCell="B1" zoomScaleNormal="100" workbookViewId="0">
      <selection activeCell="S6" sqref="S6"/>
    </sheetView>
  </sheetViews>
  <sheetFormatPr baseColWidth="10" defaultRowHeight="15" x14ac:dyDescent="0.25"/>
  <cols>
    <col min="1" max="1" width="42.85546875" customWidth="1"/>
    <col min="2" max="4" width="17" customWidth="1"/>
    <col min="5" max="5" width="4.140625" customWidth="1"/>
    <col min="6" max="8" width="17" customWidth="1"/>
    <col min="9" max="9" width="4.140625" customWidth="1"/>
    <col min="10" max="12" width="17" customWidth="1"/>
    <col min="13" max="13" width="4.140625" customWidth="1"/>
    <col min="14" max="16" width="17" customWidth="1"/>
  </cols>
  <sheetData>
    <row r="1" spans="1:16" ht="18.75" x14ac:dyDescent="0.25">
      <c r="A1" s="80" t="s">
        <v>94</v>
      </c>
    </row>
    <row r="2" spans="1:16" ht="18.75" x14ac:dyDescent="0.25">
      <c r="A2" s="80" t="s">
        <v>98</v>
      </c>
    </row>
    <row r="3" spans="1:16" x14ac:dyDescent="0.25">
      <c r="A3" s="39" t="s">
        <v>42</v>
      </c>
    </row>
    <row r="4" spans="1:16" x14ac:dyDescent="0.25">
      <c r="A4" s="81" t="s">
        <v>44</v>
      </c>
    </row>
    <row r="5" spans="1:16" ht="10.5" customHeight="1" x14ac:dyDescent="0.25"/>
    <row r="6" spans="1:16" ht="24.95" customHeight="1" x14ac:dyDescent="0.25">
      <c r="A6" s="145" t="s">
        <v>33</v>
      </c>
      <c r="B6" s="147" t="s">
        <v>39</v>
      </c>
      <c r="C6" s="148"/>
      <c r="D6" s="148"/>
      <c r="E6" s="30"/>
      <c r="F6" s="148" t="s">
        <v>55</v>
      </c>
      <c r="G6" s="148"/>
      <c r="H6" s="148"/>
      <c r="I6" s="30"/>
      <c r="J6" s="148" t="s">
        <v>58</v>
      </c>
      <c r="K6" s="148"/>
      <c r="L6" s="148"/>
      <c r="M6" s="30"/>
      <c r="N6" s="148" t="s">
        <v>57</v>
      </c>
      <c r="O6" s="148"/>
      <c r="P6" s="148"/>
    </row>
    <row r="7" spans="1:16" ht="24.95" customHeight="1" x14ac:dyDescent="0.25">
      <c r="A7" s="146"/>
      <c r="B7" s="27">
        <v>2019</v>
      </c>
      <c r="C7" s="27">
        <v>2020</v>
      </c>
      <c r="D7" s="27">
        <v>2021</v>
      </c>
      <c r="E7" s="29"/>
      <c r="F7" s="27">
        <v>2019</v>
      </c>
      <c r="G7" s="27">
        <v>2020</v>
      </c>
      <c r="H7" s="27">
        <v>2021</v>
      </c>
      <c r="I7" s="29"/>
      <c r="J7" s="27">
        <v>2019</v>
      </c>
      <c r="K7" s="27">
        <v>2020</v>
      </c>
      <c r="L7" s="27">
        <v>2021</v>
      </c>
      <c r="M7" s="29"/>
      <c r="N7" s="27">
        <v>2019</v>
      </c>
      <c r="O7" s="27">
        <v>2020</v>
      </c>
      <c r="P7" s="27">
        <v>2021</v>
      </c>
    </row>
    <row r="8" spans="1:16" s="86" customFormat="1" ht="15" customHeight="1" x14ac:dyDescent="0.25">
      <c r="A8" s="116"/>
      <c r="B8" s="93"/>
      <c r="C8" s="93"/>
      <c r="D8" s="93"/>
      <c r="E8" s="109"/>
      <c r="F8" s="93"/>
      <c r="G8" s="93"/>
      <c r="H8" s="93"/>
      <c r="I8" s="109"/>
      <c r="J8" s="93"/>
      <c r="K8" s="93"/>
      <c r="L8" s="93"/>
      <c r="M8" s="109"/>
      <c r="N8" s="93"/>
      <c r="O8" s="93"/>
      <c r="P8" s="93"/>
    </row>
    <row r="9" spans="1:16" ht="15" customHeight="1" x14ac:dyDescent="0.25">
      <c r="A9" s="70" t="s">
        <v>34</v>
      </c>
      <c r="B9" s="38">
        <v>100</v>
      </c>
      <c r="C9" s="38">
        <v>104.01003466171316</v>
      </c>
      <c r="D9" s="38">
        <v>119.79739175395929</v>
      </c>
      <c r="E9" s="33"/>
      <c r="F9" s="38">
        <v>100</v>
      </c>
      <c r="G9" s="38">
        <v>99.944266447804679</v>
      </c>
      <c r="H9" s="38">
        <v>104.02663482777368</v>
      </c>
      <c r="I9" s="33"/>
      <c r="J9" s="38">
        <v>100</v>
      </c>
      <c r="K9" s="38">
        <v>104.06803547458303</v>
      </c>
      <c r="L9" s="38">
        <v>115.16030673518915</v>
      </c>
      <c r="M9" s="33"/>
      <c r="N9" s="38">
        <v>100</v>
      </c>
      <c r="O9" s="38">
        <v>96.090984656305366</v>
      </c>
      <c r="P9" s="38">
        <v>86.83547555144132</v>
      </c>
    </row>
    <row r="10" spans="1:16" ht="15" customHeight="1" x14ac:dyDescent="0.25">
      <c r="A10" s="70" t="s">
        <v>9</v>
      </c>
      <c r="B10" s="38">
        <v>100</v>
      </c>
      <c r="C10" s="38">
        <v>94.928294942572506</v>
      </c>
      <c r="D10" s="38">
        <v>191.3271781204391</v>
      </c>
      <c r="E10" s="33"/>
      <c r="F10" s="38">
        <v>100</v>
      </c>
      <c r="G10" s="38">
        <v>86.937923367579941</v>
      </c>
      <c r="H10" s="38">
        <v>95.545084886096305</v>
      </c>
      <c r="I10" s="33"/>
      <c r="J10" s="38">
        <v>100</v>
      </c>
      <c r="K10" s="38">
        <v>109.19089307114996</v>
      </c>
      <c r="L10" s="38">
        <v>200.24805917387488</v>
      </c>
      <c r="M10" s="33"/>
      <c r="N10" s="38">
        <v>100</v>
      </c>
      <c r="O10" s="38">
        <v>91.582729280214735</v>
      </c>
      <c r="P10" s="38">
        <v>49.938062027942188</v>
      </c>
    </row>
    <row r="11" spans="1:16" ht="15" customHeight="1" x14ac:dyDescent="0.25">
      <c r="A11" s="70" t="s">
        <v>75</v>
      </c>
      <c r="B11" s="38">
        <v>100</v>
      </c>
      <c r="C11" s="38">
        <v>88.089061382902671</v>
      </c>
      <c r="D11" s="38">
        <v>108.23409253395977</v>
      </c>
      <c r="E11" s="33"/>
      <c r="F11" s="38">
        <v>100</v>
      </c>
      <c r="G11" s="38">
        <v>73.551340325920961</v>
      </c>
      <c r="H11" s="38">
        <v>108.41100950796823</v>
      </c>
      <c r="I11" s="33"/>
      <c r="J11" s="38">
        <v>100</v>
      </c>
      <c r="K11" s="38">
        <v>119.76540603143613</v>
      </c>
      <c r="L11" s="38">
        <v>99.836809033684489</v>
      </c>
      <c r="M11" s="33"/>
      <c r="N11" s="38">
        <v>100</v>
      </c>
      <c r="O11" s="38">
        <v>83.49656492105234</v>
      </c>
      <c r="P11" s="38">
        <v>100.1634577145394</v>
      </c>
    </row>
    <row r="12" spans="1:16" ht="15" customHeight="1" x14ac:dyDescent="0.25">
      <c r="A12" s="71" t="s">
        <v>35</v>
      </c>
      <c r="B12" s="38">
        <v>100</v>
      </c>
      <c r="C12" s="38">
        <v>98.524914552977151</v>
      </c>
      <c r="D12" s="38">
        <v>103.44786232535827</v>
      </c>
      <c r="E12" s="33"/>
      <c r="F12" s="38">
        <v>100</v>
      </c>
      <c r="G12" s="38">
        <v>87.874295675097812</v>
      </c>
      <c r="H12" s="38">
        <v>102.06402343769044</v>
      </c>
      <c r="I12" s="33"/>
      <c r="J12" s="38">
        <v>100</v>
      </c>
      <c r="K12" s="38">
        <v>112.12028932471722</v>
      </c>
      <c r="L12" s="38">
        <v>101.35585374851763</v>
      </c>
      <c r="M12" s="33"/>
      <c r="N12" s="38">
        <v>100</v>
      </c>
      <c r="O12" s="38">
        <v>89.189923253216861</v>
      </c>
      <c r="P12" s="38">
        <v>98.662283727704803</v>
      </c>
    </row>
    <row r="13" spans="1:16" ht="30" customHeight="1" x14ac:dyDescent="0.25">
      <c r="A13" s="71" t="s">
        <v>14</v>
      </c>
      <c r="B13" s="38">
        <v>100</v>
      </c>
      <c r="C13" s="38">
        <v>102.64859870649829</v>
      </c>
      <c r="D13" s="38">
        <v>111.82630120110872</v>
      </c>
      <c r="E13" s="33"/>
      <c r="F13" s="38">
        <v>100</v>
      </c>
      <c r="G13" s="38">
        <v>102.78884903112714</v>
      </c>
      <c r="H13" s="38">
        <v>105.76839598944316</v>
      </c>
      <c r="I13" s="33"/>
      <c r="J13" s="38">
        <v>100</v>
      </c>
      <c r="K13" s="38">
        <v>99.863554922590509</v>
      </c>
      <c r="L13" s="38">
        <v>105.72751922253809</v>
      </c>
      <c r="M13" s="33"/>
      <c r="N13" s="38">
        <v>100</v>
      </c>
      <c r="O13" s="38">
        <v>100.13663150437139</v>
      </c>
      <c r="P13" s="38">
        <v>94.582754551837496</v>
      </c>
    </row>
    <row r="14" spans="1:16" ht="15" customHeight="1" x14ac:dyDescent="0.25">
      <c r="A14" s="70" t="s">
        <v>74</v>
      </c>
      <c r="B14" s="38">
        <v>100</v>
      </c>
      <c r="C14" s="38">
        <v>93.00656917181513</v>
      </c>
      <c r="D14" s="38">
        <v>129.86431532024713</v>
      </c>
      <c r="E14" s="33"/>
      <c r="F14" s="38">
        <v>100</v>
      </c>
      <c r="G14" s="38">
        <v>74.359951940391795</v>
      </c>
      <c r="H14" s="38">
        <v>105.65332293196548</v>
      </c>
      <c r="I14" s="33"/>
      <c r="J14" s="38">
        <v>100</v>
      </c>
      <c r="K14" s="38">
        <v>125.07615557144356</v>
      </c>
      <c r="L14" s="38">
        <v>122.91550489507281</v>
      </c>
      <c r="M14" s="33"/>
      <c r="N14" s="38">
        <v>100</v>
      </c>
      <c r="O14" s="38">
        <v>79.951290110511863</v>
      </c>
      <c r="P14" s="38">
        <v>81.356701162611898</v>
      </c>
    </row>
    <row r="15" spans="1:16" ht="15" customHeight="1" x14ac:dyDescent="0.25">
      <c r="A15" s="70" t="s">
        <v>15</v>
      </c>
      <c r="B15" s="38">
        <v>100</v>
      </c>
      <c r="C15" s="38">
        <v>87.381366407575783</v>
      </c>
      <c r="D15" s="38">
        <v>94.077224445329037</v>
      </c>
      <c r="E15" s="33"/>
      <c r="F15" s="38">
        <v>100</v>
      </c>
      <c r="G15" s="38">
        <v>56.169575000482077</v>
      </c>
      <c r="H15" s="38">
        <v>80.499919270121865</v>
      </c>
      <c r="I15" s="33"/>
      <c r="J15" s="38">
        <v>100</v>
      </c>
      <c r="K15" s="38">
        <v>155.56707774061996</v>
      </c>
      <c r="L15" s="38">
        <v>116.86623452335121</v>
      </c>
      <c r="M15" s="33"/>
      <c r="N15" s="38">
        <v>100</v>
      </c>
      <c r="O15" s="38">
        <v>64.280952919056546</v>
      </c>
      <c r="P15" s="38">
        <v>85.567914811201376</v>
      </c>
    </row>
    <row r="16" spans="1:16" ht="30" customHeight="1" x14ac:dyDescent="0.25">
      <c r="A16" s="71" t="s">
        <v>18</v>
      </c>
      <c r="B16" s="114">
        <v>100</v>
      </c>
      <c r="C16" s="33">
        <v>92.644877346451281</v>
      </c>
      <c r="D16" s="33">
        <v>104.40276611293507</v>
      </c>
      <c r="E16" s="33"/>
      <c r="F16" s="38">
        <v>100</v>
      </c>
      <c r="G16" s="33">
        <v>92.463620492429925</v>
      </c>
      <c r="H16" s="33">
        <v>100.052256092929</v>
      </c>
      <c r="I16" s="33"/>
      <c r="J16" s="38">
        <v>100</v>
      </c>
      <c r="K16" s="33">
        <v>100.19603045290251</v>
      </c>
      <c r="L16" s="33">
        <v>104.3482378008201</v>
      </c>
      <c r="M16" s="33"/>
      <c r="N16" s="38">
        <v>100</v>
      </c>
      <c r="O16" s="33">
        <v>99.80435307465136</v>
      </c>
      <c r="P16" s="33">
        <v>95.832955215669273</v>
      </c>
    </row>
    <row r="17" spans="1:16" ht="15" customHeight="1" x14ac:dyDescent="0.25">
      <c r="A17" s="70"/>
      <c r="B17" s="38"/>
      <c r="C17" s="38"/>
      <c r="D17" s="38"/>
      <c r="E17" s="33"/>
      <c r="F17" s="38"/>
      <c r="G17" s="38"/>
      <c r="H17" s="38"/>
      <c r="I17" s="33"/>
      <c r="J17" s="38"/>
      <c r="K17" s="38"/>
      <c r="L17" s="38"/>
      <c r="M17" s="33"/>
      <c r="N17" s="38"/>
      <c r="O17" s="38"/>
      <c r="P17" s="38"/>
    </row>
    <row r="18" spans="1:16" ht="15" customHeight="1" x14ac:dyDescent="0.25">
      <c r="A18" s="95" t="s">
        <v>73</v>
      </c>
      <c r="B18" s="98">
        <v>100</v>
      </c>
      <c r="C18" s="98">
        <v>92.915619471813045</v>
      </c>
      <c r="D18" s="98">
        <v>115.10279207433318</v>
      </c>
      <c r="E18" s="115"/>
      <c r="F18" s="98">
        <v>100</v>
      </c>
      <c r="G18" s="98">
        <v>86.033263908969232</v>
      </c>
      <c r="H18" s="98">
        <v>100.95571226012707</v>
      </c>
      <c r="I18" s="115"/>
      <c r="J18" s="98">
        <v>100</v>
      </c>
      <c r="K18" s="98">
        <v>107.99964484681873</v>
      </c>
      <c r="L18" s="98">
        <v>114.01315437976811</v>
      </c>
      <c r="M18" s="115"/>
      <c r="N18" s="98">
        <v>100</v>
      </c>
      <c r="O18" s="98">
        <v>92.592897080203343</v>
      </c>
      <c r="P18" s="98">
        <v>87.709177545345767</v>
      </c>
    </row>
    <row r="19" spans="1:16" ht="15" customHeight="1" x14ac:dyDescent="0.25">
      <c r="A19" s="72"/>
      <c r="B19" s="75"/>
      <c r="C19" s="37"/>
      <c r="D19" s="37"/>
      <c r="E19" s="37"/>
      <c r="F19" s="76"/>
      <c r="G19" s="37"/>
      <c r="H19" s="37"/>
      <c r="I19" s="37"/>
      <c r="J19" s="76"/>
      <c r="K19" s="37"/>
      <c r="L19" s="37"/>
      <c r="M19" s="37"/>
      <c r="N19" s="76"/>
      <c r="O19" s="37"/>
      <c r="P19" s="37"/>
    </row>
    <row r="20" spans="1:16" s="117" customFormat="1" ht="30" customHeight="1" x14ac:dyDescent="0.2">
      <c r="A20" s="144" t="s">
        <v>137</v>
      </c>
      <c r="B20" s="144"/>
      <c r="C20" s="144"/>
      <c r="D20" s="144"/>
      <c r="E20" s="144"/>
      <c r="F20" s="144"/>
      <c r="G20" s="144"/>
      <c r="H20" s="144"/>
      <c r="I20" s="144"/>
      <c r="J20" s="144"/>
      <c r="K20" s="144"/>
      <c r="L20" s="144"/>
      <c r="M20" s="144"/>
      <c r="N20" s="144"/>
      <c r="O20" s="144"/>
      <c r="P20" s="144"/>
    </row>
    <row r="21" spans="1:16" s="117" customFormat="1" ht="30" customHeight="1" x14ac:dyDescent="0.2">
      <c r="A21" s="143" t="s">
        <v>138</v>
      </c>
      <c r="B21" s="143"/>
      <c r="C21" s="143"/>
      <c r="D21" s="143"/>
      <c r="E21" s="143"/>
      <c r="F21" s="143"/>
      <c r="G21" s="143"/>
      <c r="H21" s="143"/>
      <c r="I21" s="143"/>
      <c r="J21" s="143"/>
      <c r="K21" s="143"/>
      <c r="L21" s="143"/>
      <c r="M21" s="143"/>
      <c r="N21" s="143"/>
      <c r="O21" s="143"/>
      <c r="P21" s="143"/>
    </row>
    <row r="22" spans="1:16" s="117" customFormat="1" ht="15" customHeight="1" x14ac:dyDescent="0.2">
      <c r="A22" s="143" t="s">
        <v>139</v>
      </c>
      <c r="B22" s="143"/>
      <c r="C22" s="143"/>
      <c r="D22" s="143"/>
      <c r="E22" s="143"/>
      <c r="F22" s="143"/>
      <c r="G22" s="143"/>
      <c r="H22" s="143"/>
      <c r="I22" s="143"/>
      <c r="J22" s="143"/>
      <c r="K22" s="143"/>
      <c r="L22" s="143"/>
      <c r="M22" s="143"/>
      <c r="N22" s="143"/>
      <c r="O22" s="143"/>
      <c r="P22" s="143"/>
    </row>
    <row r="23" spans="1:16" s="117" customFormat="1" ht="15" customHeight="1" x14ac:dyDescent="0.2">
      <c r="A23" s="120" t="s">
        <v>36</v>
      </c>
    </row>
    <row r="24" spans="1:16" x14ac:dyDescent="0.25">
      <c r="A24" s="79"/>
      <c r="B24" s="78"/>
      <c r="C24" s="78"/>
      <c r="D24" s="78"/>
      <c r="E24" s="78"/>
      <c r="F24" s="78"/>
      <c r="G24" s="78"/>
      <c r="H24" s="78"/>
      <c r="I24" s="78"/>
      <c r="J24" s="78"/>
      <c r="K24" s="78"/>
      <c r="L24" s="78"/>
      <c r="M24" s="78"/>
      <c r="N24" s="78"/>
      <c r="O24" s="78"/>
      <c r="P24" s="78"/>
    </row>
    <row r="25" spans="1:16" x14ac:dyDescent="0.25">
      <c r="A25" s="78"/>
      <c r="B25" s="78"/>
      <c r="C25" s="78"/>
      <c r="D25" s="78"/>
      <c r="E25" s="78"/>
      <c r="F25" s="78"/>
      <c r="G25" s="78"/>
      <c r="H25" s="78"/>
      <c r="I25" s="78"/>
      <c r="J25" s="78"/>
      <c r="K25" s="78"/>
      <c r="L25" s="78"/>
      <c r="M25" s="78"/>
      <c r="N25" s="78"/>
      <c r="O25" s="78"/>
      <c r="P25" s="78"/>
    </row>
    <row r="26" spans="1:16" x14ac:dyDescent="0.25">
      <c r="A26" s="78"/>
      <c r="B26" s="78"/>
      <c r="C26" s="78"/>
      <c r="D26" s="78"/>
      <c r="E26" s="78"/>
      <c r="F26" s="78"/>
      <c r="G26" s="78"/>
      <c r="H26" s="78"/>
      <c r="I26" s="78"/>
      <c r="J26" s="78"/>
      <c r="K26" s="78"/>
      <c r="L26" s="78"/>
      <c r="M26" s="78"/>
      <c r="N26" s="78"/>
      <c r="O26" s="78"/>
      <c r="P26" s="78"/>
    </row>
    <row r="27" spans="1:16" x14ac:dyDescent="0.25">
      <c r="A27" s="78"/>
      <c r="B27" s="78"/>
      <c r="C27" s="78"/>
      <c r="D27" s="78"/>
      <c r="E27" s="78"/>
      <c r="F27" s="78"/>
      <c r="G27" s="78"/>
      <c r="H27" s="78"/>
      <c r="I27" s="78"/>
      <c r="J27" s="78"/>
      <c r="K27" s="78"/>
      <c r="L27" s="78"/>
      <c r="M27" s="78"/>
      <c r="N27" s="78"/>
      <c r="O27" s="78"/>
      <c r="P27" s="78"/>
    </row>
    <row r="28" spans="1:16" x14ac:dyDescent="0.25">
      <c r="A28" s="78"/>
      <c r="B28" s="78"/>
      <c r="C28" s="78"/>
      <c r="D28" s="78"/>
      <c r="E28" s="78"/>
      <c r="F28" s="78"/>
      <c r="G28" s="78"/>
      <c r="H28" s="78"/>
      <c r="I28" s="78"/>
      <c r="J28" s="78"/>
      <c r="K28" s="78"/>
      <c r="L28" s="78"/>
      <c r="M28" s="78"/>
      <c r="N28" s="78"/>
      <c r="O28" s="78"/>
      <c r="P28" s="78"/>
    </row>
    <row r="29" spans="1:16" x14ac:dyDescent="0.25">
      <c r="A29" s="78"/>
      <c r="B29" s="78"/>
      <c r="C29" s="78"/>
      <c r="D29" s="78"/>
      <c r="E29" s="78"/>
      <c r="F29" s="78"/>
      <c r="G29" s="78"/>
      <c r="H29" s="78"/>
      <c r="I29" s="78"/>
      <c r="J29" s="78"/>
      <c r="K29" s="78"/>
      <c r="L29" s="78"/>
      <c r="M29" s="78"/>
      <c r="N29" s="78"/>
      <c r="O29" s="78"/>
      <c r="P29" s="78"/>
    </row>
  </sheetData>
  <mergeCells count="8">
    <mergeCell ref="N6:P6"/>
    <mergeCell ref="A20:P20"/>
    <mergeCell ref="A21:P21"/>
    <mergeCell ref="A22:P22"/>
    <mergeCell ref="A6:A7"/>
    <mergeCell ref="B6:D6"/>
    <mergeCell ref="F6:H6"/>
    <mergeCell ref="J6:L6"/>
  </mergeCells>
  <pageMargins left="0.7" right="0.7" top="0.75" bottom="0.75" header="0.3" footer="0.3"/>
  <pageSetup paperSize="9" scale="33" orientation="portrait"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0D939-0A5E-4B0A-9B0A-2BD34DAFC1BE}">
  <sheetPr>
    <tabColor rgb="FF0070C0"/>
  </sheetPr>
  <dimension ref="A1:P25"/>
  <sheetViews>
    <sheetView showGridLines="0" zoomScaleNormal="100" workbookViewId="0">
      <selection activeCell="K27" sqref="K27"/>
    </sheetView>
  </sheetViews>
  <sheetFormatPr baseColWidth="10" defaultRowHeight="15" x14ac:dyDescent="0.25"/>
  <cols>
    <col min="1" max="1" width="42.85546875" customWidth="1"/>
    <col min="2" max="4" width="17" customWidth="1"/>
    <col min="5" max="5" width="4.140625" customWidth="1"/>
    <col min="6" max="8" width="17" customWidth="1"/>
    <col min="9" max="9" width="4.140625" customWidth="1"/>
    <col min="10" max="12" width="17" customWidth="1"/>
    <col min="13" max="13" width="4.140625" customWidth="1"/>
    <col min="14" max="16" width="17" customWidth="1"/>
  </cols>
  <sheetData>
    <row r="1" spans="1:16" ht="18.75" x14ac:dyDescent="0.25">
      <c r="A1" s="80" t="s">
        <v>95</v>
      </c>
    </row>
    <row r="2" spans="1:16" ht="18.75" x14ac:dyDescent="0.25">
      <c r="A2" s="80" t="s">
        <v>98</v>
      </c>
    </row>
    <row r="3" spans="1:16" x14ac:dyDescent="0.25">
      <c r="A3" s="39" t="s">
        <v>42</v>
      </c>
    </row>
    <row r="4" spans="1:16" x14ac:dyDescent="0.25">
      <c r="A4" s="81" t="s">
        <v>43</v>
      </c>
    </row>
    <row r="5" spans="1:16" ht="10.5" customHeight="1" x14ac:dyDescent="0.25"/>
    <row r="6" spans="1:16" ht="24.95" customHeight="1" x14ac:dyDescent="0.25">
      <c r="A6" s="145" t="s">
        <v>33</v>
      </c>
      <c r="B6" s="147" t="s">
        <v>39</v>
      </c>
      <c r="C6" s="148"/>
      <c r="D6" s="148"/>
      <c r="E6" s="30"/>
      <c r="F6" s="148" t="s">
        <v>55</v>
      </c>
      <c r="G6" s="148"/>
      <c r="H6" s="148"/>
      <c r="I6" s="30"/>
      <c r="J6" s="148" t="s">
        <v>58</v>
      </c>
      <c r="K6" s="148"/>
      <c r="L6" s="148"/>
      <c r="M6" s="30"/>
      <c r="N6" s="148" t="s">
        <v>57</v>
      </c>
      <c r="O6" s="148"/>
      <c r="P6" s="148"/>
    </row>
    <row r="7" spans="1:16" ht="24.95" customHeight="1" x14ac:dyDescent="0.25">
      <c r="A7" s="146"/>
      <c r="B7" s="27">
        <v>2019</v>
      </c>
      <c r="C7" s="27">
        <v>2020</v>
      </c>
      <c r="D7" s="27">
        <v>2021</v>
      </c>
      <c r="E7" s="29"/>
      <c r="F7" s="27">
        <v>2019</v>
      </c>
      <c r="G7" s="27">
        <v>2020</v>
      </c>
      <c r="H7" s="27">
        <v>2021</v>
      </c>
      <c r="I7" s="29"/>
      <c r="J7" s="27">
        <v>2019</v>
      </c>
      <c r="K7" s="27">
        <v>2020</v>
      </c>
      <c r="L7" s="27">
        <v>2021</v>
      </c>
      <c r="M7" s="29"/>
      <c r="N7" s="27">
        <v>2019</v>
      </c>
      <c r="O7" s="27">
        <v>2020</v>
      </c>
      <c r="P7" s="27">
        <v>2021</v>
      </c>
    </row>
    <row r="8" spans="1:16" s="86" customFormat="1" ht="15" customHeight="1" x14ac:dyDescent="0.25">
      <c r="A8" s="70"/>
      <c r="B8" s="93"/>
      <c r="C8" s="93"/>
      <c r="D8" s="93"/>
      <c r="E8" s="109"/>
      <c r="F8" s="93"/>
      <c r="G8" s="93"/>
      <c r="H8" s="93"/>
      <c r="I8" s="109"/>
      <c r="J8" s="93"/>
      <c r="K8" s="93"/>
      <c r="L8" s="93"/>
      <c r="M8" s="109"/>
      <c r="N8" s="93"/>
      <c r="O8" s="93"/>
      <c r="P8" s="93"/>
    </row>
    <row r="9" spans="1:16" ht="15" customHeight="1" x14ac:dyDescent="0.25">
      <c r="A9" s="70" t="s">
        <v>34</v>
      </c>
      <c r="B9" s="31" t="s">
        <v>99</v>
      </c>
      <c r="C9" s="38">
        <v>4.0100346617131635</v>
      </c>
      <c r="D9" s="38">
        <v>15.178686502310683</v>
      </c>
      <c r="E9" s="32"/>
      <c r="F9" s="31" t="s">
        <v>99</v>
      </c>
      <c r="G9" s="38">
        <v>-5.5733552195320613E-2</v>
      </c>
      <c r="H9" s="38">
        <v>4.0846448976650294</v>
      </c>
      <c r="I9" s="33"/>
      <c r="J9" s="31" t="s">
        <v>99</v>
      </c>
      <c r="K9" s="38">
        <v>4.0680354745830272</v>
      </c>
      <c r="L9" s="38">
        <v>10.658672675064793</v>
      </c>
      <c r="M9" s="32"/>
      <c r="N9" s="31" t="s">
        <v>99</v>
      </c>
      <c r="O9" s="38">
        <v>-3.9090153436946338</v>
      </c>
      <c r="P9" s="38">
        <v>-9.6320264986031816</v>
      </c>
    </row>
    <row r="10" spans="1:16" ht="15" customHeight="1" x14ac:dyDescent="0.25">
      <c r="A10" s="70" t="s">
        <v>9</v>
      </c>
      <c r="B10" s="31" t="s">
        <v>99</v>
      </c>
      <c r="C10" s="38">
        <v>-5.0717050574274936</v>
      </c>
      <c r="D10" s="38">
        <v>101.54915690436002</v>
      </c>
      <c r="E10" s="32"/>
      <c r="F10" s="31" t="s">
        <v>99</v>
      </c>
      <c r="G10" s="38">
        <v>-13.062076632420059</v>
      </c>
      <c r="H10" s="38">
        <v>9.9003532464476507</v>
      </c>
      <c r="I10" s="33"/>
      <c r="J10" s="31" t="s">
        <v>99</v>
      </c>
      <c r="K10" s="38">
        <v>9.1908930711499579</v>
      </c>
      <c r="L10" s="38">
        <v>83.392637922094025</v>
      </c>
      <c r="M10" s="32"/>
      <c r="N10" s="31" t="s">
        <v>99</v>
      </c>
      <c r="O10" s="38">
        <v>-8.4172707197852645</v>
      </c>
      <c r="P10" s="38">
        <v>-45.472184089265113</v>
      </c>
    </row>
    <row r="11" spans="1:16" ht="15" customHeight="1" x14ac:dyDescent="0.25">
      <c r="A11" s="70" t="s">
        <v>75</v>
      </c>
      <c r="B11" s="31" t="s">
        <v>99</v>
      </c>
      <c r="C11" s="38">
        <v>-11.910938617097329</v>
      </c>
      <c r="D11" s="38">
        <v>22.868936091271678</v>
      </c>
      <c r="E11" s="32"/>
      <c r="F11" s="31" t="s">
        <v>99</v>
      </c>
      <c r="G11" s="38">
        <v>-26.448659674079039</v>
      </c>
      <c r="H11" s="38">
        <v>47.39501554638835</v>
      </c>
      <c r="I11" s="33"/>
      <c r="J11" s="31" t="s">
        <v>99</v>
      </c>
      <c r="K11" s="38">
        <v>19.765406031436129</v>
      </c>
      <c r="L11" s="38">
        <v>-16.639693930082586</v>
      </c>
      <c r="M11" s="32"/>
      <c r="N11" s="31" t="s">
        <v>99</v>
      </c>
      <c r="O11" s="38">
        <v>-16.50343507894766</v>
      </c>
      <c r="P11" s="38">
        <v>19.961171826943925</v>
      </c>
    </row>
    <row r="12" spans="1:16" ht="15" customHeight="1" x14ac:dyDescent="0.25">
      <c r="A12" s="71" t="s">
        <v>35</v>
      </c>
      <c r="B12" s="31" t="s">
        <v>99</v>
      </c>
      <c r="C12" s="38">
        <v>-1.4750854470228489</v>
      </c>
      <c r="D12" s="38">
        <v>4.9966526687359192</v>
      </c>
      <c r="E12" s="32"/>
      <c r="F12" s="31" t="s">
        <v>99</v>
      </c>
      <c r="G12" s="38">
        <v>-12.125704324902188</v>
      </c>
      <c r="H12" s="38">
        <v>16.147757035865212</v>
      </c>
      <c r="I12" s="33"/>
      <c r="J12" s="31" t="s">
        <v>99</v>
      </c>
      <c r="K12" s="38">
        <v>12.12028932471722</v>
      </c>
      <c r="L12" s="38">
        <v>-9.600791829054387</v>
      </c>
      <c r="M12" s="32"/>
      <c r="N12" s="31" t="s">
        <v>99</v>
      </c>
      <c r="O12" s="38">
        <v>-10.810076746783139</v>
      </c>
      <c r="P12" s="38">
        <v>10.620437969876036</v>
      </c>
    </row>
    <row r="13" spans="1:16" ht="30" customHeight="1" x14ac:dyDescent="0.25">
      <c r="A13" s="71" t="s">
        <v>14</v>
      </c>
      <c r="B13" s="31" t="s">
        <v>99</v>
      </c>
      <c r="C13" s="38">
        <v>2.6485987064982908</v>
      </c>
      <c r="D13" s="38">
        <v>8.9408940894089426</v>
      </c>
      <c r="E13" s="32"/>
      <c r="F13" s="31" t="s">
        <v>99</v>
      </c>
      <c r="G13" s="38">
        <v>2.7888490311271426</v>
      </c>
      <c r="H13" s="38">
        <v>2.898706412612654</v>
      </c>
      <c r="I13" s="33"/>
      <c r="J13" s="31" t="s">
        <v>99</v>
      </c>
      <c r="K13" s="38">
        <v>-0.13644507740949052</v>
      </c>
      <c r="L13" s="38">
        <v>5.8719763225864057</v>
      </c>
      <c r="M13" s="32"/>
      <c r="N13" s="31" t="s">
        <v>99</v>
      </c>
      <c r="O13" s="38">
        <v>0.13663150437139393</v>
      </c>
      <c r="P13" s="38">
        <v>-5.5462989608267748</v>
      </c>
    </row>
    <row r="14" spans="1:16" ht="15" customHeight="1" x14ac:dyDescent="0.25">
      <c r="A14" s="70" t="s">
        <v>74</v>
      </c>
      <c r="B14" s="31" t="s">
        <v>99</v>
      </c>
      <c r="C14" s="38">
        <v>-6.9934308281848701</v>
      </c>
      <c r="D14" s="38">
        <v>39.629185848521161</v>
      </c>
      <c r="E14" s="32"/>
      <c r="F14" s="31" t="s">
        <v>99</v>
      </c>
      <c r="G14" s="38">
        <v>-25.640048059608205</v>
      </c>
      <c r="H14" s="38">
        <v>42.083635310387223</v>
      </c>
      <c r="I14" s="33"/>
      <c r="J14" s="31" t="s">
        <v>99</v>
      </c>
      <c r="K14" s="38">
        <v>25.076155571443564</v>
      </c>
      <c r="L14" s="38">
        <v>-1.7274680905399009</v>
      </c>
      <c r="M14" s="32"/>
      <c r="N14" s="31" t="s">
        <v>99</v>
      </c>
      <c r="O14" s="38">
        <v>-20.048709889488137</v>
      </c>
      <c r="P14" s="38">
        <v>1.7578341139429057</v>
      </c>
    </row>
    <row r="15" spans="1:16" ht="15" customHeight="1" x14ac:dyDescent="0.25">
      <c r="A15" s="70" t="s">
        <v>15</v>
      </c>
      <c r="B15" s="31" t="s">
        <v>99</v>
      </c>
      <c r="C15" s="38">
        <v>-12.618633592424217</v>
      </c>
      <c r="D15" s="38">
        <v>7.6627985038841331</v>
      </c>
      <c r="E15" s="32"/>
      <c r="F15" s="31" t="s">
        <v>99</v>
      </c>
      <c r="G15" s="38">
        <v>-43.830424999517923</v>
      </c>
      <c r="H15" s="38">
        <v>43.31587744687576</v>
      </c>
      <c r="I15" s="33"/>
      <c r="J15" s="31" t="s">
        <v>99</v>
      </c>
      <c r="K15" s="38">
        <v>55.567077740619965</v>
      </c>
      <c r="L15" s="38">
        <v>-24.877270807770401</v>
      </c>
      <c r="M15" s="32"/>
      <c r="N15" s="31" t="s">
        <v>99</v>
      </c>
      <c r="O15" s="38">
        <v>-35.719047080943454</v>
      </c>
      <c r="P15" s="38">
        <v>33.115504555369085</v>
      </c>
    </row>
    <row r="16" spans="1:16" ht="30" customHeight="1" x14ac:dyDescent="0.25">
      <c r="A16" s="71" t="s">
        <v>18</v>
      </c>
      <c r="B16" s="110" t="s">
        <v>99</v>
      </c>
      <c r="C16" s="33">
        <v>-7.3551226535487189</v>
      </c>
      <c r="D16" s="33">
        <v>12.691353373500007</v>
      </c>
      <c r="E16" s="32"/>
      <c r="F16" s="31" t="s">
        <v>99</v>
      </c>
      <c r="G16" s="33">
        <v>-7.536379507570075</v>
      </c>
      <c r="H16" s="33">
        <v>8.2071581883605518</v>
      </c>
      <c r="I16" s="33"/>
      <c r="J16" s="31" t="s">
        <v>99</v>
      </c>
      <c r="K16" s="33">
        <v>0.1960304529025052</v>
      </c>
      <c r="L16" s="33">
        <v>4.1440836819072899</v>
      </c>
      <c r="M16" s="32"/>
      <c r="N16" s="31" t="s">
        <v>99</v>
      </c>
      <c r="O16" s="33">
        <v>-0.19564692534864037</v>
      </c>
      <c r="P16" s="33">
        <v>-3.9791830081915975</v>
      </c>
    </row>
    <row r="17" spans="1:16" ht="15" customHeight="1" x14ac:dyDescent="0.25">
      <c r="A17" s="70"/>
      <c r="B17" s="31"/>
      <c r="C17" s="38"/>
      <c r="D17" s="38"/>
      <c r="E17" s="32"/>
      <c r="F17" s="31"/>
      <c r="G17" s="38"/>
      <c r="H17" s="38"/>
      <c r="I17" s="33"/>
      <c r="J17" s="31"/>
      <c r="K17" s="38"/>
      <c r="L17" s="38"/>
      <c r="M17" s="32"/>
      <c r="N17" s="31"/>
      <c r="O17" s="38"/>
      <c r="P17" s="38"/>
    </row>
    <row r="18" spans="1:16" ht="15" customHeight="1" x14ac:dyDescent="0.25">
      <c r="A18" s="95" t="s">
        <v>73</v>
      </c>
      <c r="B18" s="96" t="s">
        <v>99</v>
      </c>
      <c r="C18" s="98">
        <v>-7.084380528186955</v>
      </c>
      <c r="D18" s="98">
        <v>23.878840531489814</v>
      </c>
      <c r="E18" s="111"/>
      <c r="F18" s="96" t="s">
        <v>99</v>
      </c>
      <c r="G18" s="98">
        <v>-13.966736091030768</v>
      </c>
      <c r="H18" s="98">
        <v>17.344975272526113</v>
      </c>
      <c r="I18" s="111"/>
      <c r="J18" s="96" t="s">
        <v>99</v>
      </c>
      <c r="K18" s="98">
        <v>7.9996448468187253</v>
      </c>
      <c r="L18" s="98">
        <v>5.5680826927520428</v>
      </c>
      <c r="M18" s="111"/>
      <c r="N18" s="96" t="s">
        <v>99</v>
      </c>
      <c r="O18" s="98">
        <v>-7.4071029197966567</v>
      </c>
      <c r="P18" s="98">
        <v>-5.274399752960889</v>
      </c>
    </row>
    <row r="19" spans="1:16" ht="15" customHeight="1" x14ac:dyDescent="0.25">
      <c r="A19" s="72"/>
      <c r="B19" s="34"/>
      <c r="C19" s="37"/>
      <c r="D19" s="37"/>
      <c r="E19" s="35"/>
      <c r="F19" s="36"/>
      <c r="G19" s="37"/>
      <c r="H19" s="37"/>
      <c r="I19" s="37"/>
      <c r="J19" s="36"/>
      <c r="K19" s="37"/>
      <c r="L19" s="37"/>
      <c r="M19" s="35"/>
      <c r="N19" s="36"/>
      <c r="O19" s="37"/>
      <c r="P19" s="37"/>
    </row>
    <row r="20" spans="1:16" s="117" customFormat="1" ht="30" customHeight="1" x14ac:dyDescent="0.2">
      <c r="A20" s="144" t="s">
        <v>137</v>
      </c>
      <c r="B20" s="144"/>
      <c r="C20" s="144"/>
      <c r="D20" s="144"/>
      <c r="E20" s="144"/>
      <c r="F20" s="144"/>
      <c r="G20" s="144"/>
      <c r="H20" s="144"/>
      <c r="I20" s="144"/>
      <c r="J20" s="144"/>
      <c r="K20" s="144"/>
      <c r="L20" s="144"/>
      <c r="M20" s="144"/>
      <c r="N20" s="144"/>
      <c r="O20" s="144"/>
      <c r="P20" s="144"/>
    </row>
    <row r="21" spans="1:16" s="117" customFormat="1" ht="30" customHeight="1" x14ac:dyDescent="0.2">
      <c r="A21" s="143" t="s">
        <v>138</v>
      </c>
      <c r="B21" s="143"/>
      <c r="C21" s="143"/>
      <c r="D21" s="143"/>
      <c r="E21" s="143"/>
      <c r="F21" s="143"/>
      <c r="G21" s="143"/>
      <c r="H21" s="143"/>
      <c r="I21" s="143"/>
      <c r="J21" s="143"/>
      <c r="K21" s="143"/>
      <c r="L21" s="143"/>
      <c r="M21" s="143"/>
      <c r="N21" s="143"/>
      <c r="O21" s="143"/>
      <c r="P21" s="143"/>
    </row>
    <row r="22" spans="1:16" s="117" customFormat="1" ht="15" customHeight="1" x14ac:dyDescent="0.2">
      <c r="A22" s="143" t="s">
        <v>139</v>
      </c>
      <c r="B22" s="143"/>
      <c r="C22" s="143"/>
      <c r="D22" s="143"/>
      <c r="E22" s="143"/>
      <c r="F22" s="143"/>
      <c r="G22" s="143"/>
      <c r="H22" s="143"/>
      <c r="I22" s="143"/>
      <c r="J22" s="143"/>
      <c r="K22" s="143"/>
      <c r="L22" s="143"/>
      <c r="M22" s="143"/>
      <c r="N22" s="143"/>
      <c r="O22" s="143"/>
      <c r="P22" s="143"/>
    </row>
    <row r="23" spans="1:16" s="117" customFormat="1" ht="15" customHeight="1" x14ac:dyDescent="0.2">
      <c r="A23" s="120" t="s">
        <v>36</v>
      </c>
    </row>
    <row r="24" spans="1:16" x14ac:dyDescent="0.25">
      <c r="A24" s="78"/>
      <c r="B24" s="78"/>
      <c r="C24" s="78"/>
      <c r="D24" s="78"/>
      <c r="E24" s="78"/>
      <c r="F24" s="78"/>
      <c r="G24" s="78"/>
      <c r="H24" s="78"/>
      <c r="I24" s="78"/>
      <c r="J24" s="78"/>
      <c r="K24" s="78"/>
      <c r="L24" s="78"/>
      <c r="M24" s="78"/>
      <c r="N24" s="78"/>
      <c r="O24" s="78"/>
      <c r="P24" s="78"/>
    </row>
    <row r="25" spans="1:16" x14ac:dyDescent="0.25">
      <c r="A25" s="78"/>
      <c r="B25" s="78"/>
      <c r="C25" s="78"/>
      <c r="D25" s="78"/>
      <c r="E25" s="78"/>
      <c r="F25" s="78"/>
      <c r="G25" s="78"/>
      <c r="H25" s="78"/>
      <c r="I25" s="78"/>
      <c r="J25" s="78"/>
      <c r="K25" s="78"/>
      <c r="L25" s="78"/>
      <c r="M25" s="78"/>
      <c r="N25" s="78"/>
      <c r="O25" s="78"/>
      <c r="P25" s="78"/>
    </row>
  </sheetData>
  <mergeCells count="8">
    <mergeCell ref="A20:P20"/>
    <mergeCell ref="A21:P21"/>
    <mergeCell ref="A22:P22"/>
    <mergeCell ref="A6:A7"/>
    <mergeCell ref="B6:D6"/>
    <mergeCell ref="F6:H6"/>
    <mergeCell ref="J6:L6"/>
    <mergeCell ref="N6:P6"/>
  </mergeCells>
  <pageMargins left="0.7" right="0.7" top="0.75" bottom="0.75" header="0.3" footer="0.3"/>
  <pageSetup paperSize="9" scale="33"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18</vt:i4>
      </vt:variant>
    </vt:vector>
  </HeadingPairs>
  <TitlesOfParts>
    <vt:vector size="36" baseType="lpstr">
      <vt:lpstr>Indice</vt:lpstr>
      <vt:lpstr>cou_f_2019</vt:lpstr>
      <vt:lpstr>cou_f_2020</vt:lpstr>
      <vt:lpstr>cou_f_2021</vt:lpstr>
      <vt:lpstr>aea_1</vt:lpstr>
      <vt:lpstr>aea_2</vt:lpstr>
      <vt:lpstr>aea_3</vt:lpstr>
      <vt:lpstr>aea_4</vt:lpstr>
      <vt:lpstr>int_pbi_1</vt:lpstr>
      <vt:lpstr>int_pbi_2</vt:lpstr>
      <vt:lpstr>int_ae_1</vt:lpstr>
      <vt:lpstr>int_ae_2</vt:lpstr>
      <vt:lpstr>int_ae_3</vt:lpstr>
      <vt:lpstr>int_ae_4</vt:lpstr>
      <vt:lpstr>int_ae_5</vt:lpstr>
      <vt:lpstr>int_ae_6</vt:lpstr>
      <vt:lpstr>int_ae_7</vt:lpstr>
      <vt:lpstr>int_ae_8</vt:lpstr>
      <vt:lpstr>aea_1!Área_de_impresión</vt:lpstr>
      <vt:lpstr>aea_2!Área_de_impresión</vt:lpstr>
      <vt:lpstr>aea_3!Área_de_impresión</vt:lpstr>
      <vt:lpstr>aea_4!Área_de_impresión</vt:lpstr>
      <vt:lpstr>cou_f_2019!Área_de_impresión</vt:lpstr>
      <vt:lpstr>cou_f_2020!Área_de_impresión</vt:lpstr>
      <vt:lpstr>cou_f_2021!Área_de_impresión</vt:lpstr>
      <vt:lpstr>Indice!Área_de_impresión</vt:lpstr>
      <vt:lpstr>int_ae_1!Área_de_impresión</vt:lpstr>
      <vt:lpstr>int_ae_2!Área_de_impresión</vt:lpstr>
      <vt:lpstr>int_ae_3!Área_de_impresión</vt:lpstr>
      <vt:lpstr>int_ae_4!Área_de_impresión</vt:lpstr>
      <vt:lpstr>int_ae_5!Área_de_impresión</vt:lpstr>
      <vt:lpstr>int_ae_6!Área_de_impresión</vt:lpstr>
      <vt:lpstr>int_ae_7!Área_de_impresión</vt:lpstr>
      <vt:lpstr>int_ae_8!Área_de_impresión</vt:lpstr>
      <vt:lpstr>int_pbi_1!Área_de_impresión</vt:lpstr>
      <vt:lpstr>int_pbi_2!Área_de_impresión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Felixalberto Lavado Romani</dc:creator>
  <cp:lastModifiedBy>Felixalberto Lavado Romani</cp:lastModifiedBy>
  <cp:lastPrinted>2026-10-07T21:02:36Z</cp:lastPrinted>
  <dcterms:created xsi:type="dcterms:W3CDTF">2026-08-07T14:15:09Z</dcterms:created>
  <dcterms:modified xsi:type="dcterms:W3CDTF">2026-10-07T21:03:33Z</dcterms:modified>
</cp:coreProperties>
</file>