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o Insumo-Producto" sheetId="1" state="visible" r:id="rId3"/>
    <sheet name="Info" sheetId="2" state="visible" r:id="rId4"/>
  </sheets>
  <externalReferences>
    <externalReference r:id="rId5"/>
    <externalReference r:id="rId6"/>
    <externalReference r:id="rId7"/>
    <externalReference r:id="rId8"/>
  </externalReferences>
  <definedNames>
    <definedName function="false" hidden="false" name="A" vbProcedure="false">#ref!</definedName>
    <definedName function="false" hidden="false" name="AINV" vbProcedure="false">#ref!</definedName>
    <definedName function="false" hidden="false" name="Anew" vbProcedure="false">#ref!</definedName>
    <definedName function="false" hidden="false" name="b" vbProcedure="false">#ref!</definedName>
    <definedName function="false" hidden="false" name="Calculated_Relationship_HS12___HS07" vbProcedure="false">'[1]Correlation HS2012-HS2007'!#REF!</definedName>
    <definedName function="false" hidden="false" name="CMAT" vbProcedure="false">#ref!</definedName>
    <definedName function="false" hidden="false" name="COEF" vbProcedure="false">#ref!</definedName>
    <definedName function="false" hidden="false" name="deltafnew" vbProcedure="false">#REF!</definedName>
    <definedName function="false" hidden="false" name="eprime" vbProcedure="false">'Modelo Insumo-Producto'!$C$36:$D$36</definedName>
    <definedName function="false" hidden="false" name="fdem" vbProcedure="false">'Modelo Insumo-Producto'!$E$4:$E$5</definedName>
    <definedName function="false" hidden="false" name="fdemnew" vbProcedure="false">#REF!</definedName>
    <definedName function="false" hidden="false" name="go_level_top1" vbProcedure="false">OFFSET('[2]35-sector'!$E$36,MATCH(#ref!,'[2]35-sector'!$E$37:$E$71,0),2,1,8)</definedName>
    <definedName function="false" hidden="false" name="gprime" vbProcedure="false">#ref!</definedName>
    <definedName function="false" hidden="false" name="GPRIMEHAT" vbProcedure="false">#ref!</definedName>
    <definedName function="false" hidden="false" name="GPRIMEHATINV" vbProcedure="false">#ref!</definedName>
    <definedName function="false" hidden="false" name="HS" vbProcedure="false">'[3]HS02_CPC1.1_SITC3_ISIC3.1 (2)'!#REF!</definedName>
    <definedName function="false" hidden="false" name="I" vbProcedure="false">#ref!</definedName>
    <definedName function="false" hidden="false" name="identity" vbProcedure="false">'Modelo Insumo-Producto'!$C$21:$D$22</definedName>
    <definedName function="false" hidden="false" name="IP" vbProcedure="false">#ref!</definedName>
    <definedName function="false" hidden="false" name="ISUM" vbProcedure="false">#ref!</definedName>
    <definedName function="false" hidden="false" name="ISUM2" vbProcedure="false">#ref!</definedName>
    <definedName function="false" hidden="false" name="L" vbProcedure="false">'Modelo Insumo-Producto'!$C$27:$D$28</definedName>
    <definedName function="false" hidden="false" name="Lnew" vbProcedure="false">#ref!</definedName>
    <definedName function="false" hidden="false" name="M" vbProcedure="false">#ref!</definedName>
    <definedName function="false" hidden="false" name="M1_stone" vbProcedure="false">'[2]2000'!$E$1382:$BV$1451</definedName>
    <definedName function="false" hidden="false" name="M2_stone" vbProcedure="false">'[2]2000'!$E$1524:$BV$1593</definedName>
    <definedName function="false" hidden="false" name="M3_stone" vbProcedure="false">'[2]2000'!$E$1737:$BV$1806</definedName>
    <definedName function="false" hidden="false" name="Matrix1" vbProcedure="false">#ref!</definedName>
    <definedName function="false" hidden="false" name="N" vbProcedure="false">#ref!</definedName>
    <definedName function="false" hidden="false" name="O" vbProcedure="false">#ref!</definedName>
    <definedName function="false" hidden="false" name="Q" vbProcedure="false">#ref!</definedName>
    <definedName function="false" hidden="false" name="rca_trad_2010" vbProcedure="false">'[4]13-sector VAX_G_2010'!$C$141:$P$203</definedName>
    <definedName function="false" hidden="false" name="rca_trad_2011" vbProcedure="false">'[4]13-sector VAX_G_2011'!$C$141:$P$203</definedName>
    <definedName function="false" hidden="false" name="rca_trad_2012" vbProcedure="false">'[4]13-sector VAX_G_2012'!$C$141:$P$203</definedName>
    <definedName function="false" hidden="false" name="rca_trad_2013" vbProcedure="false">'[4]13-sector VAX_G_2013'!$C$141:$P$203</definedName>
    <definedName function="false" hidden="false" name="rca_trad_2014" vbProcedure="false">'[4]13-sector VAX_G_2014'!$C$141:$P$203</definedName>
    <definedName function="false" hidden="false" name="rca_trad_2015" vbProcedure="false">'[4]13-sector VAX_G_2015'!$C$141:$P$203</definedName>
    <definedName function="false" hidden="false" name="rca_trad_2016" vbProcedure="false">'[4]13-sector VAX_G_2016'!$C$141:$P$203</definedName>
    <definedName function="false" hidden="false" name="rca_trad_2017" vbProcedure="false">'[4]13-sector VAX_G_2017'!$C$141:$P$203</definedName>
    <definedName function="false" hidden="false" name="rca_vax_2010" vbProcedure="false">'[4]13-sector VAX_G_2010'!$C$209:$P$271</definedName>
    <definedName function="false" hidden="false" name="rca_vax_2011" vbProcedure="false">'[4]13-sector VAX_G_2011'!$C$209:$P$271</definedName>
    <definedName function="false" hidden="false" name="rca_vax_2012" vbProcedure="false">'[4]13-sector VAX_G_2012'!$C$209:$P$271</definedName>
    <definedName function="false" hidden="false" name="rca_vax_2013" vbProcedure="false">'[4]13-sector VAX_G_2013'!$C$209:$P$271</definedName>
    <definedName function="false" hidden="false" name="rca_vax_2014" vbProcedure="false">'[4]13-sector VAX_G_2014'!$C$209:$P$271</definedName>
    <definedName function="false" hidden="false" name="rca_vax_2015" vbProcedure="false">'[4]13-sector VAX_G_2015'!$C$209:$P$271</definedName>
    <definedName function="false" hidden="false" name="rca_vax_2016" vbProcedure="false">'[4]13-sector VAX_G_2016'!$C$209:$P$271</definedName>
    <definedName function="false" hidden="false" name="rca_vax_2017" vbProcedure="false">'[4]13-sector VAX_G_2017'!$C$209:$P$271</definedName>
    <definedName function="false" hidden="false" name="REQ" vbProcedure="false">'Modelo Insumo-Producto'!$C$18:$D$19</definedName>
    <definedName function="false" hidden="false" name="S" vbProcedure="false">#ref!</definedName>
    <definedName function="false" hidden="false" name="Sectors" vbProcedure="false">#ref!</definedName>
    <definedName function="false" hidden="false" name="sector_list" vbProcedure="false">#ref!</definedName>
    <definedName function="false" hidden="false" name="SUNBURST" vbProcedure="false">'[4]35-sector'!#REF!</definedName>
    <definedName function="false" hidden="false" name="TM" vbProcedure="false">#ref!</definedName>
    <definedName function="false" hidden="false" name="vax_g_2010" vbProcedure="false">'[4]13-sector VAX_G_2010'!$T$5:$AI$67</definedName>
    <definedName function="false" hidden="false" name="vax_g_2011" vbProcedure="false">'[4]13-sector VAX_G_2011'!$T$5:$AI$67</definedName>
    <definedName function="false" hidden="false" name="vax_g_2012" vbProcedure="false">'[4]13-sector VAX_G_2012'!$T$5:$AI$67</definedName>
    <definedName function="false" hidden="false" name="vax_g_2013" vbProcedure="false">'[4]13-sector VAX_G_2013'!$T$5:$AI$67</definedName>
    <definedName function="false" hidden="false" name="vax_g_2014" vbProcedure="false">'[4]13-sector VAX_G_2014'!$T$5:$AI$67</definedName>
    <definedName function="false" hidden="false" name="vax_g_2015" vbProcedure="false">'[4]13-sector VAX_G_2015'!$T$5:$AI$67</definedName>
    <definedName function="false" hidden="false" name="vax_g_2016" vbProcedure="false">'[4]13-sector VAX_G_2016'!$T$5:$AI$67</definedName>
    <definedName function="false" hidden="false" name="vax_g_2017" vbProcedure="false">'[4]13-sector VAX_G_2017'!$T$5:$AI$67</definedName>
    <definedName function="false" hidden="false" name="xhat" vbProcedure="false">'Modelo Insumo-Producto'!$C$12:$D$13</definedName>
    <definedName function="false" hidden="false" name="xhatinv" vbProcedure="false">'Modelo Insumo-Producto'!$C$15:$D$16</definedName>
    <definedName function="false" hidden="false" name="xnew" vbProcedure="false">#REF!</definedName>
    <definedName function="false" hidden="false" name="xnewdiag" vbProcedure="false">#REF!</definedName>
    <definedName function="false" hidden="false" name="xoriginal" vbProcedure="false">'Modelo Insumo-Producto'!$G$4:$G$5</definedName>
    <definedName function="false" hidden="false" name="x_2010" vbProcedure="false">'[4]13-sector VAX_G_2010'!$C$5:$R$67</definedName>
    <definedName function="false" hidden="false" name="x_2011" vbProcedure="false">'[4]13-sector VAX_G_2011'!$C$5:$R$67</definedName>
    <definedName function="false" hidden="false" name="x_2012" vbProcedure="false">'[4]13-sector VAX_G_2012'!$C$5:$R$67</definedName>
    <definedName function="false" hidden="false" name="x_2013" vbProcedure="false">'[4]13-sector VAX_G_2013'!$C$5:$R$67</definedName>
    <definedName function="false" hidden="false" name="x_2014" vbProcedure="false">'[4]13-sector VAX_G_2014'!$C$5:$R$67</definedName>
    <definedName function="false" hidden="false" name="x_2015" vbProcedure="false">'[4]13-sector VAX_G_2015'!$C$5:$R$67</definedName>
    <definedName function="false" hidden="false" name="x_2016" vbProcedure="false">'[4]13-sector VAX_G_2016'!$C$5:$R$67</definedName>
    <definedName function="false" hidden="false" name="x_2017" vbProcedure="false">'[4]13-sector VAX_G_2017'!$C$5:$R$67</definedName>
    <definedName function="false" hidden="false" name="Z" vbProcedure="false">'Modelo Insumo-Producto'!$C$4:$D$5</definedName>
    <definedName function="false" hidden="false" name="ZETA" vbProcedure="false">#ref!</definedName>
    <definedName function="false" hidden="false" name="Znew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<sst xmlns="http://schemas.openxmlformats.org/spreadsheetml/2006/main" count="26" uniqueCount="21">
  <si>
    <t xml:space="preserve">Agricultura</t>
  </si>
  <si>
    <t xml:space="preserve">Manufacturas</t>
  </si>
  <si>
    <t xml:space="preserve">Demanda Final</t>
  </si>
  <si>
    <t xml:space="preserve">Producto total (x)</t>
  </si>
  <si>
    <t xml:space="preserve">Pago a factores</t>
  </si>
  <si>
    <t xml:space="preserve">Total insumos</t>
  </si>
  <si>
    <t xml:space="preserve">xhat</t>
  </si>
  <si>
    <t xml:space="preserve">xhat ^-1</t>
  </si>
  <si>
    <t xml:space="preserve">A = Z * xhat ^-1 =</t>
  </si>
  <si>
    <t xml:space="preserve">Matriz identidad</t>
  </si>
  <si>
    <t xml:space="preserve">(I-A) =</t>
  </si>
  <si>
    <t xml:space="preserve">(I-A)^-1=L =</t>
  </si>
  <si>
    <t xml:space="preserve">Leontief</t>
  </si>
  <si>
    <t xml:space="preserve">Calibración</t>
  </si>
  <si>
    <t xml:space="preserve">Extensión ambiental</t>
  </si>
  <si>
    <t xml:space="preserve">eprime = </t>
  </si>
  <si>
    <t xml:space="preserve">(emisiones CO2)</t>
  </si>
  <si>
    <t xml:space="preserve">epsilonprime =</t>
  </si>
  <si>
    <t xml:space="preserve">Preparado por Renato Vargas</t>
  </si>
  <si>
    <t xml:space="preserve">Economista / Analista de datos</t>
  </si>
  <si>
    <t xml:space="preserve">https://renatovargas.com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</si>
</sst>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* #,##0.00_);_(* \(#,##0.00\);_(* \-??_);_(@_)"/>
    <numFmt numFmtId="166" formatCode="0.0_)"/>
    <numFmt numFmtId="167" formatCode="0.00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  <font>
      <sz val="12"/>
      <name val="Courier New"/>
      <family val="3"/>
      <charset val="1"/>
    </font>
    <font>
      <u val="single"/>
      <sz val="11"/>
      <color theme="10"/>
      <name val="Aptos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9" tint="0.5999"/>
        <bgColor rgb="FFB5E6A2"/>
      </patternFill>
    </fill>
    <fill>
      <patternFill patternType="solid">
        <fgColor rgb="FFB5E6A2"/>
        <bgColor rgb="FFB4E5A2"/>
      </patternFill>
    </fill>
    <fill>
      <patternFill patternType="solid">
        <fgColor rgb="FFF2CEEF"/>
        <bgColor rgb="FFFFCC99"/>
      </patternFill>
    </fill>
    <fill>
      <patternFill patternType="solid">
        <fgColor rgb="FFA6C9EC"/>
        <bgColor rgb="FFA6CAEC"/>
      </patternFill>
    </fill>
    <fill>
      <patternFill patternType="solid">
        <fgColor theme="3" tint="0.7499"/>
        <bgColor rgb="FFA6C9EC"/>
      </patternFill>
    </fill>
  </fills>
  <borders count="1">
    <border diagonalUp="false" diagonalDown="false">
      <left/>
      <right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tru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 3 2" xfId="21"/>
    <cellStyle name="Comma 3" xfId="22"/>
    <cellStyle name="Normal 3 2" xfId="23"/>
    <cellStyle name="Normal 6 3" xfId="24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C9EC"/>
      <rgbColor rgb="FF808080"/>
      <rgbColor rgb="FF9999FF"/>
      <rgbColor rgb="FF993366"/>
      <rgbColor rgb="FFFFFFCC"/>
      <rgbColor rgb="FFB4E5A2"/>
      <rgbColor rgb="FF660066"/>
      <rgbColor rgb="FFFF8080"/>
      <rgbColor rgb="FF0066CC"/>
      <rgbColor rgb="FFF2CE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5E6A2"/>
      <rgbColor rgb="FFFFFF99"/>
      <rgbColor rgb="FFA6CAE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schemas.openxmlformats.org/officeDocument/2006/relationships/externalLink" Target="externalLinks/externalLink3.xml"/><Relationship Id="rId8" Type="http://schemas.openxmlformats.org/officeDocument/2006/relationships/externalLink" Target="externalLinks/externalLink4.xml"/><Relationship Id="rId9" Type="http://schemas.openxmlformats.org/officeDocument/2006/relationships/sharedStrings" Target="sharedStrings.xml"/><Relationship Id="rId10" Type="http://schemas.openxmlformats.org/officeDocument/2006/relationships/sheetMetadata" Target="metadata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d.docs.live.net/Users/9JB/Downloads/.ptmp414824/HS%202012%20to%20HS%202007%20Correlation%20and%20conversion%20tables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Z:/WIOT/IO%20Indicators/By%20Economy/HKG/HKG_Internal%20Linkage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microsoft.com/office/2006/relationships/xlExternalLinkPath/xlPathMissing" Target="Classification_correspondence%20table.xls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../../../../../G:/ERDI-TA/WIOT/IO%20Indicators/By%20Region/South%20Asia/BAN/BAN%20Section%202.3%20to%203%20-%20value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rrelation HS2012-HS2007"/>
      <sheetName val="HS12-HS07"/>
      <sheetName val="HS07-BEC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hecklist"/>
      <sheetName val="append"/>
      <sheetName val="Internal Linkage"/>
      <sheetName val="Table1.1"/>
      <sheetName val="Table1.2"/>
      <sheetName val="Table1.3"/>
      <sheetName val="Table2.1"/>
      <sheetName val="Table2.2"/>
      <sheetName val="Fig2.1"/>
      <sheetName val="Fig2.2a"/>
      <sheetName val="Fig2.2b"/>
      <sheetName val="35-sector"/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m1-3legend"/>
      <sheetName val="InterData"/>
      <sheetName val="5-sector"/>
      <sheetName val="Summary"/>
      <sheetName val="country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OFOG_ISIC3.1"/>
      <sheetName val="ISIC3.1_CPC1.1"/>
      <sheetName val="COFOG_ISIC3.1_CPC1.1"/>
      <sheetName val="Sheet7"/>
      <sheetName val="COICOP_CPC1.0_CPC1.1"/>
      <sheetName val="Sheet6"/>
      <sheetName val="Sheet5"/>
      <sheetName val="Sheet4"/>
      <sheetName val="HS02_CPC1.1_SITC3_ISIC3.1 (2)"/>
      <sheetName val="HS02_CPC1.1_SITC3_ISIC3.1"/>
      <sheetName val="CPC1.1_CPC1.0"/>
      <sheetName val="CPC1.0_CPC1.1"/>
      <sheetName val="sheet"/>
      <sheetName val="ISIC3.0_ISIC3.1"/>
      <sheetName val="ICP_COICOP"/>
      <sheetName val="COICOP_CP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sectors"/>
      <sheetName val="35-sector"/>
      <sheetName val="13-sector VAX_G_2010"/>
      <sheetName val="13-sector VAX_G_2011"/>
      <sheetName val="13-sector VAX_G_2012"/>
      <sheetName val="13-sector VAX_G_2013"/>
      <sheetName val="13-sector VAX_G_2014"/>
      <sheetName val="13-sector VAX_G_2015"/>
      <sheetName val="13-sector VAX_G_2016"/>
      <sheetName val="13-sector VAX_G_2017"/>
      <sheetName val="Countries_RCA_VAX_G"/>
      <sheetName val="RCA_VAX_G_All countries"/>
      <sheetName val="By country_RCA_VAX_G"/>
      <sheetName val="Colors"/>
      <sheetName val="HE select"/>
      <sheetName val="Fig. 1.2.3"/>
      <sheetName val="Fig. 1.2.3.a"/>
      <sheetName val="Fig. 1.2.3.b."/>
      <sheetName val="Fig. 1.2.4."/>
      <sheetName val="Fig. 1.2.4.a"/>
      <sheetName val="Fig. 1.2.4.b"/>
      <sheetName val="Fig. 1.3.1"/>
      <sheetName val="Fig 1.3.2"/>
      <sheetName val="Fig. 1.3.3"/>
      <sheetName val="Fig. 1.3.4"/>
      <sheetName val="Fig. 1.3.5"/>
      <sheetName val="Fig. 1.3.6"/>
      <sheetName val="Fig. 1.3.7"/>
      <sheetName val="Fig. 1.3.8"/>
      <sheetName val="Fig. 1.3.9"/>
      <sheetName val="Fig. 1.3.10"/>
      <sheetName val="Fig. 1.3.11"/>
      <sheetName val="Fig. 1.3.12"/>
      <sheetName val="Fig. 1.3.13"/>
      <sheetName val="Table 1.3.1"/>
      <sheetName val="Table 1.3.2"/>
      <sheetName val="Table 1.3.3"/>
      <sheetName val="Table 1.3.4"/>
      <sheetName val="Table 1.3.5"/>
      <sheetName val="Fig. 1.3.14"/>
      <sheetName val="Table 1.3.6"/>
      <sheetName val="Fig. 1.3.15"/>
      <sheetName val="Table 1.3.7"/>
      <sheetName val="countrycod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renatovargas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G1048576"/>
  <sheetViews>
    <sheetView showFormulas="false" showGridLines="true" showRowColHeaders="true" showZeros="true" rightToLeft="false" tabSelected="true" showOutlineSymbols="true" defaultGridColor="true" view="normal" topLeftCell="B1" colorId="64" zoomScale="235" zoomScaleNormal="235" zoomScalePageLayoutView="100" workbookViewId="0">
      <selection pane="topLeft" activeCell="C41" activeCellId="0" sqref="C41"/>
    </sheetView>
  </sheetViews>
  <sheetFormatPr defaultColWidth="9.00390625" defaultRowHeight="15" customHeight="false" zeroHeight="false" outlineLevelRow="0" outlineLevelCol="0"/>
  <cols>
    <col collapsed="false" customWidth="true" hidden="false" outlineLevel="0" max="2" min="2" style="0" width="16.83"/>
    <col collapsed="false" customWidth="true" hidden="false" outlineLevel="0" max="3" min="3" style="0" width="16.67"/>
    <col collapsed="false" customWidth="true" hidden="false" outlineLevel="0" max="4" min="4" style="0" width="14"/>
    <col collapsed="false" customWidth="true" hidden="false" outlineLevel="0" max="5" min="5" style="0" width="13.34"/>
    <col collapsed="false" customWidth="true" hidden="false" outlineLevel="0" max="7" min="7" style="0" width="13.67"/>
  </cols>
  <sheetData>
    <row r="3" customFormat="false" ht="15" hidden="false" customHeight="false" outlineLevel="0" collapsed="false">
      <c r="C3" s="0" t="s">
        <v>0</v>
      </c>
      <c r="D3" s="0" t="s">
        <v>1</v>
      </c>
      <c r="E3" s="0" t="s">
        <v>2</v>
      </c>
      <c r="G3" s="0" t="s">
        <v>3</v>
      </c>
    </row>
    <row r="4" customFormat="false" ht="15" hidden="false" customHeight="false" outlineLevel="0" collapsed="false">
      <c r="B4" s="0" t="s">
        <v>0</v>
      </c>
      <c r="C4" s="1">
        <v>150</v>
      </c>
      <c r="D4" s="2">
        <v>500</v>
      </c>
      <c r="E4" s="3">
        <v>350</v>
      </c>
      <c r="G4" s="4" t="n">
        <f aca="false">SUM(C4:E4)</f>
        <v>1000</v>
      </c>
    </row>
    <row r="5" customFormat="false" ht="15" hidden="false" customHeight="false" outlineLevel="0" collapsed="false">
      <c r="B5" s="0" t="s">
        <v>1</v>
      </c>
      <c r="C5" s="1">
        <v>200</v>
      </c>
      <c r="D5" s="1">
        <v>100</v>
      </c>
      <c r="E5" s="3">
        <v>1700</v>
      </c>
      <c r="G5" s="5" t="n">
        <f aca="false">SUM(C5:E5)</f>
        <v>2000</v>
      </c>
    </row>
    <row r="7" customFormat="false" ht="15" hidden="false" customHeight="false" outlineLevel="0" collapsed="false">
      <c r="B7" s="0" t="s">
        <v>4</v>
      </c>
      <c r="C7" s="0">
        <v>650</v>
      </c>
      <c r="D7" s="0">
        <v>1400</v>
      </c>
      <c r="E7" s="0">
        <v>1100</v>
      </c>
    </row>
    <row r="8" customFormat="false" ht="15" hidden="false" customHeight="false" outlineLevel="0" collapsed="false">
      <c r="B8" s="0" t="s">
        <v>5</v>
      </c>
      <c r="C8" s="5">
        <v>1000</v>
      </c>
      <c r="D8" s="5">
        <v>2000</v>
      </c>
      <c r="E8" s="0">
        <v>3150</v>
      </c>
    </row>
    <row r="12" customFormat="false" ht="15" hidden="false" customHeight="false" outlineLevel="0" collapsed="false">
      <c r="B12" s="0" t="s">
        <v>6</v>
      </c>
      <c r="C12" s="5" t="n" cm="1">
        <f aca="true" t="array" ref="C12:D13" ca="1">IF(G4:G5=TRANSPOSE(G4:G5),G4:G5,0)</f>
        <v>1000</v>
      </c>
      <c r="D12" s="5" t="n">
        <v>0</v>
      </c>
    </row>
    <row r="13" customFormat="false" ht="15" hidden="false" customHeight="false" outlineLevel="0" collapsed="false">
      <c r="C13" s="5" t="n">
        <v>0</v>
      </c>
      <c r="D13" s="5" t="n">
        <v>2000</v>
      </c>
    </row>
    <row r="15" customFormat="false" ht="15" hidden="false" customHeight="false" outlineLevel="0" collapsed="false">
      <c r="B15" s="0" t="s">
        <v>7</v>
      </c>
      <c r="C15" s="5" t="n">
        <f aca="false" t="array" ref="C15:D16">MINVERSE(xhat)</f>
        <v>0.001</v>
      </c>
      <c r="D15" s="5" t="n">
        <v>0</v>
      </c>
    </row>
    <row r="16" customFormat="false" ht="15" hidden="false" customHeight="false" outlineLevel="0" collapsed="false">
      <c r="C16" s="5" t="n">
        <v>0</v>
      </c>
      <c r="D16" s="5" t="n">
        <v>0.0005</v>
      </c>
    </row>
    <row r="18" customFormat="false" ht="15" hidden="false" customHeight="false" outlineLevel="0" collapsed="false">
      <c r="B18" s="0" t="s">
        <v>8</v>
      </c>
      <c r="C18" s="5" t="n">
        <f aca="false" t="array" ref="C18:D19">MMULT(Z,xhatinv)</f>
        <v>0.15</v>
      </c>
      <c r="D18" s="5" t="n">
        <v>0.25</v>
      </c>
    </row>
    <row r="19" customFormat="false" ht="15" hidden="false" customHeight="false" outlineLevel="0" collapsed="false">
      <c r="C19" s="6" t="n">
        <v>0.2</v>
      </c>
      <c r="D19" s="5" t="n">
        <v>0.05</v>
      </c>
    </row>
    <row r="21" customFormat="false" ht="15" hidden="false" customHeight="false" outlineLevel="0" collapsed="false">
      <c r="B21" s="0" t="s">
        <v>9</v>
      </c>
      <c r="C21" s="5" t="n">
        <f aca="false" t="array" ref="C21:D22">_xlfn.MUNIT(2)</f>
        <v>1</v>
      </c>
      <c r="D21" s="5" t="n">
        <v>0</v>
      </c>
    </row>
    <row r="22" customFormat="false" ht="15" hidden="false" customHeight="false" outlineLevel="0" collapsed="false">
      <c r="C22" s="5" t="n">
        <v>0</v>
      </c>
      <c r="D22" s="5" t="n">
        <v>1</v>
      </c>
    </row>
    <row r="24" customFormat="false" ht="15" hidden="false" customHeight="false" outlineLevel="0" collapsed="false">
      <c r="B24" s="0" t="s">
        <v>10</v>
      </c>
      <c r="C24" s="5" t="n">
        <f aca="false" t="array" ref="C24:D25">identity-REQ</f>
        <v>0.85</v>
      </c>
      <c r="D24" s="5" t="n">
        <v>-0.25</v>
      </c>
    </row>
    <row r="25" customFormat="false" ht="15" hidden="false" customHeight="false" outlineLevel="0" collapsed="false">
      <c r="C25" s="5" t="n">
        <v>-0.2</v>
      </c>
      <c r="D25" s="5" t="n">
        <v>0.95</v>
      </c>
    </row>
    <row r="27" customFormat="false" ht="15" hidden="false" customHeight="false" outlineLevel="0" collapsed="false">
      <c r="B27" s="0" t="s">
        <v>11</v>
      </c>
      <c r="C27" s="6" t="n">
        <f aca="false" t="array" ref="C27:D28">MINVERSE((identity-REQ))</f>
        <v>1.25412541254125</v>
      </c>
      <c r="D27" s="6" t="n">
        <v>0.33003300330033</v>
      </c>
    </row>
    <row r="28" customFormat="false" ht="15" hidden="false" customHeight="false" outlineLevel="0" collapsed="false">
      <c r="B28" s="7" t="s">
        <v>12</v>
      </c>
      <c r="C28" s="6" t="n">
        <v>0.264026402640264</v>
      </c>
      <c r="D28" s="6" t="n">
        <v>1.12211221122112</v>
      </c>
    </row>
    <row r="30" customFormat="false" ht="15" hidden="false" customHeight="false" outlineLevel="0" collapsed="false">
      <c r="B30" s="0" t="s">
        <v>13</v>
      </c>
      <c r="C30" s="5" t="n">
        <f aca="false" t="array" ref="C30:C31">MMULT(L,fdem)</f>
        <v>1000</v>
      </c>
    </row>
    <row r="31" customFormat="false" ht="15" hidden="false" customHeight="false" outlineLevel="0" collapsed="false">
      <c r="C31" s="5" t="n">
        <v>2000</v>
      </c>
    </row>
    <row r="33" customFormat="false" ht="15" hidden="false" customHeight="false" outlineLevel="0" collapsed="false">
      <c r="B33" s="0" t="s">
        <v>14</v>
      </c>
    </row>
    <row r="35" customFormat="false" ht="15" hidden="false" customHeight="false" outlineLevel="0" collapsed="false">
      <c r="C35" s="0" t="s">
        <v>0</v>
      </c>
      <c r="D35" s="0" t="s">
        <v>1</v>
      </c>
    </row>
    <row r="36" customFormat="false" ht="15" hidden="false" customHeight="false" outlineLevel="0" collapsed="false">
      <c r="B36" s="0" t="s">
        <v>15</v>
      </c>
      <c r="C36" s="5">
        <v>300</v>
      </c>
      <c r="D36" s="5">
        <v>500</v>
      </c>
    </row>
    <row r="37" customFormat="false" ht="15" hidden="false" customHeight="false" outlineLevel="0" collapsed="false">
      <c r="B37" s="0" t="s">
        <v>16</v>
      </c>
    </row>
    <row r="39" customFormat="false" ht="15" hidden="false" customHeight="false" outlineLevel="0" collapsed="false">
      <c r="B39" s="0" t="s">
        <v>17</v>
      </c>
      <c r="C39" s="5" t="n">
        <f aca="false" t="array" ref="C39:D39">MMULT(C36:D36,C15:D16)</f>
        <v>0.3</v>
      </c>
      <c r="D39" s="5" t="n">
        <v>0.25</v>
      </c>
    </row>
    <row r="41" customFormat="false" ht="15" hidden="false" customHeight="false" outlineLevel="0" collapsed="false">
      <c r="B41" s="0" t="s">
        <v>13</v>
      </c>
    </row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235" zoomScaleNormal="235" zoomScalePageLayoutView="100" workbookViewId="0">
      <selection pane="topLeft" activeCell="A3" activeCellId="0" sqref="A3"/>
    </sheetView>
  </sheetViews>
  <sheetFormatPr defaultColWidth="10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18</v>
      </c>
    </row>
    <row r="2" customFormat="false" ht="15" hidden="false" customHeight="false" outlineLevel="0" collapsed="false">
      <c r="A2" s="0" t="s">
        <v>19</v>
      </c>
    </row>
    <row r="3" customFormat="false" ht="14.9" hidden="false" customHeight="false" outlineLevel="0" collapsed="false">
      <c r="A3" s="8" t="s">
        <v>20</v>
      </c>
    </row>
  </sheetData>
  <hyperlinks>
    <hyperlink ref="A3" r:id="rId1" display="https://renatovargas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Collabora_Office/26.04.3.3$Linux_X86_64 LibreOffice_project/7ddebab0ef71e249941ff21d2c8e4fbefa474499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2025-06-18T23:47:34Z</dcterms:created>
  <dc:creator>Renato Vargas</dc:creator>
  <dc:description/>
  <dc:language>en-US</dc:language>
  <cp:lastModifiedBy/>
  <dcterms:modified xsi:type="dcterms:W3CDTF">2026-10-10T02:03:19Z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