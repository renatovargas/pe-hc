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 Insumo-Producto" sheetId="1" state="visible" r:id="rId3"/>
    <sheet name="Info" sheetId="2" state="visible" r:id="rId4"/>
  </sheets>
  <externalReferences>
    <externalReference r:id="rId5"/>
    <externalReference r:id="rId6"/>
    <externalReference r:id="rId7"/>
    <externalReference r:id="rId8"/>
  </externalReferences>
  <definedNames>
    <definedName function="false" hidden="false" name="A" vbProcedure="false">#ref!</definedName>
    <definedName function="false" hidden="false" name="AINV" vbProcedure="false">#ref!</definedName>
    <definedName function="false" hidden="false" name="Anew" vbProcedure="false">#ref!</definedName>
    <definedName function="false" hidden="false" name="b" vbProcedure="false">#ref!</definedName>
    <definedName function="false" hidden="false" name="Calculated_Relationship_HS12___HS07" vbProcedure="false">'[1]Correlation HS2012-HS2007'!#REF!</definedName>
    <definedName function="false" hidden="false" name="CMAT" vbProcedure="false">#ref!</definedName>
    <definedName function="false" hidden="false" name="COEF" vbProcedure="false">#ref!</definedName>
    <definedName function="false" hidden="false" name="deltafnew" vbProcedure="false">'Modelo Insumo-Producto'!$C$56:$C$57</definedName>
    <definedName function="false" hidden="false" name="fdem" vbProcedure="false">'Modelo Insumo-Producto'!$E$4:$E$5</definedName>
    <definedName function="false" hidden="false" name="fdemnew" vbProcedure="false">'Modelo Insumo-Producto'!$C$33:$C$34</definedName>
    <definedName function="false" hidden="false" name="go_level_top1" vbProcedure="false">OFFSET('[2]35-sector'!$E$36,MATCH(#ref!,'[2]35-sector'!$E$37:$E$71,0),2,1,8)</definedName>
    <definedName function="false" hidden="false" name="gprime" vbProcedure="false">#ref!</definedName>
    <definedName function="false" hidden="false" name="GPRIMEHAT" vbProcedure="false">#ref!</definedName>
    <definedName function="false" hidden="false" name="GPRIMEHATINV" vbProcedure="false">#ref!</definedName>
    <definedName function="false" hidden="false" name="HS" vbProcedure="false">'[3]HS02_CPC1.1_SITC3_ISIC3.1 (2)'!#REF!</definedName>
    <definedName function="false" hidden="false" name="I" vbProcedure="false">#ref!</definedName>
    <definedName function="false" hidden="false" name="identity" vbProcedure="false">'Modelo Insumo-Producto'!$C$21:$D$22</definedName>
    <definedName function="false" hidden="false" name="IP" vbProcedure="false">#ref!</definedName>
    <definedName function="false" hidden="false" name="ISUM" vbProcedure="false">#ref!</definedName>
    <definedName function="false" hidden="false" name="ISUM2" vbProcedure="false">#ref!</definedName>
    <definedName function="false" hidden="false" name="L" vbProcedure="false">'Modelo Insumo-Producto'!$C$27:$D$28</definedName>
    <definedName function="false" hidden="false" name="Lnew" vbProcedure="false">#ref!</definedName>
    <definedName function="false" hidden="false" name="M" vbProcedure="false">#ref!</definedName>
    <definedName function="false" hidden="false" name="M1_stone" vbProcedure="false">'[2]2000'!$E$1382:$BV$1451</definedName>
    <definedName function="false" hidden="false" name="M2_stone" vbProcedure="false">'[2]2000'!$E$1524:$BV$1593</definedName>
    <definedName function="false" hidden="false" name="M3_stone" vbProcedure="false">'[2]2000'!$E$1737:$BV$1806</definedName>
    <definedName function="false" hidden="false" name="Matrix1" vbProcedure="false">#ref!</definedName>
    <definedName function="false" hidden="false" name="N" vbProcedure="false">#ref!</definedName>
    <definedName function="false" hidden="false" name="O" vbProcedure="false">#ref!</definedName>
    <definedName function="false" hidden="false" name="Q" vbProcedure="false">#ref!</definedName>
    <definedName function="false" hidden="false" name="rca_trad_2010" vbProcedure="false">'[4]13-sector VAX_G_2010'!$C$141:$P$203</definedName>
    <definedName function="false" hidden="false" name="rca_trad_2011" vbProcedure="false">'[4]13-sector VAX_G_2011'!$C$141:$P$203</definedName>
    <definedName function="false" hidden="false" name="rca_trad_2012" vbProcedure="false">'[4]13-sector VAX_G_2012'!$C$141:$P$203</definedName>
    <definedName function="false" hidden="false" name="rca_trad_2013" vbProcedure="false">'[4]13-sector VAX_G_2013'!$C$141:$P$203</definedName>
    <definedName function="false" hidden="false" name="rca_trad_2014" vbProcedure="false">'[4]13-sector VAX_G_2014'!$C$141:$P$203</definedName>
    <definedName function="false" hidden="false" name="rca_trad_2015" vbProcedure="false">'[4]13-sector VAX_G_2015'!$C$141:$P$203</definedName>
    <definedName function="false" hidden="false" name="rca_trad_2016" vbProcedure="false">'[4]13-sector VAX_G_2016'!$C$141:$P$203</definedName>
    <definedName function="false" hidden="false" name="rca_trad_2017" vbProcedure="false">'[4]13-sector VAX_G_2017'!$C$141:$P$203</definedName>
    <definedName function="false" hidden="false" name="rca_vax_2010" vbProcedure="false">'[4]13-sector VAX_G_2010'!$C$209:$P$271</definedName>
    <definedName function="false" hidden="false" name="rca_vax_2011" vbProcedure="false">'[4]13-sector VAX_G_2011'!$C$209:$P$271</definedName>
    <definedName function="false" hidden="false" name="rca_vax_2012" vbProcedure="false">'[4]13-sector VAX_G_2012'!$C$209:$P$271</definedName>
    <definedName function="false" hidden="false" name="rca_vax_2013" vbProcedure="false">'[4]13-sector VAX_G_2013'!$C$209:$P$271</definedName>
    <definedName function="false" hidden="false" name="rca_vax_2014" vbProcedure="false">'[4]13-sector VAX_G_2014'!$C$209:$P$271</definedName>
    <definedName function="false" hidden="false" name="rca_vax_2015" vbProcedure="false">'[4]13-sector VAX_G_2015'!$C$209:$P$271</definedName>
    <definedName function="false" hidden="false" name="rca_vax_2016" vbProcedure="false">'[4]13-sector VAX_G_2016'!$C$209:$P$271</definedName>
    <definedName function="false" hidden="false" name="rca_vax_2017" vbProcedure="false">'[4]13-sector VAX_G_2017'!$C$209:$P$271</definedName>
    <definedName function="false" hidden="false" name="REQ" vbProcedure="false">'Modelo Insumo-Producto'!$C$18:$D$19</definedName>
    <definedName function="false" hidden="false" name="S" vbProcedure="false">#ref!</definedName>
    <definedName function="false" hidden="false" name="Sectors" vbProcedure="false">#ref!</definedName>
    <definedName function="false" hidden="false" name="sector_list" vbProcedure="false">#ref!</definedName>
    <definedName function="false" hidden="false" name="SUNBURST" vbProcedure="false">'[4]35-sector'!#REF!</definedName>
    <definedName function="false" hidden="false" name="TM" vbProcedure="false">#ref!</definedName>
    <definedName function="false" hidden="false" name="vax_g_2010" vbProcedure="false">'[4]13-sector VAX_G_2010'!$T$5:$AI$67</definedName>
    <definedName function="false" hidden="false" name="vax_g_2011" vbProcedure="false">'[4]13-sector VAX_G_2011'!$T$5:$AI$67</definedName>
    <definedName function="false" hidden="false" name="vax_g_2012" vbProcedure="false">'[4]13-sector VAX_G_2012'!$T$5:$AI$67</definedName>
    <definedName function="false" hidden="false" name="vax_g_2013" vbProcedure="false">'[4]13-sector VAX_G_2013'!$T$5:$AI$67</definedName>
    <definedName function="false" hidden="false" name="vax_g_2014" vbProcedure="false">'[4]13-sector VAX_G_2014'!$T$5:$AI$67</definedName>
    <definedName function="false" hidden="false" name="vax_g_2015" vbProcedure="false">'[4]13-sector VAX_G_2015'!$T$5:$AI$67</definedName>
    <definedName function="false" hidden="false" name="vax_g_2016" vbProcedure="false">'[4]13-sector VAX_G_2016'!$T$5:$AI$67</definedName>
    <definedName function="false" hidden="false" name="vax_g_2017" vbProcedure="false">'[4]13-sector VAX_G_2017'!$T$5:$AI$67</definedName>
    <definedName function="false" hidden="false" name="xhat" vbProcedure="false">'Modelo Insumo-Producto'!$C$12:$D$13</definedName>
    <definedName function="false" hidden="false" name="xhatinv" vbProcedure="false">'Modelo Insumo-Producto'!$C$15:$D$16</definedName>
    <definedName function="false" hidden="false" name="xnew" vbProcedure="false">'Modelo Insumo-Producto'!$C$36:$C$37</definedName>
    <definedName function="false" hidden="false" name="xnewdiag" vbProcedure="false">'Modelo Insumo-Producto'!$C$39:$D$40</definedName>
    <definedName function="false" hidden="false" name="xoriginal" vbProcedure="false">'Modelo Insumo-Producto'!$G$4:$G$5</definedName>
    <definedName function="false" hidden="false" name="x_2010" vbProcedure="false">'[4]13-sector VAX_G_2010'!$C$5:$R$67</definedName>
    <definedName function="false" hidden="false" name="x_2011" vbProcedure="false">'[4]13-sector VAX_G_2011'!$C$5:$R$67</definedName>
    <definedName function="false" hidden="false" name="x_2012" vbProcedure="false">'[4]13-sector VAX_G_2012'!$C$5:$R$67</definedName>
    <definedName function="false" hidden="false" name="x_2013" vbProcedure="false">'[4]13-sector VAX_G_2013'!$C$5:$R$67</definedName>
    <definedName function="false" hidden="false" name="x_2014" vbProcedure="false">'[4]13-sector VAX_G_2014'!$C$5:$R$67</definedName>
    <definedName function="false" hidden="false" name="x_2015" vbProcedure="false">'[4]13-sector VAX_G_2015'!$C$5:$R$67</definedName>
    <definedName function="false" hidden="false" name="x_2016" vbProcedure="false">'[4]13-sector VAX_G_2016'!$C$5:$R$67</definedName>
    <definedName function="false" hidden="false" name="x_2017" vbProcedure="false">'[4]13-sector VAX_G_2017'!$C$5:$R$67</definedName>
    <definedName function="false" hidden="false" name="Z" vbProcedure="false">'Modelo Insumo-Producto'!$C$4:$D$5</definedName>
    <definedName function="false" hidden="false" name="ZETA" vbProcedure="false">#ref!</definedName>
    <definedName function="false" hidden="false" name="Znew" vbProcedure="false">'Modelo Insumo-Producto'!$C$42:$D$43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<sst xmlns="http://schemas.openxmlformats.org/spreadsheetml/2006/main" count="85" uniqueCount="62">
  <si>
    <t xml:space="preserve">Agricultura</t>
  </si>
  <si>
    <t xml:space="preserve">Manufacturas</t>
  </si>
  <si>
    <t xml:space="preserve">Demanda Final</t>
  </si>
  <si>
    <t xml:space="preserve">Producto total (x)</t>
  </si>
  <si>
    <t xml:space="preserve">Pago a factores</t>
  </si>
  <si>
    <t xml:space="preserve">Total insumos</t>
  </si>
  <si>
    <t xml:space="preserve">xhat</t>
  </si>
  <si>
    <t xml:space="preserve">xhat ^-1</t>
  </si>
  <si>
    <t xml:space="preserve">A = Z * xhat ^-1 =</t>
  </si>
  <si>
    <t xml:space="preserve">Matriz identidad</t>
  </si>
  <si>
    <t xml:space="preserve">(I-A) =</t>
  </si>
  <si>
    <t xml:space="preserve">(I-A)^-1=L =</t>
  </si>
  <si>
    <t xml:space="preserve">Leontief</t>
  </si>
  <si>
    <t xml:space="preserve">Calibración</t>
  </si>
  <si>
    <t xml:space="preserve">Nueva Demanda</t>
  </si>
  <si>
    <t xml:space="preserve">L * Fnew = Xnew =</t>
  </si>
  <si>
    <t xml:space="preserve">Xnueva diag =</t>
  </si>
  <si>
    <t xml:space="preserve">A * xnueva diag =</t>
  </si>
  <si>
    <t xml:space="preserve">Znueva</t>
  </si>
  <si>
    <t xml:space="preserve">Nuevo cuadro insumo-producto</t>
  </si>
  <si>
    <t xml:space="preserve">Pagos</t>
  </si>
  <si>
    <t xml:space="preserve">Gastos totales</t>
  </si>
  <si>
    <t xml:space="preserve">Cambios en lugar de niveles</t>
  </si>
  <si>
    <t xml:space="preserve">deltafnueva =</t>
  </si>
  <si>
    <t xml:space="preserve">deltaxnueva</t>
  </si>
  <si>
    <t xml:space="preserve">tipo de cambio tc =</t>
  </si>
  <si>
    <t xml:space="preserve">lcf =</t>
  </si>
  <si>
    <t xml:space="preserve">f en moneda local</t>
  </si>
  <si>
    <t xml:space="preserve">Extensión ambiental</t>
  </si>
  <si>
    <t xml:space="preserve">eprime = </t>
  </si>
  <si>
    <t xml:space="preserve">(emisiones CO2)</t>
  </si>
  <si>
    <t xml:space="preserve">epsilonprime =</t>
  </si>
  <si>
    <t xml:space="preserve">Epsilonhat =</t>
  </si>
  <si>
    <t xml:space="preserve">Epsilonhat * L * f =</t>
  </si>
  <si>
    <t xml:space="preserve">Epsilonhat * L * fnueva =</t>
  </si>
  <si>
    <t xml:space="preserve">Multiplicadores</t>
  </si>
  <si>
    <t xml:space="preserve">Vector sumatorio columna</t>
  </si>
  <si>
    <t xml:space="preserve">Vector sumatorio fila</t>
  </si>
  <si>
    <t xml:space="preserve">Multiplicadores Leontief</t>
  </si>
  <si>
    <t xml:space="preserve">M =</t>
  </si>
  <si>
    <t xml:space="preserve">Matriz de emisiones directas e indirectas </t>
  </si>
  <si>
    <t xml:space="preserve">Multiplicadores de emisiones</t>
  </si>
  <si>
    <t xml:space="preserve">fagric</t>
  </si>
  <si>
    <t xml:space="preserve">fmanuf</t>
  </si>
  <si>
    <t xml:space="preserve">Emisiones demanda final agricultura</t>
  </si>
  <si>
    <t xml:space="preserve">Directas</t>
  </si>
  <si>
    <t xml:space="preserve">Indirectas</t>
  </si>
  <si>
    <t xml:space="preserve">Emisiones totales demanda final  agricultura</t>
  </si>
  <si>
    <t xml:space="preserve">Totales</t>
  </si>
  <si>
    <t xml:space="preserve">Emisiones demanda final manufacturas</t>
  </si>
  <si>
    <t xml:space="preserve">Emisiones totales demanda final manufacturas</t>
  </si>
  <si>
    <t xml:space="preserve">Cálculo directo</t>
  </si>
  <si>
    <t xml:space="preserve">fprime =</t>
  </si>
  <si>
    <t xml:space="preserve">fnuevaprime =</t>
  </si>
  <si>
    <t xml:space="preserve">fhat =</t>
  </si>
  <si>
    <t xml:space="preserve">fnuevahat = </t>
  </si>
  <si>
    <t xml:space="preserve">Huellas de carbono</t>
  </si>
  <si>
    <t xml:space="preserve">Epsilon * L * fhat =</t>
  </si>
  <si>
    <t xml:space="preserve">Epsilon * L * fnuevahat =</t>
  </si>
  <si>
    <t xml:space="preserve">Preparado por Renato Vargas</t>
  </si>
  <si>
    <t xml:space="preserve">Economista / Analista de datos</t>
  </si>
  <si>
    <t xml:space="preserve">https://renatovargas.com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</si>
</sst>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0.0_)"/>
    <numFmt numFmtId="167" formatCode="0.00"/>
    <numFmt numFmtId="168" formatCode="0.0"/>
    <numFmt numFmtId="169" formatCode="0.000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2"/>
      <name val="Courier New"/>
      <family val="3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1"/>
      <name val="Aptos Narrow"/>
      <family val="0"/>
      <charset val="1"/>
    </font>
    <font>
      <u val="single"/>
      <sz val="11"/>
      <color theme="10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9" tint="0.5999"/>
        <bgColor rgb="FFB5E6A2"/>
      </patternFill>
    </fill>
    <fill>
      <patternFill patternType="solid">
        <fgColor rgb="FFB5E6A2"/>
        <bgColor rgb="FFB4E5A2"/>
      </patternFill>
    </fill>
    <fill>
      <patternFill patternType="solid">
        <fgColor rgb="FFF2CEEF"/>
        <bgColor rgb="FFF2CFEE"/>
      </patternFill>
    </fill>
    <fill>
      <patternFill patternType="solid">
        <fgColor rgb="FFA6C9EC"/>
        <bgColor rgb="FFA6CAEC"/>
      </patternFill>
    </fill>
    <fill>
      <patternFill patternType="solid">
        <fgColor theme="3" tint="0.7499"/>
        <bgColor rgb="FFA6C9EC"/>
      </patternFill>
    </fill>
    <fill>
      <patternFill patternType="solid">
        <fgColor theme="8" tint="0.7999"/>
        <bgColor rgb="FFF2CEEF"/>
      </patternFill>
    </fill>
    <fill>
      <patternFill patternType="solid">
        <fgColor rgb="FFE8E8E8"/>
        <bgColor rgb="FFF2CFEE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tru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 3 2" xfId="21"/>
    <cellStyle name="Comma 3" xfId="22"/>
    <cellStyle name="Normal 3 2" xfId="23"/>
    <cellStyle name="Normal 6 3" xfId="24"/>
    <cellStyle name="*unknown*" xfId="20" builtinId="8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C9EC"/>
      <rgbColor rgb="FF808080"/>
      <rgbColor rgb="FF9999FF"/>
      <rgbColor rgb="FF993366"/>
      <rgbColor rgb="FFFFFFCC"/>
      <rgbColor rgb="FFB4E5A2"/>
      <rgbColor rgb="FF660066"/>
      <rgbColor rgb="FFFF8080"/>
      <rgbColor rgb="FF0066CC"/>
      <rgbColor rgb="FFF2CE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5E6A2"/>
      <rgbColor rgb="FFFFFF99"/>
      <rgbColor rgb="FFA6CAEC"/>
      <rgbColor rgb="FFFF99CC"/>
      <rgbColor rgb="FFCC99FF"/>
      <rgbColor rgb="FFF2CFEE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d.docs.live.net/Users/9JB/Downloads/.ptmp414824/HS%202012%20to%20HS%202007%20Correlation%20and%20conversion%20tables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Z:/WIOT/IO%20Indicators/By%20Economy/HKG/HKG_Internal%20Linkage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microsoft.com/office/2006/relationships/xlExternalLinkPath/xlPathMissing" Target="Classification_correspondence%20table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../../../../../G:/ERDI-TA/WIOT/IO%20Indicators/By%20Region/South%20Asia/BAN/BAN%20Section%202.3%20to%203%20-%20value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renatovargas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13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116" activeCellId="0" sqref="D116"/>
    </sheetView>
  </sheetViews>
  <sheetFormatPr defaultColWidth="8.37109375" defaultRowHeight="15" customHeight="false" zeroHeight="false" outlineLevelRow="0" outlineLevelCol="0"/>
  <cols>
    <col collapsed="false" customWidth="true" hidden="false" outlineLevel="0" max="2" min="2" style="1" width="40.42"/>
    <col collapsed="false" customWidth="true" hidden="false" outlineLevel="0" max="3" min="3" style="1" width="19.3"/>
    <col collapsed="false" customWidth="true" hidden="false" outlineLevel="0" max="4" min="4" style="1" width="13"/>
    <col collapsed="false" customWidth="true" hidden="false" outlineLevel="0" max="5" min="5" style="1" width="12.4"/>
    <col collapsed="false" customWidth="true" hidden="false" outlineLevel="0" max="7" min="7" style="1" width="12.69"/>
  </cols>
  <sheetData>
    <row r="3" customFormat="false" ht="15" hidden="false" customHeight="false" outlineLevel="0" collapsed="false">
      <c r="C3" s="1" t="s">
        <v>0</v>
      </c>
      <c r="D3" s="1" t="s">
        <v>1</v>
      </c>
      <c r="E3" s="1" t="s">
        <v>2</v>
      </c>
      <c r="G3" s="1" t="s">
        <v>3</v>
      </c>
    </row>
    <row r="4" customFormat="false" ht="15" hidden="false" customHeight="false" outlineLevel="0" collapsed="false">
      <c r="B4" s="1" t="s">
        <v>0</v>
      </c>
      <c r="C4" s="2">
        <v>150</v>
      </c>
      <c r="D4" s="3">
        <v>500</v>
      </c>
      <c r="E4" s="4">
        <v>350</v>
      </c>
      <c r="G4" s="5" t="n">
        <f aca="false">SUM(C4:E4)</f>
        <v>1000</v>
      </c>
    </row>
    <row r="5" customFormat="false" ht="15" hidden="false" customHeight="false" outlineLevel="0" collapsed="false">
      <c r="B5" s="1" t="s">
        <v>1</v>
      </c>
      <c r="C5" s="2">
        <v>200</v>
      </c>
      <c r="D5" s="2">
        <v>100</v>
      </c>
      <c r="E5" s="4">
        <v>1700</v>
      </c>
      <c r="G5" s="6" t="n">
        <f aca="false">SUM(C5:E5)</f>
        <v>2000</v>
      </c>
    </row>
    <row r="7" customFormat="false" ht="15" hidden="false" customHeight="false" outlineLevel="0" collapsed="false">
      <c r="B7" s="1" t="s">
        <v>4</v>
      </c>
      <c r="C7" s="1">
        <v>650</v>
      </c>
      <c r="D7" s="1">
        <v>1400</v>
      </c>
      <c r="E7" s="1">
        <v>1100</v>
      </c>
    </row>
    <row r="8" customFormat="false" ht="15" hidden="false" customHeight="false" outlineLevel="0" collapsed="false">
      <c r="B8" s="1" t="s">
        <v>5</v>
      </c>
      <c r="C8" s="6">
        <v>1000</v>
      </c>
      <c r="D8" s="6">
        <v>2000</v>
      </c>
      <c r="E8" s="1">
        <v>3150</v>
      </c>
    </row>
    <row r="12" customFormat="false" ht="15" hidden="false" customHeight="false" outlineLevel="0" collapsed="false">
      <c r="B12" s="1" t="s">
        <v>6</v>
      </c>
      <c r="C12" s="6" t="n" cm="1">
        <f aca="true" t="array" ref="C12:D13" ca="1">IF(G4:G5=TRANSPOSE(G4:G5),G4:G5,0)</f>
        <v>1000</v>
      </c>
      <c r="D12" s="6" t="n">
        <v>0</v>
      </c>
    </row>
    <row r="13" customFormat="false" ht="15" hidden="false" customHeight="false" outlineLevel="0" collapsed="false">
      <c r="C13" s="6" t="n">
        <v>0</v>
      </c>
      <c r="D13" s="6" t="n">
        <v>2000</v>
      </c>
    </row>
    <row r="15" customFormat="false" ht="15" hidden="false" customHeight="false" outlineLevel="0" collapsed="false">
      <c r="B15" s="1" t="s">
        <v>7</v>
      </c>
      <c r="C15" s="6" t="n">
        <f aca="false" t="array" ref="C15:D16">MINVERSE(xhat)</f>
        <v>0.001</v>
      </c>
      <c r="D15" s="6" t="n">
        <v>0</v>
      </c>
    </row>
    <row r="16" customFormat="false" ht="15" hidden="false" customHeight="false" outlineLevel="0" collapsed="false">
      <c r="C16" s="6" t="n">
        <v>0</v>
      </c>
      <c r="D16" s="6" t="n">
        <v>0.0005</v>
      </c>
    </row>
    <row r="18" customFormat="false" ht="15" hidden="false" customHeight="false" outlineLevel="0" collapsed="false">
      <c r="B18" s="1" t="s">
        <v>8</v>
      </c>
      <c r="C18" s="6" t="n">
        <f aca="false" t="array" ref="C18:D19">MMULT(Z,xhatinv)</f>
        <v>0.15</v>
      </c>
      <c r="D18" s="6" t="n">
        <v>0.25</v>
      </c>
    </row>
    <row r="19" customFormat="false" ht="15" hidden="false" customHeight="false" outlineLevel="0" collapsed="false">
      <c r="C19" s="7" t="n">
        <v>0.2</v>
      </c>
      <c r="D19" s="6" t="n">
        <v>0.05</v>
      </c>
    </row>
    <row r="21" customFormat="false" ht="15" hidden="false" customHeight="false" outlineLevel="0" collapsed="false">
      <c r="B21" s="1" t="s">
        <v>9</v>
      </c>
      <c r="C21" s="6" t="n">
        <f aca="false" t="array" ref="C21:D22">_xlfn.MUNIT(2)</f>
        <v>1</v>
      </c>
      <c r="D21" s="6" t="n">
        <v>0</v>
      </c>
    </row>
    <row r="22" customFormat="false" ht="15" hidden="false" customHeight="false" outlineLevel="0" collapsed="false">
      <c r="C22" s="6" t="n">
        <v>0</v>
      </c>
      <c r="D22" s="6" t="n">
        <v>1</v>
      </c>
    </row>
    <row r="24" customFormat="false" ht="15" hidden="false" customHeight="false" outlineLevel="0" collapsed="false">
      <c r="B24" s="1" t="s">
        <v>10</v>
      </c>
      <c r="C24" s="6" t="n">
        <f aca="false" t="array" ref="C24:D25">identity-REQ</f>
        <v>0.85</v>
      </c>
      <c r="D24" s="6" t="n">
        <v>-0.25</v>
      </c>
    </row>
    <row r="25" customFormat="false" ht="15" hidden="false" customHeight="false" outlineLevel="0" collapsed="false">
      <c r="C25" s="6" t="n">
        <v>-0.2</v>
      </c>
      <c r="D25" s="6" t="n">
        <v>0.95</v>
      </c>
    </row>
    <row r="27" customFormat="false" ht="15" hidden="false" customHeight="false" outlineLevel="0" collapsed="false">
      <c r="B27" s="1" t="s">
        <v>11</v>
      </c>
      <c r="C27" s="6" t="n">
        <f aca="false" t="array" ref="C27:D28">MINVERSE((identity-REQ))</f>
        <v>1.25412541254125</v>
      </c>
      <c r="D27" s="6" t="n">
        <v>0.33003300330033</v>
      </c>
    </row>
    <row r="28" customFormat="false" ht="15" hidden="false" customHeight="false" outlineLevel="0" collapsed="false">
      <c r="B28" s="8" t="s">
        <v>12</v>
      </c>
      <c r="C28" s="6" t="n">
        <v>0.264026402640264</v>
      </c>
      <c r="D28" s="6" t="n">
        <v>1.12211221122112</v>
      </c>
    </row>
    <row r="30" customFormat="false" ht="15" hidden="false" customHeight="false" outlineLevel="0" collapsed="false">
      <c r="B30" s="1" t="s">
        <v>13</v>
      </c>
      <c r="C30" s="6" t="n">
        <f aca="false" t="array" ref="C30:C31">MMULT(L,fdem)</f>
        <v>1000</v>
      </c>
    </row>
    <row r="31" customFormat="false" ht="15" hidden="false" customHeight="false" outlineLevel="0" collapsed="false">
      <c r="C31" s="6" t="n">
        <v>2000</v>
      </c>
    </row>
    <row r="33" customFormat="false" ht="15" hidden="false" customHeight="false" outlineLevel="0" collapsed="false">
      <c r="B33" s="1" t="s">
        <v>14</v>
      </c>
      <c r="C33" s="6">
        <v>600</v>
      </c>
    </row>
    <row r="34" customFormat="false" ht="15" hidden="false" customHeight="false" outlineLevel="0" collapsed="false">
      <c r="C34" s="6">
        <v>1500</v>
      </c>
    </row>
    <row r="36" customFormat="false" ht="15" hidden="false" customHeight="false" outlineLevel="0" collapsed="false">
      <c r="B36" s="1" t="s">
        <v>15</v>
      </c>
      <c r="C36" s="6" t="n">
        <f aca="false" t="array" ref="C36:C37">MMULT(L,fdemnew)</f>
        <v>1247.52475247525</v>
      </c>
    </row>
    <row r="37" customFormat="false" ht="15" hidden="false" customHeight="false" outlineLevel="0" collapsed="false">
      <c r="C37" s="6" t="n">
        <v>1841.58415841584</v>
      </c>
    </row>
    <row r="39" customFormat="false" ht="15" hidden="false" customHeight="false" outlineLevel="0" collapsed="false">
      <c r="B39" s="1" t="s">
        <v>16</v>
      </c>
      <c r="C39" s="6" t="n" cm="1">
        <f aca="true" t="array" ref="C39:D40" ca="1">IF(C36:C37=TRANSPOSE(C36:C37),C36:C37,0)</f>
        <v>1247.52475247525</v>
      </c>
      <c r="D39" s="6" t="n">
        <v>0</v>
      </c>
    </row>
    <row r="40" customFormat="false" ht="15" hidden="false" customHeight="false" outlineLevel="0" collapsed="false">
      <c r="C40" s="6" t="n">
        <v>0</v>
      </c>
      <c r="D40" s="6" t="n">
        <v>1841.58415841584</v>
      </c>
    </row>
    <row r="42" customFormat="false" ht="15" hidden="false" customHeight="false" outlineLevel="0" collapsed="false">
      <c r="B42" s="1" t="s">
        <v>17</v>
      </c>
      <c r="C42" s="9" t="n" cm="1">
        <f aca="true" t="array" ref="C42:D43" ca="1">MMULT(REQ,xnewdiag)</f>
        <v>187.128712871287</v>
      </c>
      <c r="D42" s="9" t="n">
        <v>460.39603960396</v>
      </c>
    </row>
    <row r="43" customFormat="false" ht="15" hidden="false" customHeight="false" outlineLevel="0" collapsed="false">
      <c r="B43" s="1" t="s">
        <v>18</v>
      </c>
      <c r="C43" s="9" t="n">
        <v>249.504950495049</v>
      </c>
      <c r="D43" s="9" t="n">
        <v>92.0792079207921</v>
      </c>
    </row>
    <row r="45" customFormat="false" ht="15" hidden="false" customHeight="false" outlineLevel="0" collapsed="false">
      <c r="B45" s="10" t="s">
        <v>19</v>
      </c>
    </row>
    <row r="47" customFormat="false" ht="15" hidden="false" customHeight="false" outlineLevel="0" collapsed="false">
      <c r="C47" s="1" t="s">
        <v>0</v>
      </c>
      <c r="D47" s="1" t="s">
        <v>1</v>
      </c>
      <c r="E47" s="1" t="s">
        <v>2</v>
      </c>
      <c r="G47" s="1" t="s">
        <v>3</v>
      </c>
    </row>
    <row r="48" customFormat="false" ht="15" hidden="false" customHeight="false" outlineLevel="0" collapsed="false">
      <c r="B48" s="1" t="s">
        <v>0</v>
      </c>
      <c r="C48" s="11" t="n">
        <f aca="false" t="array" ref="C48:D49">C42:D43</f>
        <v>187.128712871287</v>
      </c>
      <c r="D48" s="11" t="n">
        <v>460.39603960396</v>
      </c>
      <c r="E48" s="12" t="n">
        <f aca="false" t="array" ref="E48:E49">C33:C34</f>
        <v>600</v>
      </c>
      <c r="G48" s="13" t="n">
        <f aca="false">SUM(C48:E48)</f>
        <v>1247.52475247525</v>
      </c>
    </row>
    <row r="49" customFormat="false" ht="15" hidden="false" customHeight="false" outlineLevel="0" collapsed="false">
      <c r="B49" s="1" t="s">
        <v>1</v>
      </c>
      <c r="C49" s="11" t="n">
        <v>249.504950495049</v>
      </c>
      <c r="D49" s="11" t="n">
        <v>92.0792079207921</v>
      </c>
      <c r="E49" s="12" t="n">
        <v>1500</v>
      </c>
      <c r="G49" s="13" t="n">
        <f aca="false">SUM(C49:E49)</f>
        <v>1841.58415841584</v>
      </c>
    </row>
    <row r="51" customFormat="false" ht="15" hidden="false" customHeight="false" outlineLevel="0" collapsed="false">
      <c r="B51" s="1" t="s">
        <v>20</v>
      </c>
      <c r="C51" s="14" t="n">
        <f aca="false">C52-SUM(C48:C49)</f>
        <v>810.891089108911</v>
      </c>
      <c r="D51" s="14" t="n">
        <f aca="false">D52-SUM(D48:D49)</f>
        <v>1289.10891089109</v>
      </c>
      <c r="E51" s="14">
        <v>1100</v>
      </c>
    </row>
    <row r="52" customFormat="false" ht="15" hidden="false" customHeight="false" outlineLevel="0" collapsed="false">
      <c r="B52" s="1" t="s">
        <v>21</v>
      </c>
      <c r="C52" s="13" t="n">
        <f aca="false">G48</f>
        <v>1247.52475247525</v>
      </c>
      <c r="D52" s="13" t="n">
        <f aca="false">G49</f>
        <v>1841.58415841584</v>
      </c>
      <c r="E52" s="1">
        <v>3200</v>
      </c>
    </row>
    <row r="54" customFormat="false" ht="15" hidden="false" customHeight="false" outlineLevel="0" collapsed="false">
      <c r="B54" s="15" t="s">
        <v>22</v>
      </c>
    </row>
    <row r="56" customFormat="false" ht="15" hidden="false" customHeight="false" outlineLevel="0" collapsed="false">
      <c r="B56" s="1" t="s">
        <v>23</v>
      </c>
      <c r="C56" s="6" t="n">
        <f aca="false" t="array" ref="C56:C57">fdemnew-fdem</f>
        <v>250</v>
      </c>
    </row>
    <row r="57" customFormat="false" ht="15" hidden="false" customHeight="false" outlineLevel="0" collapsed="false">
      <c r="C57" s="6" t="n">
        <v>-200</v>
      </c>
    </row>
    <row r="59" customFormat="false" ht="15" hidden="false" customHeight="false" outlineLevel="0" collapsed="false">
      <c r="B59" s="1" t="s">
        <v>24</v>
      </c>
      <c r="C59" s="7" t="n">
        <f aca="false" t="array" ref="C59:C60">xnew-xoriginal</f>
        <v>247.524752475247</v>
      </c>
    </row>
    <row r="60" customFormat="false" ht="15" hidden="false" customHeight="false" outlineLevel="0" collapsed="false">
      <c r="C60" s="7" t="n">
        <v>-158.415841584158</v>
      </c>
    </row>
    <row r="62" customFormat="false" ht="15" hidden="false" customHeight="false" outlineLevel="0" collapsed="false">
      <c r="B62" s="1" t="s">
        <v>25</v>
      </c>
      <c r="C62" s="6">
        <v>3.44</v>
      </c>
    </row>
    <row r="64" customFormat="false" ht="15" hidden="false" customHeight="false" outlineLevel="0" collapsed="false">
      <c r="B64" s="1" t="s">
        <v>26</v>
      </c>
      <c r="C64" s="6" t="n">
        <f aca="false" t="array" ref="C64:C65">deltafnew*C62</f>
        <v>860</v>
      </c>
    </row>
    <row r="65" customFormat="false" ht="15" hidden="false" customHeight="false" outlineLevel="0" collapsed="false">
      <c r="B65" s="1" t="s">
        <v>27</v>
      </c>
      <c r="C65" s="6" t="n">
        <v>-688</v>
      </c>
    </row>
    <row r="67" customFormat="false" ht="15" hidden="false" customHeight="false" outlineLevel="0" collapsed="false">
      <c r="B67" s="15" t="s">
        <v>28</v>
      </c>
    </row>
    <row r="69" customFormat="false" ht="15" hidden="false" customHeight="false" outlineLevel="0" collapsed="false">
      <c r="C69" s="1" t="s">
        <v>0</v>
      </c>
      <c r="D69" s="1" t="s">
        <v>1</v>
      </c>
    </row>
    <row r="70" customFormat="false" ht="15" hidden="false" customHeight="false" outlineLevel="0" collapsed="false">
      <c r="B70" s="1" t="s">
        <v>29</v>
      </c>
      <c r="C70" s="16">
        <v>300</v>
      </c>
      <c r="D70" s="16">
        <v>500</v>
      </c>
    </row>
    <row r="71" customFormat="false" ht="15" hidden="false" customHeight="false" outlineLevel="0" collapsed="false">
      <c r="B71" s="1" t="s">
        <v>30</v>
      </c>
    </row>
    <row r="73" customFormat="false" ht="15" hidden="false" customHeight="false" outlineLevel="0" collapsed="false">
      <c r="B73" s="1" t="s">
        <v>31</v>
      </c>
      <c r="C73" s="17" t="n">
        <f aca="false" t="array" ref="C73:D73">MMULT(C70:D70,C15:D16)</f>
        <v>0.3</v>
      </c>
      <c r="D73" s="17" t="n">
        <v>0.25</v>
      </c>
    </row>
    <row r="75" customFormat="false" ht="15" hidden="false" customHeight="false" outlineLevel="0" collapsed="false">
      <c r="B75" s="1" t="s">
        <v>32</v>
      </c>
      <c r="C75" s="18" t="n">
        <f aca="false" t="array" ref="C75:D76">IF(C73:D73=TRANSPOSE(C73:D73),C73:D73,0)</f>
        <v>0.3</v>
      </c>
      <c r="D75" s="18" t="n">
        <v>0</v>
      </c>
    </row>
    <row r="76" customFormat="false" ht="15" hidden="false" customHeight="false" outlineLevel="0" collapsed="false">
      <c r="C76" s="18" t="n">
        <v>0</v>
      </c>
      <c r="D76" s="18" t="n">
        <v>0.25</v>
      </c>
    </row>
    <row r="78" customFormat="false" ht="15" hidden="false" customHeight="false" outlineLevel="0" collapsed="false">
      <c r="B78" s="1" t="s">
        <v>33</v>
      </c>
      <c r="C78" s="16" t="n">
        <f aca="false" t="array" ref="C78:C79">MMULT(C75:D76,MMULT(C27:D28,E4:E5))</f>
        <v>300</v>
      </c>
    </row>
    <row r="79" customFormat="false" ht="15" hidden="false" customHeight="false" outlineLevel="0" collapsed="false">
      <c r="C79" s="16" t="n">
        <v>500</v>
      </c>
    </row>
    <row r="81" customFormat="false" ht="15" hidden="false" customHeight="false" outlineLevel="0" collapsed="false">
      <c r="B81" s="1" t="s">
        <v>34</v>
      </c>
      <c r="C81" s="18" t="n">
        <f aca="false" t="array" ref="C81:C82">MMULT(C75:D76,MMULT(C27:D28,E48:E49))</f>
        <v>374.257425742574</v>
      </c>
    </row>
    <row r="82" customFormat="false" ht="15" hidden="false" customHeight="false" outlineLevel="0" collapsed="false">
      <c r="C82" s="18" t="n">
        <v>460.39603960396</v>
      </c>
    </row>
    <row r="84" customFormat="false" ht="15" hidden="false" customHeight="false" outlineLevel="0" collapsed="false">
      <c r="B84" s="10" t="s">
        <v>35</v>
      </c>
    </row>
    <row r="86" customFormat="false" ht="15" hidden="false" customHeight="false" outlineLevel="0" collapsed="false">
      <c r="B86" s="1" t="s">
        <v>36</v>
      </c>
      <c r="C86" s="6">
        <v>1</v>
      </c>
    </row>
    <row r="87" customFormat="false" ht="15" hidden="false" customHeight="false" outlineLevel="0" collapsed="false">
      <c r="C87" s="6">
        <v>1</v>
      </c>
    </row>
    <row r="89" customFormat="false" ht="15" hidden="false" customHeight="false" outlineLevel="0" collapsed="false">
      <c r="B89" s="1" t="s">
        <v>37</v>
      </c>
      <c r="C89" s="6">
        <v>1</v>
      </c>
      <c r="D89" s="6">
        <v>1</v>
      </c>
    </row>
    <row r="91" customFormat="false" ht="15" hidden="false" customHeight="false" outlineLevel="0" collapsed="false">
      <c r="C91" s="1" t="s">
        <v>0</v>
      </c>
      <c r="D91" s="1" t="s">
        <v>1</v>
      </c>
    </row>
    <row r="92" customFormat="false" ht="15" hidden="false" customHeight="false" outlineLevel="0" collapsed="false">
      <c r="B92" s="1" t="s">
        <v>38</v>
      </c>
      <c r="C92" s="7" t="n">
        <f aca="false" t="array" ref="C92:D92">MMULT(C89:D89,C27:D28)</f>
        <v>1.51815181518152</v>
      </c>
      <c r="D92" s="7" t="n">
        <v>1.45214521452145</v>
      </c>
    </row>
    <row r="94" customFormat="false" ht="15" hidden="false" customHeight="false" outlineLevel="0" collapsed="false">
      <c r="B94" s="1" t="s">
        <v>39</v>
      </c>
      <c r="C94" s="19" t="n">
        <f aca="false" t="array" ref="C94:D95">MMULT(C75:D76,C27:D28)</f>
        <v>0.376237623762376</v>
      </c>
      <c r="D94" s="19" t="n">
        <v>0.099009900990099</v>
      </c>
    </row>
    <row r="95" customFormat="false" ht="15" hidden="false" customHeight="false" outlineLevel="0" collapsed="false">
      <c r="B95" s="1" t="s">
        <v>40</v>
      </c>
      <c r="C95" s="19" t="n">
        <v>0.066006600660066</v>
      </c>
      <c r="D95" s="19" t="n">
        <v>0.280528052805281</v>
      </c>
    </row>
    <row r="97" customFormat="false" ht="15" hidden="false" customHeight="false" outlineLevel="0" collapsed="false">
      <c r="C97" s="1" t="s">
        <v>0</v>
      </c>
      <c r="D97" s="1" t="s">
        <v>1</v>
      </c>
    </row>
    <row r="98" customFormat="false" ht="15" hidden="false" customHeight="false" outlineLevel="0" collapsed="false">
      <c r="B98" s="1" t="s">
        <v>41</v>
      </c>
      <c r="C98" s="18" t="n">
        <f aca="false" t="array" ref="C98:D98">MMULT(C89:D89,C94:D95)</f>
        <v>0.442244224422442</v>
      </c>
      <c r="D98" s="18" t="n">
        <v>0.37953795379538</v>
      </c>
    </row>
    <row r="100" customFormat="false" ht="15" hidden="false" customHeight="false" outlineLevel="0" collapsed="false">
      <c r="B100" s="1" t="s">
        <v>42</v>
      </c>
      <c r="C100" s="4">
        <v>350</v>
      </c>
    </row>
    <row r="101" customFormat="false" ht="15" hidden="false" customHeight="false" outlineLevel="0" collapsed="false">
      <c r="C101" s="4">
        <v>0</v>
      </c>
    </row>
    <row r="103" customFormat="false" ht="15" hidden="false" customHeight="false" outlineLevel="0" collapsed="false">
      <c r="B103" s="1" t="s">
        <v>43</v>
      </c>
      <c r="C103" s="4">
        <v>0</v>
      </c>
    </row>
    <row r="104" customFormat="false" ht="15" hidden="false" customHeight="false" outlineLevel="0" collapsed="false">
      <c r="C104" s="4">
        <v>1700</v>
      </c>
    </row>
    <row r="107" customFormat="false" ht="15" hidden="false" customHeight="false" outlineLevel="0" collapsed="false">
      <c r="B107" s="1" t="s">
        <v>44</v>
      </c>
      <c r="C107" s="18" t="n">
        <f aca="false" t="array" ref="C107:C108">MMULT(C94:D95,C100:C101)</f>
        <v>131.683168316832</v>
      </c>
      <c r="D107" s="1" t="s">
        <v>45</v>
      </c>
    </row>
    <row r="108" customFormat="false" ht="15" hidden="false" customHeight="false" outlineLevel="0" collapsed="false">
      <c r="C108" s="18" t="n">
        <v>23.1023102310231</v>
      </c>
      <c r="D108" s="1" t="s">
        <v>46</v>
      </c>
    </row>
    <row r="109" customFormat="false" ht="15" hidden="false" customHeight="false" outlineLevel="0" collapsed="false">
      <c r="B109" s="0"/>
      <c r="D109" s="0"/>
    </row>
    <row r="110" customFormat="false" ht="15" hidden="false" customHeight="false" outlineLevel="0" collapsed="false">
      <c r="B110" s="0" t="s">
        <v>47</v>
      </c>
      <c r="C110" s="18" t="n">
        <f aca="false">SUM(C107:C108)</f>
        <v>154.785478547855</v>
      </c>
      <c r="D110" s="1" t="s">
        <v>48</v>
      </c>
    </row>
    <row r="111" customFormat="false" ht="15" hidden="false" customHeight="false" outlineLevel="0" collapsed="false">
      <c r="B111" s="0"/>
    </row>
    <row r="112" customFormat="false" ht="15" hidden="false" customHeight="false" outlineLevel="0" collapsed="false">
      <c r="B112" s="1" t="s">
        <v>49</v>
      </c>
      <c r="C112" s="18" t="n">
        <f aca="false" t="array" ref="C112:C113">MMULT(C94:D95,C103:C104)</f>
        <v>168.316831683168</v>
      </c>
      <c r="D112" s="1" t="s">
        <v>46</v>
      </c>
    </row>
    <row r="113" customFormat="false" ht="15" hidden="false" customHeight="false" outlineLevel="0" collapsed="false">
      <c r="B113" s="0"/>
      <c r="C113" s="18" t="n">
        <v>476.897689768977</v>
      </c>
      <c r="D113" s="1" t="s">
        <v>45</v>
      </c>
    </row>
    <row r="115" customFormat="false" ht="15" hidden="false" customHeight="false" outlineLevel="0" collapsed="false">
      <c r="B115" s="20" t="s">
        <v>50</v>
      </c>
      <c r="C115" s="18" t="n">
        <f aca="false">SUM(C112:C113)</f>
        <v>645.214521452145</v>
      </c>
      <c r="D115" s="1" t="s">
        <v>48</v>
      </c>
    </row>
    <row r="117" customFormat="false" ht="15" hidden="false" customHeight="false" outlineLevel="0" collapsed="false">
      <c r="B117" s="10" t="s">
        <v>51</v>
      </c>
    </row>
    <row r="119" customFormat="false" ht="15" hidden="false" customHeight="false" outlineLevel="0" collapsed="false">
      <c r="B119" s="1" t="s">
        <v>52</v>
      </c>
      <c r="C119" s="4" t="n">
        <f aca="false" t="array" ref="C119:D119">TRANSPOSE(E4:E5)</f>
        <v>350</v>
      </c>
      <c r="D119" s="4" t="n">
        <v>1700</v>
      </c>
    </row>
    <row r="121" customFormat="false" ht="15" hidden="false" customHeight="false" outlineLevel="0" collapsed="false">
      <c r="B121" s="1" t="s">
        <v>53</v>
      </c>
      <c r="C121" s="21" t="n">
        <f aca="false" t="array" ref="C121:D121">TRANSPOSE(E48:E49)</f>
        <v>600</v>
      </c>
      <c r="D121" s="21" t="n">
        <v>1500</v>
      </c>
    </row>
    <row r="123" customFormat="false" ht="15" hidden="false" customHeight="false" outlineLevel="0" collapsed="false">
      <c r="B123" s="1" t="s">
        <v>54</v>
      </c>
      <c r="C123" s="4" t="n">
        <f aca="false" t="array" ref="C123:D124">IF(C119:D119=TRANSPOSE(C119:D119),C119:D119,0)</f>
        <v>350</v>
      </c>
      <c r="D123" s="4" t="n">
        <v>0</v>
      </c>
    </row>
    <row r="124" customFormat="false" ht="15" hidden="false" customHeight="false" outlineLevel="0" collapsed="false">
      <c r="C124" s="4" t="n">
        <v>0</v>
      </c>
      <c r="D124" s="4" t="n">
        <v>1700</v>
      </c>
    </row>
    <row r="126" customFormat="false" ht="15" hidden="false" customHeight="false" outlineLevel="0" collapsed="false">
      <c r="B126" s="1" t="s">
        <v>55</v>
      </c>
      <c r="C126" s="4" t="n">
        <f aca="false" t="array" ref="C126:D127">IF(C121:D121=TRANSPOSE(C121:D121),C121:D121,0)</f>
        <v>600</v>
      </c>
      <c r="D126" s="4" t="n">
        <v>0</v>
      </c>
    </row>
    <row r="127" customFormat="false" ht="15" hidden="false" customHeight="false" outlineLevel="0" collapsed="false">
      <c r="C127" s="4" t="n">
        <v>0</v>
      </c>
      <c r="D127" s="4" t="n">
        <v>1500</v>
      </c>
    </row>
    <row r="129" customFormat="false" ht="15" hidden="false" customHeight="false" outlineLevel="0" collapsed="false">
      <c r="B129" s="10" t="s">
        <v>56</v>
      </c>
    </row>
    <row r="131" customFormat="false" ht="15" hidden="false" customHeight="false" outlineLevel="0" collapsed="false">
      <c r="C131" s="1" t="s">
        <v>0</v>
      </c>
      <c r="D131" s="1" t="s">
        <v>1</v>
      </c>
      <c r="E131" s="1" t="s">
        <v>48</v>
      </c>
    </row>
    <row r="132" customFormat="false" ht="15" hidden="false" customHeight="false" outlineLevel="0" collapsed="false">
      <c r="B132" s="1" t="s">
        <v>57</v>
      </c>
      <c r="C132" s="22" t="n">
        <f aca="false" t="array" ref="C132:D132">MMULT(C73:D73,MMULT(C27:D28,C123:D124))</f>
        <v>154.785478547855</v>
      </c>
      <c r="D132" s="22" t="n">
        <v>645.214521452145</v>
      </c>
      <c r="E132" s="18" t="n">
        <f aca="false">SUM(C132:D132)</f>
        <v>800</v>
      </c>
    </row>
    <row r="134" customFormat="false" ht="15" hidden="false" customHeight="false" outlineLevel="0" collapsed="false">
      <c r="C134" s="1" t="s">
        <v>0</v>
      </c>
      <c r="D134" s="1" t="s">
        <v>1</v>
      </c>
      <c r="E134" s="1" t="s">
        <v>48</v>
      </c>
    </row>
    <row r="135" customFormat="false" ht="15" hidden="false" customHeight="false" outlineLevel="0" collapsed="false">
      <c r="B135" s="1" t="s">
        <v>58</v>
      </c>
      <c r="C135" s="19" t="n">
        <f aca="false" t="array" ref="C135:D135">MMULT(C73:D73,MMULT(C27:D28,C126:D127))</f>
        <v>265.346534653465</v>
      </c>
      <c r="D135" s="19" t="n">
        <v>569.306930693069</v>
      </c>
      <c r="E135" s="18" t="n">
        <f aca="false">SUM(C135:D135)</f>
        <v>834.653465346535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9.94921875" defaultRowHeight="15" customHeight="false" zeroHeight="false" outlineLevelRow="0" outlineLevelCol="0"/>
  <sheetData>
    <row r="1" customFormat="false" ht="15" hidden="false" customHeight="false" outlineLevel="0" collapsed="false">
      <c r="A1" s="1" t="s">
        <v>59</v>
      </c>
    </row>
    <row r="2" customFormat="false" ht="15" hidden="false" customHeight="false" outlineLevel="0" collapsed="false">
      <c r="A2" s="1" t="s">
        <v>60</v>
      </c>
    </row>
    <row r="3" customFormat="false" ht="14.9" hidden="false" customHeight="false" outlineLevel="0" collapsed="false">
      <c r="A3" s="23" t="s">
        <v>61</v>
      </c>
    </row>
  </sheetData>
  <hyperlinks>
    <hyperlink ref="A3" r:id="rId1" display="https://renatovargas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Collabora_Office/26.04.3.3$Linux_X86_64 LibreOffice_project/7ddebab0ef71e249941ff21d2c8e4fbefa474499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2025-06-18T23:47:34Z</dcterms:created>
  <dc:creator>Renato Vargas</dc:creator>
  <dc:description/>
  <dc:language>en-US</dc:language>
  <cp:lastModifiedBy/>
  <dcterms:modified xsi:type="dcterms:W3CDTF">2026-10-10T05:10:13Z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