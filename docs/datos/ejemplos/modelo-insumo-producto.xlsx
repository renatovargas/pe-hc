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/github/pe-hc/datos/ejemplos/"/>
    </mc:Choice>
  </mc:AlternateContent>
  <xr:revisionPtr revIDLastSave="0" documentId="13_ncr:1_{9558EC4B-6DF5-8249-9F28-B8EBF9ABC2C9}" xr6:coauthVersionLast="47" xr6:coauthVersionMax="47" xr10:uidLastSave="{00000000-0000-0000-0000-000000000000}"/>
  <bookViews>
    <workbookView xWindow="2740" yWindow="1120" windowWidth="33200" windowHeight="18280" xr2:uid="{3A331693-311F-4E5D-9D9A-18C0A69FC647}"/>
  </bookViews>
  <sheets>
    <sheet name="Modelo Insumo-Producto" sheetId="2" r:id="rId1"/>
    <sheet name="Info" sheetId="3" r:id="rId2"/>
  </sheets>
  <externalReferences>
    <externalReference r:id="rId3"/>
    <externalReference r:id="rId4"/>
    <externalReference r:id="rId5"/>
    <externalReference r:id="rId6"/>
  </externalReferences>
  <definedNames>
    <definedName name="A">#REF!</definedName>
    <definedName name="AINV">#REF!</definedName>
    <definedName name="Anew">#REF!</definedName>
    <definedName name="b">#REF!</definedName>
    <definedName name="Calculated_Relationship_HS12___HS07">'[1]Correlation HS2012-HS2007'!#REF!</definedName>
    <definedName name="CMAT">#REF!</definedName>
    <definedName name="COEF">#REF!</definedName>
    <definedName name="deltafnew">'Modelo Insumo-Producto'!$C$56:$C$57</definedName>
    <definedName name="fdem">'Modelo Insumo-Producto'!$E$4:$E$5</definedName>
    <definedName name="fdemnew">'Modelo Insumo-Producto'!$C$33:$C$34</definedName>
    <definedName name="go_level_top1">OFFSET('[2]35-sector'!$E$36,MATCH(#REF!,'[2]35-sector'!$E$37:$E$71,0),2,1,8)</definedName>
    <definedName name="gprime">#REF!</definedName>
    <definedName name="GPRIMEHAT">#REF!</definedName>
    <definedName name="GPRIMEHATINV">#REF!</definedName>
    <definedName name="HS">'[3]HS02_CPC1.1_SITC3_ISIC3.1 (2)'!#REF!</definedName>
    <definedName name="I">#REF!</definedName>
    <definedName name="identity">'Modelo Insumo-Producto'!$C$21:$D$22</definedName>
    <definedName name="IP">#REF!</definedName>
    <definedName name="ISUM">#REF!</definedName>
    <definedName name="ISUM2">#REF!</definedName>
    <definedName name="L">'Modelo Insumo-Producto'!$C$27:$D$28</definedName>
    <definedName name="Lnew">#REF!</definedName>
    <definedName name="M">#REF!</definedName>
    <definedName name="M1_stone">'[2]2000'!$E$1382:$BV$1451</definedName>
    <definedName name="M2_stone">'[2]2000'!$E$1524:$BV$1593</definedName>
    <definedName name="M3_stone">'[2]2000'!$E$1737:$BV$1806</definedName>
    <definedName name="Matrix1">#REF!</definedName>
    <definedName name="N">#REF!</definedName>
    <definedName name="O">#REF!</definedName>
    <definedName name="Q">#REF!</definedName>
    <definedName name="rca_trad_2010">'[4]13-sector VAX_G_2010'!$C$141:$P$203</definedName>
    <definedName name="rca_trad_2011">'[4]13-sector VAX_G_2011'!$C$141:$P$203</definedName>
    <definedName name="rca_trad_2012">'[4]13-sector VAX_G_2012'!$C$141:$P$203</definedName>
    <definedName name="rca_trad_2013">'[4]13-sector VAX_G_2013'!$C$141:$P$203</definedName>
    <definedName name="rca_trad_2014">'[4]13-sector VAX_G_2014'!$C$141:$P$203</definedName>
    <definedName name="rca_trad_2015">'[4]13-sector VAX_G_2015'!$C$141:$P$203</definedName>
    <definedName name="rca_trad_2016">'[4]13-sector VAX_G_2016'!$C$141:$P$203</definedName>
    <definedName name="rca_trad_2017">'[4]13-sector VAX_G_2017'!$C$141:$P$203</definedName>
    <definedName name="rca_vax_2010">'[4]13-sector VAX_G_2010'!$C$209:$P$271</definedName>
    <definedName name="rca_vax_2011">'[4]13-sector VAX_G_2011'!$C$209:$P$271</definedName>
    <definedName name="rca_vax_2012">'[4]13-sector VAX_G_2012'!$C$209:$P$271</definedName>
    <definedName name="rca_vax_2013">'[4]13-sector VAX_G_2013'!$C$209:$P$271</definedName>
    <definedName name="rca_vax_2014">'[4]13-sector VAX_G_2014'!$C$209:$P$271</definedName>
    <definedName name="rca_vax_2015">'[4]13-sector VAX_G_2015'!$C$209:$P$271</definedName>
    <definedName name="rca_vax_2016">'[4]13-sector VAX_G_2016'!$C$209:$P$271</definedName>
    <definedName name="rca_vax_2017">'[4]13-sector VAX_G_2017'!$C$209:$P$271</definedName>
    <definedName name="REQ">'Modelo Insumo-Producto'!$C$18:$D$19</definedName>
    <definedName name="S">#REF!</definedName>
    <definedName name="sector_list">#REF!</definedName>
    <definedName name="Sectors">#REF!</definedName>
    <definedName name="SUNBURST">'[4]35-sector'!#REF!</definedName>
    <definedName name="TM">#REF!</definedName>
    <definedName name="vax_g_2010">'[4]13-sector VAX_G_2010'!$T$5:$AI$67</definedName>
    <definedName name="vax_g_2011">'[4]13-sector VAX_G_2011'!$T$5:$AI$67</definedName>
    <definedName name="vax_g_2012">'[4]13-sector VAX_G_2012'!$T$5:$AI$67</definedName>
    <definedName name="vax_g_2013">'[4]13-sector VAX_G_2013'!$T$5:$AI$67</definedName>
    <definedName name="vax_g_2014">'[4]13-sector VAX_G_2014'!$T$5:$AI$67</definedName>
    <definedName name="vax_g_2015">'[4]13-sector VAX_G_2015'!$T$5:$AI$67</definedName>
    <definedName name="vax_g_2016">'[4]13-sector VAX_G_2016'!$T$5:$AI$67</definedName>
    <definedName name="vax_g_2017">'[4]13-sector VAX_G_2017'!$T$5:$AI$67</definedName>
    <definedName name="x_2010">'[4]13-sector VAX_G_2010'!$C$5:$R$67</definedName>
    <definedName name="x_2011">'[4]13-sector VAX_G_2011'!$C$5:$R$67</definedName>
    <definedName name="x_2012">'[4]13-sector VAX_G_2012'!$C$5:$R$67</definedName>
    <definedName name="x_2013">'[4]13-sector VAX_G_2013'!$C$5:$R$67</definedName>
    <definedName name="x_2014">'[4]13-sector VAX_G_2014'!$C$5:$R$67</definedName>
    <definedName name="x_2015">'[4]13-sector VAX_G_2015'!$C$5:$R$67</definedName>
    <definedName name="x_2016">'[4]13-sector VAX_G_2016'!$C$5:$R$67</definedName>
    <definedName name="x_2017">'[4]13-sector VAX_G_2017'!$C$5:$R$67</definedName>
    <definedName name="xhat">'Modelo Insumo-Producto'!$C$12:$D$13</definedName>
    <definedName name="xhatinv">'Modelo Insumo-Producto'!$C$15:$D$16</definedName>
    <definedName name="xnew">'Modelo Insumo-Producto'!$C$36:$C$37</definedName>
    <definedName name="xnewdiag">'Modelo Insumo-Producto'!$C$39:$D$40</definedName>
    <definedName name="xoriginal">'Modelo Insumo-Producto'!$G$4:$G$5</definedName>
    <definedName name="Z">'Modelo Insumo-Producto'!$C$4:$D$5</definedName>
    <definedName name="ZETA">#REF!</definedName>
    <definedName name="Znew">'Modelo Insumo-Producto'!$C$42:$D$43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" l="1" a="1"/>
  <c r="C56" i="2" a="1"/>
  <c r="E48" i="2" a="1"/>
  <c r="E48" i="2" s="1"/>
  <c r="C21" i="2" a="1"/>
  <c r="G5" i="2"/>
  <c r="G4" i="2"/>
  <c r="C12" i="2" s="1" a="1"/>
  <c r="C15" i="2" s="1" a="1"/>
  <c r="C64" i="2" l="1"/>
  <c r="C65" i="2"/>
  <c r="C56" i="2"/>
  <c r="C57" i="2"/>
  <c r="C21" i="2"/>
  <c r="C22" i="2"/>
  <c r="D22" i="2"/>
  <c r="D16" i="2"/>
  <c r="C16" i="2"/>
  <c r="C15" i="2"/>
  <c r="D15" i="2"/>
  <c r="E49" i="2"/>
  <c r="D21" i="2"/>
  <c r="C18" i="2" l="1" a="1"/>
  <c r="C18" i="2"/>
  <c r="D19" i="2" l="1"/>
  <c r="D18" i="2"/>
  <c r="C19" i="2"/>
  <c r="C27" i="2" a="1"/>
  <c r="C24" i="2" l="1" a="1"/>
  <c r="D27" i="2"/>
  <c r="C28" i="2"/>
  <c r="D28" i="2"/>
  <c r="C27" i="2"/>
  <c r="D25" i="2" l="1"/>
  <c r="C25" i="2"/>
  <c r="D24" i="2"/>
  <c r="C24" i="2"/>
  <c r="C30" i="2" a="1"/>
  <c r="C36" i="2" a="1"/>
  <c r="C31" i="2" l="1"/>
  <c r="C30" i="2"/>
  <c r="C37" i="2"/>
  <c r="C36" i="2"/>
  <c r="C39" i="2" l="1" a="1"/>
  <c r="C42" i="2" s="1" a="1"/>
  <c r="C48" i="2" s="1" a="1"/>
  <c r="C59" i="2" a="1"/>
  <c r="C48" i="2" l="1"/>
  <c r="G48" i="2" s="1"/>
  <c r="C52" i="2" s="1"/>
  <c r="C51" i="2" s="1"/>
  <c r="C49" i="2"/>
  <c r="D49" i="2"/>
  <c r="D48" i="2"/>
  <c r="C60" i="2"/>
  <c r="C59" i="2"/>
  <c r="G49" i="2"/>
  <c r="D52" i="2" s="1"/>
  <c r="D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<sst xmlns="http://schemas.openxmlformats.org/spreadsheetml/2006/main" count="39" uniqueCount="31">
  <si>
    <t>xhat</t>
  </si>
  <si>
    <t>xhat ^-1</t>
  </si>
  <si>
    <t>A = Z * xhat ^-1 =</t>
  </si>
  <si>
    <t>Pagos</t>
  </si>
  <si>
    <t>Gastos totales</t>
  </si>
  <si>
    <t>Agricultura</t>
  </si>
  <si>
    <t>Manufacturas</t>
  </si>
  <si>
    <t>Demanda Final</t>
  </si>
  <si>
    <t>Producto total (x)</t>
  </si>
  <si>
    <t>Matriz identidad</t>
  </si>
  <si>
    <t>Calibración</t>
  </si>
  <si>
    <t>Nueva Demanda</t>
  </si>
  <si>
    <t>Nuevo cuadro insumo-producto</t>
  </si>
  <si>
    <t>Total insumos</t>
  </si>
  <si>
    <t>Pago a factores</t>
  </si>
  <si>
    <t>(I-A) =</t>
  </si>
  <si>
    <t>(I-A)^-1=L =</t>
  </si>
  <si>
    <t>Leontief</t>
  </si>
  <si>
    <t>Cambios en lugar de niveles</t>
  </si>
  <si>
    <t>deltafnueva =</t>
  </si>
  <si>
    <t>deltaxnueva</t>
  </si>
  <si>
    <t>Znueva</t>
  </si>
  <si>
    <t>A * xnueva diag =</t>
  </si>
  <si>
    <t>Xnueva diag =</t>
  </si>
  <si>
    <t>L * Fnew = Xnew =</t>
  </si>
  <si>
    <t>lcf =</t>
  </si>
  <si>
    <t>f en moneda local</t>
  </si>
  <si>
    <t>tipo de cambio tc =</t>
  </si>
  <si>
    <t>https://renatovargas.com</t>
  </si>
  <si>
    <t>Preparado por Renato Vargas</t>
  </si>
  <si>
    <t>Economista / Analista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</si>
</sst>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_)"/>
    <numFmt numFmtId="165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name val="Courier"/>
      <family val="3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A6C9E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164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2" borderId="0" xfId="0" applyNumberFormat="1" applyFill="1"/>
    <xf numFmtId="0" fontId="2" fillId="0" borderId="0" xfId="0" applyFont="1"/>
    <xf numFmtId="165" fontId="0" fillId="2" borderId="0" xfId="0" applyNumberFormat="1" applyFill="1"/>
    <xf numFmtId="165" fontId="0" fillId="4" borderId="0" xfId="0" applyNumberFormat="1" applyFill="1"/>
    <xf numFmtId="2" fontId="0" fillId="3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2" fontId="0" fillId="5" borderId="0" xfId="0" applyNumberFormat="1" applyFill="1"/>
    <xf numFmtId="0" fontId="5" fillId="0" borderId="0" xfId="0" applyFont="1"/>
    <xf numFmtId="0" fontId="6" fillId="0" borderId="0" xfId="5"/>
  </cellXfs>
  <cellStyles count="6">
    <cellStyle name="Comma 2 3 2" xfId="4" xr:uid="{95A30595-655D-4255-9CFE-2C6085A30022}"/>
    <cellStyle name="Comma 3" xfId="1" xr:uid="{74A3B89B-DC2A-44A5-A5E4-3360CCDD5E0A}"/>
    <cellStyle name="Hyperlink" xfId="5" builtinId="8"/>
    <cellStyle name="Normal" xfId="0" builtinId="0"/>
    <cellStyle name="Normal 3 2" xfId="2" xr:uid="{325A7142-7006-4D11-B47A-FF741601F7FF}"/>
    <cellStyle name="Normal 6 3" xfId="3" xr:uid="{AF5E3EE1-3781-497B-8233-CBDA23CD0243}"/>
  </cellStyles>
  <dxfs count="0"/>
  <tableStyles count="0" defaultTableStyle="TableStyleMedium2" defaultPivotStyle="PivotStyleLight16"/>
  <colors>
    <mruColors>
      <color rgb="FFB5E6A2"/>
      <color rgb="FFF7C7AC"/>
      <color rgb="FFA6C9EC"/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9JB/Downloads/.ptmp414824/HS%202012%20to%20HS%202007%20Correlation%20and%20conversion%20tabl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natovarg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4725-EBCD-4039-ACB1-29CE7E16EBDD}">
  <dimension ref="B3:G65"/>
  <sheetViews>
    <sheetView tabSelected="1" topLeftCell="B1" zoomScale="260" zoomScaleNormal="260" workbookViewId="0">
      <selection activeCell="B1" sqref="B1"/>
    </sheetView>
  </sheetViews>
  <sheetFormatPr baseColWidth="10" defaultColWidth="9" defaultRowHeight="15"/>
  <cols>
    <col min="2" max="2" width="16.83203125" bestFit="1" customWidth="1"/>
    <col min="3" max="3" width="16.6640625" bestFit="1" customWidth="1"/>
    <col min="4" max="4" width="14" bestFit="1" customWidth="1"/>
    <col min="5" max="5" width="13.33203125" bestFit="1" customWidth="1"/>
    <col min="7" max="7" width="13.6640625" bestFit="1" customWidth="1"/>
  </cols>
  <sheetData>
    <row r="3" spans="2:7">
      <c r="C3" t="s">
        <v>5</v>
      </c>
      <c r="D3" t="s">
        <v>6</v>
      </c>
      <c r="E3" t="s">
        <v>7</v>
      </c>
      <c r="G3" t="s">
        <v>8</v>
      </c>
    </row>
    <row r="4" spans="2:7">
      <c r="B4" t="s">
        <v>5</v>
      </c>
      <c r="C4" s="2">
        <v>150</v>
      </c>
      <c r="D4" s="9">
        <v>500</v>
      </c>
      <c r="E4" s="10">
        <v>350</v>
      </c>
      <c r="G4" s="11">
        <f>SUM(C4:E4)</f>
        <v>1000</v>
      </c>
    </row>
    <row r="5" spans="2:7">
      <c r="B5" t="s">
        <v>6</v>
      </c>
      <c r="C5" s="2">
        <v>200</v>
      </c>
      <c r="D5" s="2">
        <v>100</v>
      </c>
      <c r="E5" s="10">
        <v>1700</v>
      </c>
      <c r="G5" s="1">
        <f>SUM(C5:E5)</f>
        <v>2000</v>
      </c>
    </row>
    <row r="7" spans="2:7">
      <c r="B7" t="s">
        <v>14</v>
      </c>
      <c r="C7">
        <v>650</v>
      </c>
      <c r="D7">
        <v>1400</v>
      </c>
      <c r="E7">
        <v>1100</v>
      </c>
    </row>
    <row r="8" spans="2:7">
      <c r="B8" t="s">
        <v>13</v>
      </c>
      <c r="C8" s="1">
        <v>1000</v>
      </c>
      <c r="D8" s="1">
        <v>2000</v>
      </c>
      <c r="E8">
        <v>3150</v>
      </c>
    </row>
    <row r="12" spans="2:7">
      <c r="B12" t="s">
        <v>0</v>
      </c>
      <c r="C12" s="1" cm="1">
        <f t="array" ref="C12:D13">IF(G4:G5=TRANSPOSE(G4:G5),G4:G5,0)</f>
        <v>1000</v>
      </c>
      <c r="D12" s="1">
        <v>0</v>
      </c>
    </row>
    <row r="13" spans="2:7">
      <c r="C13" s="1">
        <v>0</v>
      </c>
      <c r="D13" s="1">
        <v>2000</v>
      </c>
    </row>
    <row r="15" spans="2:7">
      <c r="B15" t="s">
        <v>1</v>
      </c>
      <c r="C15" s="1">
        <f t="array" ref="C15:D16">MINVERSE(xhat)</f>
        <v>1E-3</v>
      </c>
      <c r="D15" s="1">
        <v>0</v>
      </c>
    </row>
    <row r="16" spans="2:7">
      <c r="C16" s="1">
        <v>0</v>
      </c>
      <c r="D16" s="1">
        <v>5.0000000000000001E-4</v>
      </c>
    </row>
    <row r="18" spans="2:4">
      <c r="B18" t="s">
        <v>2</v>
      </c>
      <c r="C18" s="1">
        <f t="array" ref="C18:D19">MMULT(Z,xhatinv)</f>
        <v>0.15</v>
      </c>
      <c r="D18" s="1">
        <v>0.25</v>
      </c>
    </row>
    <row r="19" spans="2:4">
      <c r="C19" s="4">
        <v>0.2</v>
      </c>
      <c r="D19" s="1">
        <v>0.05</v>
      </c>
    </row>
    <row r="21" spans="2:4">
      <c r="B21" t="s">
        <v>9</v>
      </c>
      <c r="C21" s="1">
        <f t="array" ref="C21:D22">_xlfn.MUNIT(2)</f>
        <v>1</v>
      </c>
      <c r="D21" s="1">
        <v>0</v>
      </c>
    </row>
    <row r="22" spans="2:4">
      <c r="C22" s="1">
        <v>0</v>
      </c>
      <c r="D22" s="1">
        <v>1</v>
      </c>
    </row>
    <row r="24" spans="2:4">
      <c r="B24" t="s">
        <v>15</v>
      </c>
      <c r="C24" s="1">
        <f t="array" ref="C24:D25">identity-REQ</f>
        <v>0.85</v>
      </c>
      <c r="D24" s="1">
        <v>-0.25</v>
      </c>
    </row>
    <row r="25" spans="2:4">
      <c r="C25" s="1">
        <v>-0.2</v>
      </c>
      <c r="D25" s="1">
        <v>0.95</v>
      </c>
    </row>
    <row r="27" spans="2:4">
      <c r="B27" t="s">
        <v>16</v>
      </c>
      <c r="C27" s="1">
        <f t="array" ref="C27:D28">MINVERSE((identity-REQ))</f>
        <v>1.254125412541254</v>
      </c>
      <c r="D27" s="1">
        <v>0.33003300330033003</v>
      </c>
    </row>
    <row r="28" spans="2:4">
      <c r="B28" s="12" t="s">
        <v>17</v>
      </c>
      <c r="C28" s="1">
        <v>0.26402640264026406</v>
      </c>
      <c r="D28" s="1">
        <v>1.1221122112211221</v>
      </c>
    </row>
    <row r="30" spans="2:4">
      <c r="B30" t="s">
        <v>10</v>
      </c>
      <c r="C30" s="1">
        <f t="array" ref="C30:C31">MMULT(L,fdem)</f>
        <v>1000</v>
      </c>
    </row>
    <row r="31" spans="2:4">
      <c r="C31" s="1">
        <v>2000.0000000000002</v>
      </c>
    </row>
    <row r="33" spans="2:7">
      <c r="B33" t="s">
        <v>11</v>
      </c>
      <c r="C33" s="1">
        <v>600</v>
      </c>
    </row>
    <row r="34" spans="2:7">
      <c r="C34" s="1">
        <v>1500</v>
      </c>
    </row>
    <row r="36" spans="2:7">
      <c r="B36" t="s">
        <v>24</v>
      </c>
      <c r="C36" s="1">
        <f t="array" ref="C36:C37">MMULT(L,fdemnew)</f>
        <v>1247.5247524752474</v>
      </c>
    </row>
    <row r="37" spans="2:7">
      <c r="C37" s="1">
        <v>1841.5841584158416</v>
      </c>
    </row>
    <row r="39" spans="2:7">
      <c r="B39" t="s">
        <v>23</v>
      </c>
      <c r="C39" s="1" cm="1">
        <f t="array" ref="C39:D40">IF(C36:C37=TRANSPOSE(C36:C37),C36:C37,0)</f>
        <v>1247.5247524752474</v>
      </c>
      <c r="D39" s="1">
        <v>0</v>
      </c>
    </row>
    <row r="40" spans="2:7">
      <c r="C40" s="1">
        <v>0</v>
      </c>
      <c r="D40" s="1">
        <v>1841.5841584158416</v>
      </c>
    </row>
    <row r="42" spans="2:7">
      <c r="B42" t="s">
        <v>22</v>
      </c>
      <c r="C42" s="13" cm="1">
        <f t="array" ref="C42:D43">MMULT(REQ,xnewdiag)</f>
        <v>187.12871287128709</v>
      </c>
      <c r="D42" s="13">
        <v>460.39603960396039</v>
      </c>
    </row>
    <row r="43" spans="2:7">
      <c r="B43" t="s">
        <v>21</v>
      </c>
      <c r="C43" s="13">
        <v>249.50495049504948</v>
      </c>
      <c r="D43" s="13">
        <v>92.079207920792086</v>
      </c>
    </row>
    <row r="45" spans="2:7">
      <c r="B45" s="5" t="s">
        <v>12</v>
      </c>
    </row>
    <row r="47" spans="2:7">
      <c r="C47" t="s">
        <v>5</v>
      </c>
      <c r="D47" t="s">
        <v>6</v>
      </c>
      <c r="E47" t="s">
        <v>7</v>
      </c>
      <c r="G47" t="s">
        <v>8</v>
      </c>
    </row>
    <row r="48" spans="2:7">
      <c r="B48" t="s">
        <v>5</v>
      </c>
      <c r="C48" s="8">
        <f t="array" ref="C48:D49">C42:D43</f>
        <v>187.12871287128709</v>
      </c>
      <c r="D48" s="8">
        <v>460.39603960396039</v>
      </c>
      <c r="E48" s="7">
        <f t="array" ref="E48:E49">C33:C34</f>
        <v>600</v>
      </c>
      <c r="G48" s="6">
        <f>SUM(C48:E48)</f>
        <v>1247.5247524752476</v>
      </c>
    </row>
    <row r="49" spans="2:7">
      <c r="B49" t="s">
        <v>6</v>
      </c>
      <c r="C49" s="8">
        <v>249.50495049504948</v>
      </c>
      <c r="D49" s="8">
        <v>92.079207920792086</v>
      </c>
      <c r="E49" s="7">
        <v>1500</v>
      </c>
      <c r="G49" s="6">
        <f>SUM(C49:E49)</f>
        <v>1841.5841584158416</v>
      </c>
    </row>
    <row r="51" spans="2:7">
      <c r="B51" t="s">
        <v>3</v>
      </c>
      <c r="C51" s="3">
        <f>C52-SUM(C48:C49)</f>
        <v>810.89108910891105</v>
      </c>
      <c r="D51" s="3">
        <f>D52-SUM(D48:D49)</f>
        <v>1289.1089108910892</v>
      </c>
      <c r="E51" s="3">
        <v>1100</v>
      </c>
    </row>
    <row r="52" spans="2:7">
      <c r="B52" t="s">
        <v>4</v>
      </c>
      <c r="C52" s="6">
        <f>G48</f>
        <v>1247.5247524752476</v>
      </c>
      <c r="D52" s="6">
        <f>G49</f>
        <v>1841.5841584158416</v>
      </c>
      <c r="E52">
        <v>3200</v>
      </c>
    </row>
    <row r="54" spans="2:7">
      <c r="B54" s="14" t="s">
        <v>18</v>
      </c>
    </row>
    <row r="56" spans="2:7">
      <c r="B56" t="s">
        <v>19</v>
      </c>
      <c r="C56" s="1">
        <f t="array" ref="C56:C57">fdemnew-fdem</f>
        <v>250</v>
      </c>
    </row>
    <row r="57" spans="2:7">
      <c r="C57" s="1">
        <v>-200</v>
      </c>
    </row>
    <row r="59" spans="2:7">
      <c r="B59" t="s">
        <v>20</v>
      </c>
      <c r="C59" s="4">
        <f t="array" ref="C59:C60">xnew-xoriginal</f>
        <v>247.5247524752474</v>
      </c>
    </row>
    <row r="60" spans="2:7">
      <c r="C60" s="4">
        <v>-158.41584158415844</v>
      </c>
    </row>
    <row r="62" spans="2:7">
      <c r="B62" t="s">
        <v>27</v>
      </c>
      <c r="C62" s="1">
        <v>3.44</v>
      </c>
    </row>
    <row r="64" spans="2:7">
      <c r="B64" t="s">
        <v>25</v>
      </c>
      <c r="C64" s="1">
        <f t="array" ref="C64:C65">deltafnew*C62</f>
        <v>860</v>
      </c>
    </row>
    <row r="65" spans="2:3">
      <c r="B65" t="s">
        <v>26</v>
      </c>
      <c r="C65" s="1">
        <v>-688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D0D9-5DDD-A443-BE05-E1A8E544363D}">
  <dimension ref="A1:A3"/>
  <sheetViews>
    <sheetView workbookViewId="0">
      <selection activeCell="A3" sqref="A3"/>
    </sheetView>
  </sheetViews>
  <sheetFormatPr baseColWidth="10" defaultRowHeight="15"/>
  <sheetData>
    <row r="1" spans="1:1">
      <c r="A1" t="s">
        <v>29</v>
      </c>
    </row>
    <row r="2" spans="1:1">
      <c r="A2" t="s">
        <v>30</v>
      </c>
    </row>
    <row r="3" spans="1:1">
      <c r="A3" s="15" t="s">
        <v>28</v>
      </c>
    </row>
  </sheetData>
  <hyperlinks>
    <hyperlink ref="A3" r:id="rId1" xr:uid="{5A6C509C-D5CF-C54D-AEC6-064278B0DA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Modelo Insumo-Producto</vt:lpstr>
      <vt:lpstr>Info</vt:lpstr>
      <vt:lpstr>deltafnew</vt:lpstr>
      <vt:lpstr>fdem</vt:lpstr>
      <vt:lpstr>fdemnew</vt:lpstr>
      <vt:lpstr>identity</vt:lpstr>
      <vt:lpstr>L</vt:lpstr>
      <vt:lpstr>REQ</vt:lpstr>
      <vt:lpstr>xhat</vt:lpstr>
      <vt:lpstr>xhatinv</vt:lpstr>
      <vt:lpstr>xnew</vt:lpstr>
      <vt:lpstr>xnewdiag</vt:lpstr>
      <vt:lpstr>xoriginal</vt:lpstr>
      <vt:lpstr>Z</vt:lpstr>
      <vt:lpstr>Znew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dcterms:created xsi:type="dcterms:W3CDTF">2025-06-18T23:47:34Z</dcterms:created>
  <dcterms:modified xsi:type="dcterms:W3CDTF">2026-10-08T15:09:30Z</dcterms:modified>
</cp:coreProperties>
</file>